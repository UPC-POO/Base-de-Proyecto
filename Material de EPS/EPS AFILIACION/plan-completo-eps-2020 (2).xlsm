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64011"/>
  <mc:AlternateContent xmlns:mc="http://schemas.openxmlformats.org/markup-compatibility/2006">
    <mc:Choice Requires="x15">
      <x15ac:absPath xmlns:x15ac="http://schemas.microsoft.com/office/spreadsheetml/2010/11/ac" url="C:\Users\rtarazon\AppData\Local\Microsoft\Windows\INetCache\Content.Outlook\8VXTLL2O\"/>
    </mc:Choice>
  </mc:AlternateContent>
  <bookViews>
    <workbookView xWindow="0" yWindow="0" windowWidth="20490" windowHeight="7350" firstSheet="1" activeTab="1"/>
  </bookViews>
  <sheets>
    <sheet name="Reg Base" sheetId="1" r:id="rId1"/>
    <sheet name="Reg Adi1" sheetId="2" r:id="rId2"/>
    <sheet name="Reg Adi2" sheetId="3" r:id="rId3"/>
    <sheet name="Hijos 18 a 25 Base" sheetId="4" r:id="rId4"/>
    <sheet name="Hijos 18 a 25 Adi1" sheetId="5" r:id="rId5"/>
    <sheet name="Hijos 18 a 25 Adi2" sheetId="6" r:id="rId6"/>
    <sheet name="Hoja2" sheetId="17" r:id="rId7"/>
    <sheet name="Hoja1" sheetId="16" r:id="rId8"/>
    <sheet name="CesH-Cesantes" sheetId="13" state="hidden" r:id="rId9"/>
    <sheet name="ColH" sheetId="14" state="hidden" r:id="rId10"/>
    <sheet name="ColT" sheetId="15" state="hidden" r:id="rId11"/>
  </sheets>
  <externalReferences>
    <externalReference r:id="rId12"/>
    <externalReference r:id="rId13"/>
  </externalReferences>
  <definedNames>
    <definedName name="_xlnm._FilterDatabase" localSheetId="8" hidden="1">'CesH-Cesantes'!$A$1:$P$676</definedName>
    <definedName name="_xlnm._FilterDatabase" localSheetId="9" hidden="1">ColH!$A$1:$P$672</definedName>
    <definedName name="_xlnm._FilterDatabase" localSheetId="10" hidden="1">ColT!$A$1:$P$751</definedName>
    <definedName name="_xlnm._FilterDatabase" localSheetId="4" hidden="1">'Hijos 18 a 25 Adi1'!$A$1:$P$277</definedName>
    <definedName name="_xlnm._FilterDatabase" localSheetId="5" hidden="1">'Hijos 18 a 25 Adi2'!$A$1:$P$169</definedName>
    <definedName name="_xlnm._FilterDatabase" localSheetId="3" hidden="1">'Hijos 18 a 25 Base'!$A$1:$P$464</definedName>
    <definedName name="_xlnm._FilterDatabase" localSheetId="1" hidden="1">'Reg Adi1'!$A$1:$P$223</definedName>
    <definedName name="_xlnm._FilterDatabase" localSheetId="2" hidden="1">'Reg Adi2'!$A$1:$L$180</definedName>
    <definedName name="_xlnm._FilterDatabase" localSheetId="0" hidden="1">'Reg Base'!$A$1:$P$504</definedName>
    <definedName name="_xlnm.Print_Area" localSheetId="8">'CesH-Cesantes'!$B$1:$O$676</definedName>
    <definedName name="_xlnm.Print_Area" localSheetId="9">ColH!$B$1:$P$672</definedName>
    <definedName name="_xlnm.Print_Area" localSheetId="10">ColT!$B$1:$P$751</definedName>
    <definedName name="_xlnm.Print_Area" localSheetId="4">'Hijos 18 a 25 Adi1'!$B$1:$J$277</definedName>
    <definedName name="_xlnm.Print_Area" localSheetId="5">'Hijos 18 a 25 Adi2'!$B$1:$P$169</definedName>
    <definedName name="_xlnm.Print_Area" localSheetId="3">'Hijos 18 a 25 Base'!$B$1:$P$464</definedName>
    <definedName name="_xlnm.Print_Area" localSheetId="1">'Reg Adi1'!$B$1:$Q$318</definedName>
    <definedName name="_xlnm.Print_Area" localSheetId="2">'Reg Adi2'!$B$1:$Q$186</definedName>
    <definedName name="_xlnm.Print_Area" localSheetId="0">'Reg Base'!$A$1:$P$529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24" i="15" l="1"/>
  <c r="I727" i="15" s="1"/>
  <c r="E717" i="15"/>
  <c r="B717" i="15"/>
  <c r="E716" i="15"/>
  <c r="B716" i="15"/>
  <c r="E715" i="15"/>
  <c r="B715" i="15"/>
  <c r="E714" i="15"/>
  <c r="B714" i="15"/>
  <c r="E713" i="15"/>
  <c r="B713" i="15"/>
  <c r="E712" i="15"/>
  <c r="B712" i="15"/>
  <c r="B708" i="15"/>
  <c r="J407" i="15"/>
  <c r="I407" i="15"/>
  <c r="J406" i="15"/>
  <c r="I406" i="15"/>
  <c r="J404" i="15"/>
  <c r="I404" i="15"/>
  <c r="J403" i="15"/>
  <c r="I403" i="15"/>
  <c r="J400" i="15"/>
  <c r="I400" i="15"/>
  <c r="J397" i="15"/>
  <c r="I397" i="15"/>
  <c r="J394" i="15"/>
  <c r="I394" i="15"/>
  <c r="J390" i="15"/>
  <c r="I390" i="15"/>
  <c r="J384" i="15"/>
  <c r="I384" i="15"/>
  <c r="J382" i="15"/>
  <c r="I382" i="15"/>
  <c r="J327" i="15"/>
  <c r="I327" i="15"/>
  <c r="J326" i="15"/>
  <c r="I326" i="15"/>
  <c r="J325" i="15"/>
  <c r="I325" i="15"/>
  <c r="J322" i="15"/>
  <c r="I322" i="15"/>
  <c r="J318" i="15"/>
  <c r="I318" i="15"/>
  <c r="J317" i="15"/>
  <c r="I317" i="15"/>
  <c r="J315" i="15"/>
  <c r="I315" i="15"/>
  <c r="J314" i="15"/>
  <c r="I314" i="15"/>
  <c r="J312" i="15"/>
  <c r="I312" i="15"/>
  <c r="J307" i="15"/>
  <c r="I307" i="15"/>
  <c r="J304" i="15"/>
  <c r="I304" i="15"/>
  <c r="J298" i="15"/>
  <c r="I298" i="15"/>
  <c r="J295" i="15"/>
  <c r="I295" i="15"/>
  <c r="J292" i="15"/>
  <c r="I292" i="15"/>
  <c r="J291" i="15"/>
  <c r="I291" i="15"/>
  <c r="J290" i="15"/>
  <c r="I290" i="15"/>
  <c r="J287" i="15"/>
  <c r="I287" i="15"/>
  <c r="J285" i="15"/>
  <c r="I285" i="15"/>
  <c r="J284" i="15"/>
  <c r="I284" i="15"/>
  <c r="J282" i="15"/>
  <c r="I282" i="15"/>
  <c r="J281" i="15"/>
  <c r="I281" i="15"/>
  <c r="J276" i="15"/>
  <c r="I276" i="15"/>
  <c r="J270" i="15"/>
  <c r="I270" i="15"/>
  <c r="J267" i="15"/>
  <c r="I267" i="15"/>
  <c r="J261" i="15"/>
  <c r="I261" i="15"/>
  <c r="J258" i="15"/>
  <c r="I258" i="15"/>
  <c r="J238" i="15"/>
  <c r="I238" i="15"/>
  <c r="J237" i="15"/>
  <c r="I237" i="15"/>
  <c r="J236" i="15"/>
  <c r="I236" i="15"/>
  <c r="J231" i="15"/>
  <c r="I231" i="15"/>
  <c r="J230" i="15"/>
  <c r="I230" i="15"/>
  <c r="J229" i="15"/>
  <c r="I229" i="15"/>
  <c r="J227" i="15"/>
  <c r="I227" i="15"/>
  <c r="J226" i="15"/>
  <c r="I226" i="15"/>
  <c r="J223" i="15"/>
  <c r="I223" i="15"/>
  <c r="J218" i="15"/>
  <c r="I218" i="15"/>
  <c r="J215" i="15"/>
  <c r="I215" i="15"/>
  <c r="J209" i="15"/>
  <c r="I209" i="15"/>
  <c r="J206" i="15"/>
  <c r="I206" i="15"/>
  <c r="J191" i="15"/>
  <c r="I191" i="15"/>
  <c r="J190" i="15"/>
  <c r="I190" i="15"/>
  <c r="J189" i="15"/>
  <c r="I189" i="15"/>
  <c r="J187" i="15"/>
  <c r="I187" i="15"/>
  <c r="J185" i="15"/>
  <c r="I185" i="15"/>
  <c r="J183" i="15"/>
  <c r="I183" i="15"/>
  <c r="J181" i="15"/>
  <c r="I181" i="15"/>
  <c r="J179" i="15"/>
  <c r="I179" i="15"/>
  <c r="J174" i="15"/>
  <c r="I174" i="15"/>
  <c r="J169" i="15"/>
  <c r="I169" i="15"/>
  <c r="J162" i="15"/>
  <c r="I162" i="15"/>
  <c r="J156" i="15"/>
  <c r="I156" i="15"/>
  <c r="J150" i="15"/>
  <c r="I150" i="15"/>
  <c r="J143" i="15"/>
  <c r="I143" i="15"/>
  <c r="J142" i="15"/>
  <c r="I142" i="15"/>
  <c r="J136" i="15"/>
  <c r="I136" i="15"/>
  <c r="J133" i="15"/>
  <c r="I133" i="15"/>
  <c r="I86" i="15"/>
  <c r="I85" i="15"/>
  <c r="I84" i="15"/>
  <c r="J76" i="15"/>
  <c r="I76" i="15"/>
  <c r="J75" i="15"/>
  <c r="I75" i="15"/>
  <c r="J74" i="15"/>
  <c r="I74" i="15"/>
  <c r="J68" i="15"/>
  <c r="I68" i="15"/>
  <c r="J66" i="15"/>
  <c r="I66" i="15"/>
  <c r="J64" i="15"/>
  <c r="I64" i="15"/>
  <c r="J60" i="15"/>
  <c r="I60" i="15"/>
  <c r="J58" i="15"/>
  <c r="I58" i="15"/>
  <c r="J53" i="15"/>
  <c r="I53" i="15"/>
  <c r="J45" i="15"/>
  <c r="I45" i="15"/>
  <c r="J40" i="15"/>
  <c r="I40" i="15"/>
  <c r="J29" i="15"/>
  <c r="I29" i="15"/>
  <c r="J25" i="15"/>
  <c r="I25" i="15"/>
  <c r="I18" i="15"/>
  <c r="J5" i="15"/>
  <c r="E5" i="15"/>
  <c r="E4" i="15"/>
  <c r="E3" i="15"/>
  <c r="I648" i="14"/>
  <c r="I647" i="14"/>
  <c r="B646" i="14"/>
  <c r="C645" i="14"/>
  <c r="I646" i="14" s="1"/>
  <c r="E638" i="14"/>
  <c r="B634" i="14"/>
  <c r="J348" i="14"/>
  <c r="I348" i="14"/>
  <c r="J347" i="14"/>
  <c r="I347" i="14"/>
  <c r="J345" i="14"/>
  <c r="I345" i="14"/>
  <c r="J344" i="14"/>
  <c r="I344" i="14"/>
  <c r="J341" i="14"/>
  <c r="I341" i="14"/>
  <c r="J338" i="14"/>
  <c r="I338" i="14"/>
  <c r="J335" i="14"/>
  <c r="I335" i="14"/>
  <c r="J331" i="14"/>
  <c r="I331" i="14"/>
  <c r="J325" i="14"/>
  <c r="I325" i="14"/>
  <c r="J323" i="14"/>
  <c r="I323" i="14"/>
  <c r="J311" i="14"/>
  <c r="I311" i="14"/>
  <c r="J310" i="14"/>
  <c r="I310" i="14"/>
  <c r="J309" i="14"/>
  <c r="I309" i="14"/>
  <c r="J306" i="14"/>
  <c r="I306" i="14"/>
  <c r="J302" i="14"/>
  <c r="I302" i="14"/>
  <c r="J301" i="14"/>
  <c r="I301" i="14"/>
  <c r="J299" i="14"/>
  <c r="I299" i="14"/>
  <c r="J298" i="14"/>
  <c r="I298" i="14"/>
  <c r="J296" i="14"/>
  <c r="I296" i="14"/>
  <c r="J291" i="14"/>
  <c r="I291" i="14"/>
  <c r="J288" i="14"/>
  <c r="I288" i="14"/>
  <c r="J282" i="14"/>
  <c r="I282" i="14"/>
  <c r="J279" i="14"/>
  <c r="I279" i="14"/>
  <c r="J276" i="14"/>
  <c r="I276" i="14"/>
  <c r="J275" i="14"/>
  <c r="I275" i="14"/>
  <c r="J274" i="14"/>
  <c r="I274" i="14"/>
  <c r="J271" i="14"/>
  <c r="I271" i="14"/>
  <c r="J269" i="14"/>
  <c r="I269" i="14"/>
  <c r="J268" i="14"/>
  <c r="I268" i="14"/>
  <c r="J266" i="14"/>
  <c r="I266" i="14"/>
  <c r="J265" i="14"/>
  <c r="I265" i="14"/>
  <c r="J260" i="14"/>
  <c r="I260" i="14"/>
  <c r="J254" i="14"/>
  <c r="I254" i="14"/>
  <c r="J250" i="14"/>
  <c r="I250" i="14"/>
  <c r="J243" i="14"/>
  <c r="I243" i="14"/>
  <c r="J240" i="14"/>
  <c r="I240" i="14"/>
  <c r="J219" i="14"/>
  <c r="I219" i="14"/>
  <c r="J218" i="14"/>
  <c r="I218" i="14"/>
  <c r="J217" i="14"/>
  <c r="I217" i="14"/>
  <c r="J212" i="14"/>
  <c r="I212" i="14"/>
  <c r="J211" i="14"/>
  <c r="I211" i="14"/>
  <c r="J210" i="14"/>
  <c r="I210" i="14"/>
  <c r="J208" i="14"/>
  <c r="I208" i="14"/>
  <c r="J207" i="14"/>
  <c r="I207" i="14"/>
  <c r="J204" i="14"/>
  <c r="I204" i="14"/>
  <c r="J199" i="14"/>
  <c r="I199" i="14"/>
  <c r="J196" i="14"/>
  <c r="I196" i="14"/>
  <c r="J189" i="14"/>
  <c r="I189" i="14"/>
  <c r="J186" i="14"/>
  <c r="I186" i="14"/>
  <c r="J171" i="14"/>
  <c r="I171" i="14"/>
  <c r="J170" i="14"/>
  <c r="I170" i="14"/>
  <c r="J169" i="14"/>
  <c r="I169" i="14"/>
  <c r="J167" i="14"/>
  <c r="I167" i="14"/>
  <c r="J165" i="14"/>
  <c r="I165" i="14"/>
  <c r="J163" i="14"/>
  <c r="I163" i="14"/>
  <c r="J161" i="14"/>
  <c r="I161" i="14"/>
  <c r="J158" i="14"/>
  <c r="I158" i="14"/>
  <c r="J153" i="14"/>
  <c r="I153" i="14"/>
  <c r="J148" i="14"/>
  <c r="I148" i="14"/>
  <c r="J141" i="14"/>
  <c r="I141" i="14"/>
  <c r="J135" i="14"/>
  <c r="I135" i="14"/>
  <c r="J129" i="14"/>
  <c r="I129" i="14"/>
  <c r="J122" i="14"/>
  <c r="I122" i="14"/>
  <c r="J121" i="14"/>
  <c r="I121" i="14"/>
  <c r="J115" i="14"/>
  <c r="I115" i="14"/>
  <c r="J112" i="14"/>
  <c r="I112" i="14"/>
  <c r="I86" i="14"/>
  <c r="I85" i="14"/>
  <c r="I84" i="14"/>
  <c r="J76" i="14"/>
  <c r="I76" i="14"/>
  <c r="J75" i="14"/>
  <c r="I75" i="14"/>
  <c r="J74" i="14"/>
  <c r="I74" i="14"/>
  <c r="J68" i="14"/>
  <c r="I68" i="14"/>
  <c r="J66" i="14"/>
  <c r="I66" i="14"/>
  <c r="J64" i="14"/>
  <c r="I64" i="14"/>
  <c r="J60" i="14"/>
  <c r="I60" i="14"/>
  <c r="J57" i="14"/>
  <c r="I57" i="14"/>
  <c r="J52" i="14"/>
  <c r="I52" i="14"/>
  <c r="J45" i="14"/>
  <c r="I45" i="14"/>
  <c r="J40" i="14"/>
  <c r="I40" i="14"/>
  <c r="J29" i="14"/>
  <c r="I29" i="14"/>
  <c r="J25" i="14"/>
  <c r="I25" i="14"/>
  <c r="I18" i="14"/>
  <c r="J5" i="14"/>
  <c r="E5" i="14"/>
  <c r="E4" i="14"/>
  <c r="E3" i="14"/>
  <c r="I651" i="13"/>
  <c r="I650" i="13"/>
  <c r="C649" i="13"/>
  <c r="B650" i="13" s="1"/>
  <c r="E642" i="13"/>
  <c r="J345" i="13"/>
  <c r="I345" i="13"/>
  <c r="J344" i="13"/>
  <c r="I344" i="13"/>
  <c r="J342" i="13"/>
  <c r="I342" i="13"/>
  <c r="J341" i="13"/>
  <c r="I341" i="13"/>
  <c r="J339" i="13"/>
  <c r="I339" i="13"/>
  <c r="J336" i="13"/>
  <c r="I336" i="13"/>
  <c r="J333" i="13"/>
  <c r="I333" i="13"/>
  <c r="J329" i="13"/>
  <c r="I329" i="13"/>
  <c r="J323" i="13"/>
  <c r="I323" i="13"/>
  <c r="J321" i="13"/>
  <c r="I321" i="13"/>
  <c r="J310" i="13"/>
  <c r="I310" i="13"/>
  <c r="J309" i="13"/>
  <c r="I309" i="13"/>
  <c r="J308" i="13"/>
  <c r="I308" i="13"/>
  <c r="J305" i="13"/>
  <c r="I305" i="13"/>
  <c r="J301" i="13"/>
  <c r="I301" i="13"/>
  <c r="J300" i="13"/>
  <c r="I300" i="13"/>
  <c r="J298" i="13"/>
  <c r="I298" i="13"/>
  <c r="J297" i="13"/>
  <c r="I297" i="13"/>
  <c r="J295" i="13"/>
  <c r="I295" i="13"/>
  <c r="J290" i="13"/>
  <c r="I290" i="13"/>
  <c r="J287" i="13"/>
  <c r="I287" i="13"/>
  <c r="J281" i="13"/>
  <c r="I281" i="13"/>
  <c r="J278" i="13"/>
  <c r="I278" i="13"/>
  <c r="J275" i="13"/>
  <c r="I275" i="13"/>
  <c r="J274" i="13"/>
  <c r="I274" i="13"/>
  <c r="J273" i="13"/>
  <c r="I273" i="13"/>
  <c r="J270" i="13"/>
  <c r="I270" i="13"/>
  <c r="J268" i="13"/>
  <c r="I268" i="13"/>
  <c r="J267" i="13"/>
  <c r="I267" i="13"/>
  <c r="J265" i="13"/>
  <c r="I265" i="13"/>
  <c r="J264" i="13"/>
  <c r="I264" i="13"/>
  <c r="J259" i="13"/>
  <c r="I259" i="13"/>
  <c r="J252" i="13"/>
  <c r="I252" i="13"/>
  <c r="J249" i="13"/>
  <c r="I249" i="13"/>
  <c r="J242" i="13"/>
  <c r="I242" i="13"/>
  <c r="J239" i="13"/>
  <c r="I239" i="13"/>
  <c r="J218" i="13"/>
  <c r="I218" i="13"/>
  <c r="J217" i="13"/>
  <c r="I217" i="13"/>
  <c r="J216" i="13"/>
  <c r="I216" i="13"/>
  <c r="J211" i="13"/>
  <c r="I211" i="13"/>
  <c r="J210" i="13"/>
  <c r="I210" i="13"/>
  <c r="J209" i="13"/>
  <c r="I209" i="13"/>
  <c r="J207" i="13"/>
  <c r="I207" i="13"/>
  <c r="J206" i="13"/>
  <c r="I206" i="13"/>
  <c r="J203" i="13"/>
  <c r="I203" i="13"/>
  <c r="J198" i="13"/>
  <c r="I198" i="13"/>
  <c r="J195" i="13"/>
  <c r="I195" i="13"/>
  <c r="J189" i="13"/>
  <c r="I189" i="13"/>
  <c r="J186" i="13"/>
  <c r="I186" i="13"/>
  <c r="J171" i="13"/>
  <c r="I171" i="13"/>
  <c r="J170" i="13"/>
  <c r="I170" i="13"/>
  <c r="J169" i="13"/>
  <c r="I169" i="13"/>
  <c r="J167" i="13"/>
  <c r="I167" i="13"/>
  <c r="J165" i="13"/>
  <c r="I165" i="13"/>
  <c r="J163" i="13"/>
  <c r="I163" i="13"/>
  <c r="J161" i="13"/>
  <c r="I161" i="13"/>
  <c r="J158" i="13"/>
  <c r="I158" i="13"/>
  <c r="J153" i="13"/>
  <c r="I153" i="13"/>
  <c r="J148" i="13"/>
  <c r="I148" i="13"/>
  <c r="J141" i="13"/>
  <c r="I141" i="13"/>
  <c r="J135" i="13"/>
  <c r="I135" i="13"/>
  <c r="J129" i="13"/>
  <c r="I129" i="13"/>
  <c r="J122" i="13"/>
  <c r="I122" i="13"/>
  <c r="J121" i="13"/>
  <c r="I121" i="13"/>
  <c r="J115" i="13"/>
  <c r="I115" i="13"/>
  <c r="J112" i="13"/>
  <c r="I112" i="13"/>
  <c r="J106" i="13"/>
  <c r="J104" i="13"/>
  <c r="J102" i="13"/>
  <c r="I86" i="13"/>
  <c r="I85" i="13"/>
  <c r="I84" i="13"/>
  <c r="J76" i="13"/>
  <c r="I76" i="13"/>
  <c r="J75" i="13"/>
  <c r="I75" i="13"/>
  <c r="J74" i="13"/>
  <c r="I74" i="13"/>
  <c r="J68" i="13"/>
  <c r="I68" i="13"/>
  <c r="J66" i="13"/>
  <c r="I66" i="13"/>
  <c r="J64" i="13"/>
  <c r="I64" i="13"/>
  <c r="J60" i="13"/>
  <c r="I60" i="13"/>
  <c r="J58" i="13"/>
  <c r="I58" i="13"/>
  <c r="J53" i="13"/>
  <c r="I53" i="13"/>
  <c r="J46" i="13"/>
  <c r="I46" i="13"/>
  <c r="J41" i="13"/>
  <c r="I41" i="13"/>
  <c r="J30" i="13"/>
  <c r="I30" i="13"/>
  <c r="J26" i="13"/>
  <c r="I26" i="13"/>
  <c r="I19" i="13"/>
  <c r="J6" i="13"/>
  <c r="E6" i="13"/>
  <c r="E5" i="13"/>
  <c r="E4" i="13"/>
  <c r="B3" i="13"/>
  <c r="B638" i="13" s="1"/>
  <c r="I652" i="13" l="1"/>
  <c r="B725" i="15"/>
  <c r="I725" i="15"/>
  <c r="I726" i="15"/>
</calcChain>
</file>

<file path=xl/comments1.xml><?xml version="1.0" encoding="utf-8"?>
<comments xmlns="http://schemas.openxmlformats.org/spreadsheetml/2006/main">
  <authors>
    <author>FCANALES</author>
  </authors>
  <commentList>
    <comment ref="B8" authorId="0" shapeId="0">
      <text>
        <r>
          <rPr>
            <b/>
            <sz val="8"/>
            <color indexed="81"/>
            <rFont val="Tahoma"/>
            <family val="2"/>
          </rPr>
          <t>La Modificación se copiará en: Retribuciones</t>
        </r>
      </text>
    </comment>
    <comment ref="B9" authorId="0" shapeId="0">
      <text>
        <r>
          <rPr>
            <b/>
            <sz val="8"/>
            <color indexed="81"/>
            <rFont val="Tahoma"/>
            <family val="2"/>
          </rPr>
          <t>La Modificación se copiará en: Retribuciones</t>
        </r>
      </text>
    </comment>
  </commentList>
</comments>
</file>

<file path=xl/sharedStrings.xml><?xml version="1.0" encoding="utf-8"?>
<sst xmlns="http://schemas.openxmlformats.org/spreadsheetml/2006/main" count="13657" uniqueCount="936">
  <si>
    <t xml:space="preserve">ANEXO N° 1 </t>
  </si>
  <si>
    <t>PLAN DE SALUD BASE</t>
  </si>
  <si>
    <t xml:space="preserve">Razón Social de la Entidad Empleadora: </t>
  </si>
  <si>
    <t xml:space="preserve">Dirección del Centro de Trabajo: </t>
  </si>
  <si>
    <t>Fecha de Vigencia:</t>
  </si>
  <si>
    <t>Código del Cliente:</t>
  </si>
  <si>
    <t>TRABAJADORES, CÓNYUGES E HIJOS (HASTA 18 AÑOS)</t>
  </si>
  <si>
    <t>1. - COBERTURA OBLIGATORIA: PLAN ESENCIAL DE ASEGURAMIENTO UNIVERSAL EN SALUD - PEAS</t>
  </si>
  <si>
    <t>Comprende la atención de contingencia correspondiente al plan PEAS mediante las prestaciones preventivas, promocionales, de recuperación de la salud y emergencias incluidas en el anexo 1 del Decreto Supremo 009-97-SA, así como los accidentes de trabajo y las enfermedades profesionales no cubiertas por el Seguro Complementario de Trabajo de Riesgo. Dicha cobertura no excluye el tratamiento de dolencias preexistentes y se otorga sin límite de suma asegurada.</t>
  </si>
  <si>
    <t>2. - COBERTURA COMPLEMENTARIA: NO PEAS</t>
  </si>
  <si>
    <t>Comprende la atención de contingencia correspondiente no sujeto al Plan Esencial de Aseguramiento Universal en Salud (PEAS), es decir, todas aquellas prestaciones no comprendidas en la Cobertura Obligatoria que permiten dar integridad, oportunidad y continuidad a las prestaciones de salud. Se encuentra sujeta a los límites, prestaciones y condiciones estipulados libremente por las partes, sin que ello implique la pérdida del derecho del trabajador, de mantener las mismas en EsSalud.</t>
  </si>
  <si>
    <t>3.- SUMAS ASEGURADAS</t>
  </si>
  <si>
    <t>COBERTURA OBLIGATORIA :</t>
  </si>
  <si>
    <t>ILIMITADA</t>
  </si>
  <si>
    <r>
      <t xml:space="preserve">COBERTURA COMPLEMENTARIA: </t>
    </r>
    <r>
      <rPr>
        <b/>
        <sz val="10"/>
        <rFont val="Arial"/>
        <family val="2"/>
      </rPr>
      <t xml:space="preserve">                                                                                                                              </t>
    </r>
  </si>
  <si>
    <t>4.- DESCRIPCIÓN DE BENEFICIOS</t>
  </si>
  <si>
    <r>
      <t xml:space="preserve">ATENCIÓN AMBULATORIA    </t>
    </r>
    <r>
      <rPr>
        <b/>
        <sz val="9"/>
        <rFont val="Arial"/>
        <family val="2"/>
      </rPr>
      <t xml:space="preserve">                                                                                                                                                                                  </t>
    </r>
  </si>
  <si>
    <t>Copago
(S/)</t>
  </si>
  <si>
    <t>Cubierto al</t>
  </si>
  <si>
    <t>Atención Ambulatoria</t>
  </si>
  <si>
    <t>AMBULATORIA</t>
  </si>
  <si>
    <t>Atenciones ambulatorias de acuerdo a las condiciones, diagnósticos e intervenciones por evento señaladas en el Plan Esencial de Aseguramiento en Salud (PEAS) y/o cobertura complementaria.</t>
  </si>
  <si>
    <t xml:space="preserve">Red SANNA - Centros Clínicos </t>
  </si>
  <si>
    <t xml:space="preserve">SANNA Centro Clínico Chacarilla        SANNA Centro Clínico La Molina         
SANNA Centro Clínico Miraflores
Nota :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t>
  </si>
  <si>
    <t>Red 0</t>
  </si>
  <si>
    <t>Ambulatoria</t>
  </si>
  <si>
    <t>Red 1</t>
  </si>
  <si>
    <t>Clínica San Juan Bautista</t>
  </si>
  <si>
    <t>Clínica San Joaquin</t>
  </si>
  <si>
    <t>Clínica Vesalio</t>
  </si>
  <si>
    <t>OK</t>
  </si>
  <si>
    <t>Clínica Versalles</t>
  </si>
  <si>
    <t>Clínica Montefiori</t>
  </si>
  <si>
    <t xml:space="preserve">Clínica Santa Martha Del Sur </t>
  </si>
  <si>
    <t>JJ Salud</t>
  </si>
  <si>
    <t xml:space="preserve">Clínica Mundo Salud </t>
  </si>
  <si>
    <t>Centro Médico Medicis</t>
  </si>
  <si>
    <t>Integramédica</t>
  </si>
  <si>
    <t>Hogar Clínica San Juan De Dios</t>
  </si>
  <si>
    <t>Clínica Good Hope</t>
  </si>
  <si>
    <t>Provincias A</t>
  </si>
  <si>
    <t>SANNA Centro Clínico Talara</t>
  </si>
  <si>
    <t>SANNA Clínica del Sur (Arequipa)</t>
  </si>
  <si>
    <t>Clínica Tataje (Ica)</t>
  </si>
  <si>
    <t>Clínica Limatambo Cajamarca</t>
  </si>
  <si>
    <t>Hospital Metropolitano (María Izaga Chiclayo)</t>
  </si>
  <si>
    <t>Clínica Los Condes (Ica)</t>
  </si>
  <si>
    <t>Clínica San Vicente (Ica)</t>
  </si>
  <si>
    <t>Clínica Los Fresnos (Cajamarca)</t>
  </si>
  <si>
    <t>Hospital Privado Juan Pablo II (Chiclayo)</t>
  </si>
  <si>
    <t>Clínica del Sur (Moquegua)</t>
  </si>
  <si>
    <t>Ozoned (Pisco)</t>
  </si>
  <si>
    <t>Sportmedic Clínica de Rehabilitación y Fisioterapia (Chimbote)</t>
  </si>
  <si>
    <t>Clínica San Lorenzo (Cajamarca)</t>
  </si>
  <si>
    <t>Clínica Cayetano Heredia de (Huancayo)</t>
  </si>
  <si>
    <t>Asociación Paz Holandesa (Arequipa)</t>
  </si>
  <si>
    <t>Clínica Mac Salud (Cusco)</t>
  </si>
  <si>
    <t>CliniSanitas ABSI (Arequipa)</t>
  </si>
  <si>
    <t>Clínica Huánuco (Huánuco)</t>
  </si>
  <si>
    <t>Fisiotec (Trujillo)</t>
  </si>
  <si>
    <t>Fisio Center (Trujillo)</t>
  </si>
  <si>
    <t>Clínica Internacional (Medicentro Huaraz)</t>
  </si>
  <si>
    <t>Clínica Santa Ana (Cajamarca)</t>
  </si>
  <si>
    <t>BM Clínica de Especialidades Médicas (Chiclayo)</t>
  </si>
  <si>
    <t>Clínica Santa Teresa (Abancay)</t>
  </si>
  <si>
    <t>Centro Médico Virgen de Guadalupe (Tarapoto)</t>
  </si>
  <si>
    <t>Centro Médico Vitaluz (Tumbes)</t>
  </si>
  <si>
    <t>Consorcio Peruano Suizo (Centro Medico Suiza Lab) (Chiclayo)</t>
  </si>
  <si>
    <t>Hospital Regional Jose Alfredo Mendoza Olavarria Jamo II-2 (Tumbes)</t>
  </si>
  <si>
    <t>NOTA</t>
  </si>
  <si>
    <t>Y todas las Clínicas afiliadas de provincias, excepto las precisadas en Provincias B y C. Para mayor información consulte nuestra página web, www.pacifico.com.pe</t>
  </si>
  <si>
    <t>Red 2</t>
  </si>
  <si>
    <t>Clínica Stella Maris</t>
  </si>
  <si>
    <t>Centro Médico Ricardo Palma Plaza Lima Sur</t>
  </si>
  <si>
    <t>Clínica Médica Cayetano Heredia</t>
  </si>
  <si>
    <t>Clínica Javier Prado</t>
  </si>
  <si>
    <t>Clínica Maison de Santé del Sur</t>
  </si>
  <si>
    <t>Clínica Maison de Santé de Lima</t>
  </si>
  <si>
    <t>Clínica Providencia</t>
  </si>
  <si>
    <t>Centro Médico Medex</t>
  </si>
  <si>
    <t xml:space="preserve">Clínica San Judas Tadeo </t>
  </si>
  <si>
    <t>Clínica Limatambo San Juan de Lurigancho</t>
  </si>
  <si>
    <t>Clínica Limatambo San Isidro</t>
  </si>
  <si>
    <t xml:space="preserve">Clínica Limatambo Callao </t>
  </si>
  <si>
    <t>Clínica Limatambo Callao II</t>
  </si>
  <si>
    <t>Provincias B</t>
  </si>
  <si>
    <t>Clínica Peruano Americana (Trujillo)</t>
  </si>
  <si>
    <t>Red 3</t>
  </si>
  <si>
    <t>Clínica San Gabriel</t>
  </si>
  <si>
    <t>Clínica Especialidades Medicas Universal</t>
  </si>
  <si>
    <t>Clínica Centenario Peruano Japonesa</t>
  </si>
  <si>
    <t>Centro Médico Especializado Avendaño</t>
  </si>
  <si>
    <t>SANNA Clínica San Borja</t>
  </si>
  <si>
    <t>Clínica Porvenir</t>
  </si>
  <si>
    <t>Centro Médico Jockey Salud</t>
  </si>
  <si>
    <t>Clínica Padre Luis Tezza</t>
  </si>
  <si>
    <t>Clínica MEDAVAN</t>
  </si>
  <si>
    <t>NOTA_CLINICA</t>
  </si>
  <si>
    <t>Nota.-</t>
  </si>
  <si>
    <t>Centro Médico Especializado Avendaño - Se brinda atención solo para cirugía ambulatoria.</t>
  </si>
  <si>
    <t>PROGRAMA SIEMPRE SANO - PROGRAMA PARA PACIENTES CRONICOS</t>
  </si>
  <si>
    <t xml:space="preserve">Red Propia
PROGRAMA SIEMPRE SANO </t>
  </si>
  <si>
    <r>
      <t>Programa para Pacientes Crónicos:
Enfermedades cubiertas en estadío inicial: Hipertension arterial, Diabetes mellitus tipo 2, Dislipidemia y Asma bronquial (*). Se excluyen las complicaciones secundarias a estos diagnósticos.
(*) Aplica condiciones médica de ingreso
(**) Aplica para niños mayores de 5 años de edad. 
Beneficios:
- Atención ambulatoria por médicos especializados en el Control de los Factores de riesgo Cardiovascular y el Asma Bronquial.
- Seguimiento a cargo de del médico o por la enfermera gestora de programa. 
- Exámenes y medicamentos según protocolos del programa. 
- Control psicológico y nutricional (2 y 3 controles respectivamente) ) para los diagnósticos de Diabetes mellitus tipo 2, hipertensión arterial y dislipidemia.
- Podología únicamente para diabéticos.
Para acceder al programa en Lima debe llamar al teléfono 01 513-5000  y solicitar su atención en SANNA Centro Clínico La Molina, SANNA Centro Clínico Chacarilla, SANNA Centro Clínico Miraflores o atención a Domicilio; para atención en Provincias, debe comunicarse con: 
- SANNA Clínica del Sur o SANNA Centro Clínico Cajamarca al (076) 749-100.
- SANNA Clínica Belén al (073) 626-100.
- SANNA Clínica Sánchez Ferrer al (044) 601-050.
Los servicios de nutrición, psicología y podología en provincias se realizan mediante campañas previamente comunicadas por Pacifico.
En la primera consulta, presentar su receta médica no mayor a 3 meses o un informe del especialista que confirme el diagnóstico. En esta evaluación, el médico del programa, definirá su ingreso al mismo 
Si el ASEGURADO es admitido, solo podrá atenderse bajo este beneficio la enfermedad cubierta en el programa y únicamente en los establecimientos afiliados.</t>
    </r>
    <r>
      <rPr>
        <b/>
        <sz val="10"/>
        <rFont val="Arial"/>
        <family val="2"/>
      </rPr>
      <t/>
    </r>
  </si>
  <si>
    <t>Red Propia Cuidado Continuo de la Salud</t>
  </si>
  <si>
    <r>
      <rPr>
        <b/>
        <sz val="10"/>
        <rFont val="Arial"/>
        <family val="2"/>
      </rPr>
      <t xml:space="preserve">RECETA DE PLAZO EXTENDIDO: </t>
    </r>
    <r>
      <rPr>
        <sz val="10"/>
        <rFont val="Arial"/>
        <family val="2"/>
      </rPr>
      <t xml:space="preserve">
- Indicación de su médico tratante de que ha controlado su enfermedad y puede acceder a este beneficio.
- Visita médica de control trimestral.
- Seguimiento mensual a cargo de una Enfermera, que en coordinación con su médico tratante, se comunicará con Usted (los meses que no tenga consulta médica) para monitorear el control de su enfermedad, brindarle asesoría y entrega mensual de medicamentos. Esta entrega se hará posterior a la consulta con el médico y/o su enfermera, los cuales estarán indicados en su “Receta de plazo extendido”.
- Exámenes auxiliares que corresponden al programa de salud.
En caso su salud lo amerite, podrá recibir consultas médicas mensuales, previa indicación médica.  
</t>
    </r>
  </si>
  <si>
    <t>MEDICOS A DOMICILIO</t>
  </si>
  <si>
    <t>Pacífico Asiste MEDICOS A
DOMICILIO
Lima 1</t>
  </si>
  <si>
    <t>Médico a Domicilio
Práctico e innovador servicio que permite a nuestros asegurados llevar a cabo sus consultas médicas en la comodidad de su hogar.
Incluye la consulta médica, medicinas y exámenes de laboratorio que el médico solicite de acuerdo a la especialidad , ademas de la entrega de resultados en su domicilio".
Los exámenes serán realizados en la comodidad de su hogar por Centros Especializados de prestigio.
El radio de acción de Médico a Domicilio es: Por el Norte hasta Carabayllo; Por el Sur hasta Villa el Salvador, Pachacamac (Zona Urbana) y Lurín; Por el Oeste hasta La Punta y Ventanilla; Por el Este hasta Cieneguilla, Chaclacayo y Chosica.*
(*) El tiempo de atención será indicado al momento de la solicitud.
Lima:
-Medicina General y Medicina Interna
-Pediatría
Para acceder a este servicio en Lima debe llamar a Pacífico Asiste (01 415 1515).</t>
  </si>
  <si>
    <t>Pacífico Asiste. Médicos a Domicilio Lima 1</t>
  </si>
  <si>
    <t>Pacífico Asiste MEDICOS A
DOMICILIO
Lima 2</t>
  </si>
  <si>
    <t>A través de Médico a Domicilio también puede acceder a las siguientes especialidades:
-Cardiología,
-Geriatría,
-Dermatología,
-Gastroenterología
Para acceder a este servicio en Lima debe llamar a Pacífico Asiste (01 415 1515).</t>
  </si>
  <si>
    <t>Pacífico Asiste. Médicos a Domicilio Lima 2</t>
  </si>
  <si>
    <t>Pacífico Asiste MEDICOS A
DOMICILIO
Provincias</t>
  </si>
  <si>
    <t>Provincias: Cajamarca, Arequipa, Cuzco, Trujillo, Talara y Piura
- Medicina general
Para acceder a este servicio en Provincias debe llamar a Pacífico Asiste (01 415 1515).</t>
  </si>
  <si>
    <t>Pacífico Asiste. Médicos a Domicilio. Provincias</t>
  </si>
  <si>
    <t>DR. ONLINE - Beneficio exclusivo a través del App o Web de SANNA</t>
  </si>
  <si>
    <t xml:space="preserve">Plataforma virtual de orientación médica respaldada por profesionales de salud, mediante el uso de tecnologías de comunicación e informática, y dispositivos móviles. No dirigido para orientaciones de emergencia / urgencia. </t>
  </si>
  <si>
    <t xml:space="preserve">CHAT MÉDICO ONLINE </t>
  </si>
  <si>
    <t>Comunicación a través del aplicativo SANNA/DR. ONLINE en tiempo real para información y orientación de salud a cargo de profesionales de la salud (*).</t>
  </si>
  <si>
    <t>TELEORIENTACIÓN DR. ONLINE</t>
  </si>
  <si>
    <t xml:space="preserve">Videollamada a través del aplicativo SANNA/DR. ONLINE para orientación y consejería médica de problemas de salud de baja complejidad (*) a cargo de médicos generales. No incluye prescripción médica ni indicación de exámenes auxiliares.
La videollamada tendrá una duración máxima de 20 minutos por atención, sujeto a programación de citas.
</t>
  </si>
  <si>
    <t xml:space="preserve">Toda atención o cita para orientación a través de SANNA/DR. ONLINE se debe gestionar a través de la app o Web de SANNA. Puedes descargar la app de SANNA a través de Google play o App store, y registrarte para la creación de tu usuario, para ello debes contar con una PC o Laptop con conectividad a internet o un equipo móvil tipo smartphone con servicio de internet. 
La atención será para todos los asegurados mayores de 18 a 70 años a nivel nacional de Lunes a Viernes de 9:00 a 21:00 hrs, excepto Sábados, Domingos y Feriados. El Servicio de Dr. Online no reemplaza una atención y/o consulta médica presencial.
En caso de requerir otro servicio, se podrá gestionar su derivación bajo las condiciones de su póliza de salud para el servicio solicitado a: Médico a Domicilio para atenciones de baja complejidad o a los Centros Clínicos de SANNA para otras especialidades
(*) Servicios incluidos:
- Recomendación sobre dosis o forma de administración de medicamentos recetados previamente por un médico (sin modificación de tratamiento).
- Recomendación y orientación sobre efectos adversos o molestias paralelas causadas por tratamientos médicos.
- Orientación y Explicación de informes y pruebas diagnósticas.
- Orientación al paciente hacía la elección de una consulta con especialidades médicas de acuerdo a los síntomas presentados.
- Orientación en problemas generales de salud tales como dolor de cabeza, reacciones alérgicas, dolor de espalda, resfríos, fiebre, contractura muscular, estreñimiento, y otros de baja complejidad que el médico considere pertinente; sin llegar a brindar un tratamiento médico específico.  
Términos y condiciones de servicio en el siguiente link: www.sanna.pe/servicios/doctor-online/
</t>
  </si>
  <si>
    <t>PROGRAMA NUTRICIONAL</t>
  </si>
  <si>
    <t>Programa Nutricional</t>
  </si>
  <si>
    <t>PROGRAMA NUTRICIONAL
Lima</t>
  </si>
  <si>
    <t>Expertos nutricionistas en la comodidad de su domicilio, le elaborarán un plan de alimentación individualizado con el objetivo de disminuir su peso y mejorar su estado nutricional. 
Las citas serán solicitadas y programadas a través de la Central 01 635-5000.</t>
  </si>
  <si>
    <t>Copago por la primera sesión.</t>
  </si>
  <si>
    <t>No aplica</t>
  </si>
  <si>
    <t xml:space="preserve">Copago por cada sesión de control y seguimiento.  </t>
  </si>
  <si>
    <t>TAMIZAJE NEONATAL</t>
  </si>
  <si>
    <t>Copago
 (S/)</t>
  </si>
  <si>
    <t>Para el descarte de las siguientes enfermedades congénitas: Hipotiroidismo Congénito, Hiperplasia Suprarrenal, Fenilcetonuria y Fibrosis Quística. Aplica al recién nacido hasta máximo 28 días desde la fecha de su nacimiento.</t>
  </si>
  <si>
    <t>Red Tamizaje A1</t>
  </si>
  <si>
    <t>SANNA Centro Clínico Chacarilla</t>
  </si>
  <si>
    <t>SANNA Clínica El Golf</t>
  </si>
  <si>
    <t>SANNA Centro Clínico La Molina</t>
  </si>
  <si>
    <t>SANNA Centro Clínico Miraflores</t>
  </si>
  <si>
    <t>Red Tamizaje A2</t>
  </si>
  <si>
    <t>Clínica Santa Isabel</t>
  </si>
  <si>
    <t>Clínica Internacional (Sede Lima y San Borja)</t>
  </si>
  <si>
    <t>Laboratorio ROE</t>
  </si>
  <si>
    <t>Nota: Laboratorio ROE: Solo en las siguientes sedes: San Isidro (Dos de Mayo 1741), Surco (Av. Primavera 410 Chacarilla y Av. Encalada 435 Monterroso) y Arequipa (Av. Emmel 119 Yanahuara - Arequipa). Sujeto a variación.</t>
  </si>
  <si>
    <t xml:space="preserve">TAMIZAJE NEONATAL AUDITIVO - OFTALMOLÓGICO </t>
  </si>
  <si>
    <t>Para el descarte de las siguientes enfermedades congénitas: Catarata e Hipoacusia. Aplica al recién nacido hasta máximo 28 días desde la fecha de su nacimiento.</t>
  </si>
  <si>
    <t>Red Tamizaje B1</t>
  </si>
  <si>
    <t xml:space="preserve">RED DE RESONADORES                                                                                                                                                                                 </t>
  </si>
  <si>
    <t xml:space="preserve">Cimedic </t>
  </si>
  <si>
    <t xml:space="preserve">DPI del Perú </t>
  </si>
  <si>
    <t>Resomasa</t>
  </si>
  <si>
    <t>Cerema</t>
  </si>
  <si>
    <t>Resocentro</t>
  </si>
  <si>
    <t>CENTROSALUD EN OFICINA</t>
  </si>
  <si>
    <t>Copago
 (S/.)</t>
  </si>
  <si>
    <t>Consulta Médica, Medicamentos, Exámenes de Ayuda Diagnóstica</t>
  </si>
  <si>
    <t>Atención de consultas médicas a través de médicos de primer nivel.
Consulta Médica, Medicinas, análisis, Rayos X y Ecográfias.</t>
  </si>
  <si>
    <t>ATENCIÓN ODONTOLÓGICA</t>
  </si>
  <si>
    <t>Atención Odontológica</t>
  </si>
  <si>
    <t>ODONTOLÓGICA</t>
  </si>
  <si>
    <t>Atenciones ambulatorias de acuerdo a las condiciones, diagnósticos e intervenciones por evento señaladas en el Plan Esencial de Aseguramiento en Salud (PEAS) y/o cobertura complementaria (NO PEAS).</t>
  </si>
  <si>
    <t>Consulta: Examen clínico y odontograma
Restauración: Resinas en piezas anteriores y en piezas posteriores
Endodoncia manual: Incisivos, caninos, premolares, molares, pulpotomía, pulpectomía
Cirugia bucal: Exodoncia simple
Rayos X: Bite Wing, periapical, oclusal</t>
  </si>
  <si>
    <t>Red Odontologica 1</t>
  </si>
  <si>
    <t>Odontologica</t>
  </si>
  <si>
    <t>Red Odontológica 1
(deducible por pieza tratada y terminada)</t>
  </si>
  <si>
    <t>Cerdent</t>
  </si>
  <si>
    <t xml:space="preserve">Doctor Sonrisa </t>
  </si>
  <si>
    <t>Odontofresh (Magdalena)</t>
  </si>
  <si>
    <t>Odontofresh (Surco)</t>
  </si>
  <si>
    <t>Centro Universitario de Salud UPC</t>
  </si>
  <si>
    <r>
      <rPr>
        <b/>
        <sz val="10"/>
        <rFont val="Arial"/>
        <family val="2"/>
      </rPr>
      <t>Red Odontológica 2</t>
    </r>
    <r>
      <rPr>
        <sz val="10"/>
        <rFont val="Arial"/>
        <family val="2"/>
      </rPr>
      <t xml:space="preserve">
</t>
    </r>
    <r>
      <rPr>
        <b/>
        <sz val="10"/>
        <rFont val="Arial"/>
        <family val="2"/>
      </rPr>
      <t>(deducible por pieza tratada y terminada)</t>
    </r>
  </si>
  <si>
    <t>Clínica Dental Rivera Chu</t>
  </si>
  <si>
    <t xml:space="preserve">Clínica Santa Martha Del Sur  </t>
  </si>
  <si>
    <t>Red Odontologica 2</t>
  </si>
  <si>
    <t>Odontocenter (San Miguel)</t>
  </si>
  <si>
    <t>Clínica Dental Pasco</t>
  </si>
  <si>
    <t>Odontocenter (Miraflores)</t>
  </si>
  <si>
    <t>Clínica Dental Las Palmeras</t>
  </si>
  <si>
    <t>Clínica San Pablo (Sede Central)</t>
  </si>
  <si>
    <t>Clínica Limatambo Callao</t>
  </si>
  <si>
    <t xml:space="preserve"> Centros Médicos y Centros Odontológicos afilados de Provincias. Para mayor información consulte nuestra página web, www.pacifico.com.pe</t>
  </si>
  <si>
    <t>Red Odontológica 3
(deducible por pieza tratada y terminada)</t>
  </si>
  <si>
    <t>Centro Médico Odontológico Americano (COA)</t>
  </si>
  <si>
    <t>Centro Dental San José</t>
  </si>
  <si>
    <t>Red COA</t>
  </si>
  <si>
    <r>
      <t xml:space="preserve">Tarifas preferenciales únicamente en el Centro Médico Odontológico Americano (COA) que brindan los siguientes procedimientos: 
Tomografía dental computarizada por maxilar (superior o inferior) : </t>
    </r>
    <r>
      <rPr>
        <sz val="10"/>
        <rFont val="Arial"/>
        <family val="2"/>
      </rPr>
      <t xml:space="preserve">S/ 345.00 (*)
</t>
    </r>
    <r>
      <rPr>
        <b/>
        <sz val="10"/>
        <rFont val="Arial"/>
        <family val="2"/>
      </rPr>
      <t xml:space="preserve">Radiografía panorámica: </t>
    </r>
    <r>
      <rPr>
        <sz val="10"/>
        <rFont val="Arial"/>
        <family val="2"/>
      </rPr>
      <t xml:space="preserve">deducible por sesión S/ 59.00
</t>
    </r>
    <r>
      <rPr>
        <b/>
        <sz val="10"/>
        <rFont val="Arial"/>
        <family val="2"/>
      </rPr>
      <t xml:space="preserve">Endodoncia por pieza dental anterior sistema rotacional (incisivo, canino anterior) : </t>
    </r>
    <r>
      <rPr>
        <sz val="10"/>
        <rFont val="Arial"/>
        <family val="2"/>
      </rPr>
      <t xml:space="preserve"> S/ 413.00
</t>
    </r>
    <r>
      <rPr>
        <b/>
        <sz val="10"/>
        <rFont val="Arial"/>
        <family val="2"/>
      </rPr>
      <t>Endodoncia por pieza dental posterior sistema rotacional (premolar, molar posterior) :</t>
    </r>
    <r>
      <rPr>
        <sz val="10"/>
        <rFont val="Arial"/>
        <family val="2"/>
      </rPr>
      <t xml:space="preserve"> S/ 472.00</t>
    </r>
  </si>
  <si>
    <t xml:space="preserve">(*) Sólo se brinda en la sede ubicada en Av. Petit Thouars 3470 - San Isidro </t>
  </si>
  <si>
    <t>ATENCIÓN OFTALMOLÓGICA</t>
  </si>
  <si>
    <t>Atención Oftalmología</t>
  </si>
  <si>
    <t>OFTALMOLÓGICA</t>
  </si>
  <si>
    <t>Red SANNA - Centros Clínicos</t>
  </si>
  <si>
    <t xml:space="preserve">SANNA Centro Clínico Chacarilla        SANNA Centro Clínico La Molina        
SANNA Centro Clínico Miraflores
Nota :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t>
  </si>
  <si>
    <t>Oftalmologica</t>
  </si>
  <si>
    <t>Red 1 Oftalmológica</t>
  </si>
  <si>
    <t>Norvisión</t>
  </si>
  <si>
    <t>Oftalmic Service</t>
  </si>
  <si>
    <t xml:space="preserve">Omnia Visión </t>
  </si>
  <si>
    <t>Óptima Visión</t>
  </si>
  <si>
    <t>Oculaser</t>
  </si>
  <si>
    <t>Futuro Visión</t>
  </si>
  <si>
    <t>Oftalmomedic</t>
  </si>
  <si>
    <t>Clínica Vista</t>
  </si>
  <si>
    <t xml:space="preserve">Clínica Santa Martha del Sur </t>
  </si>
  <si>
    <t>Provincias Oftalmológica A</t>
  </si>
  <si>
    <t>Centro Avanzado en Cirugía Oftalmológica Chicata (Arequipa)</t>
  </si>
  <si>
    <t>Clínica de Ojos y la Vista Fundar (Arequipa)</t>
  </si>
  <si>
    <t>Clínica de Ojos California (Trujillo)</t>
  </si>
  <si>
    <t>Oftalmovisión (Trujillo])</t>
  </si>
  <si>
    <t>Clínica de Ojos Ver (Piura)</t>
  </si>
  <si>
    <t>Clínica Oftalmológica de Piura (Piura)</t>
  </si>
  <si>
    <t>Clínica Oftalmológica de la Selva (Tarapoto)</t>
  </si>
  <si>
    <t>Clínica Oftalmológica Regional (Huancayo)</t>
  </si>
  <si>
    <t>Y todas las Clínicas afiliadas de provincias que cuenten con el servicio, excepto las precisadas en Provincias B y C. Para mayor información consulte nuestra página web, www.pacifico.com.pe</t>
  </si>
  <si>
    <t>Red 2 Oftalmológica</t>
  </si>
  <si>
    <t>T.G. Láser</t>
  </si>
  <si>
    <t xml:space="preserve">Oftalmo Vissium </t>
  </si>
  <si>
    <t>Instituto Oftalmológico Wong (San Isidro y Los Olivos)</t>
  </si>
  <si>
    <t xml:space="preserve">Clínica San Felipe </t>
  </si>
  <si>
    <t>Centro Médico San Felipe (Camacho)</t>
  </si>
  <si>
    <t>Arbrayss Láser</t>
  </si>
  <si>
    <t>Clínica de Ojos D' Opeluce</t>
  </si>
  <si>
    <t>Provincias Oftalmológica B</t>
  </si>
  <si>
    <t>Red 3 Oftalmológica</t>
  </si>
  <si>
    <t>Mácula</t>
  </si>
  <si>
    <t>Visual Center</t>
  </si>
  <si>
    <t>Oftálmica</t>
  </si>
  <si>
    <t>Confía Instituto Oftalmológico</t>
  </si>
  <si>
    <t>Visual Ophthalmics</t>
  </si>
  <si>
    <t>Vista Salud Centro Oftalmológico</t>
  </si>
  <si>
    <t>Instituto Peruano De La Visión</t>
  </si>
  <si>
    <t xml:space="preserve">EXCIMER LÁSER (CIRUGÍA REFRACTIVA DE MIOPÍA, HIPERMETROPÍA Y ASTIGMATISMO)                                                                                                                                                                                                       </t>
  </si>
  <si>
    <t>Copago
(S/ )</t>
  </si>
  <si>
    <t>Excimer Laser (cirugía refractiva de miopia …)</t>
  </si>
  <si>
    <t xml:space="preserve">Clínica de Ojos D' Opeluce </t>
  </si>
  <si>
    <t xml:space="preserve"> 950.00
(por ojo)</t>
  </si>
  <si>
    <t>Clínica de Especialidades (Chiclayo)</t>
  </si>
  <si>
    <t>Oftalmovisión (Trujillo)</t>
  </si>
  <si>
    <t>Condiciones: Tecnología Lasik. Incluye los siguientes procedimientos: Topografía corneal (según indicación médica) y Paquimetría Ultrasónica Ocular (según indicación médica).
Atenciones pre operatorias, consultas y medicamentos post operatorios se brindan en los centros oftalmológicos, de acuerdo a su red y plan de salud.
El servicio no incluye: Wave Front, femtosegundo.
Aplica restricciones de acuerdo a patologia.</t>
  </si>
  <si>
    <t>||</t>
  </si>
  <si>
    <t>MAMOGRAFÍA 3D</t>
  </si>
  <si>
    <t xml:space="preserve">Copago
(S/) </t>
  </si>
  <si>
    <t>Centro Oncológico Aliada</t>
  </si>
  <si>
    <r>
      <t>ATENCIÓN HOSPITALARIA</t>
    </r>
    <r>
      <rPr>
        <b/>
        <sz val="9"/>
        <rFont val="Arial"/>
        <family val="2"/>
      </rPr>
      <t xml:space="preserve">                                                                                                                                                                                                                                 </t>
    </r>
  </si>
  <si>
    <t xml:space="preserve">Copago
(S/)                                          </t>
  </si>
  <si>
    <t>Atención Hospitalaria</t>
  </si>
  <si>
    <t>HOSPITALARIA</t>
  </si>
  <si>
    <t>Atenciones hospitalarias de acuerdo a las condiciones, diagnósticos e intervenciones por evento señaladas en el Plan Esencial de Aseguramiento en Salud (PEAS) y/o cobertura complementaria (NO PEAS).</t>
  </si>
  <si>
    <t>Clínica Santa Martha del Sur</t>
  </si>
  <si>
    <t>Hospitalaria</t>
  </si>
  <si>
    <t xml:space="preserve">BM Clínica de Especialidades Médicas (Chiclayo) </t>
  </si>
  <si>
    <t>Hospital Regional José Alfredo Mendoza Olavarría Jamo II-2 (Tumbes)</t>
  </si>
  <si>
    <t xml:space="preserve">Y todas las Clínicas afiliadas de provincias, excepto las precisadas en Provincias B y C. Para mayor información consulte nuestra página web, www.pacifico.com.pe </t>
  </si>
  <si>
    <t>RIESGO QUIRURGICO</t>
  </si>
  <si>
    <t xml:space="preserve">Cubierto al </t>
  </si>
  <si>
    <t>Este beneficio se brinda como ambulatorio o dentro del paquete hospitalario, según las indicaciones del médico tratante.
Redes de clínicas afiliadas al Plan de Salud.</t>
  </si>
  <si>
    <t xml:space="preserve">Como
Amb/Hosp </t>
  </si>
  <si>
    <t xml:space="preserve">EQUIPOS ELECTROQUIRÚRGICOS                                                                                                                                                                                                       </t>
  </si>
  <si>
    <t>Se cubren los equipos electroquirúrgicos tipo generador de sellado vascular como Ligasure®, Bisturí armónico®, Enseal® y similares con la finalidad de seccionar, disecar tejidos y sellar vasos sanguíneos durante los siguientes procedimientos quirúrgicos*, habiéndose demostrado beneficio en ellos: Hepatectomía, Colectomía total o parcial, Nefrectomía, Histerectomía y Miomectomías, Esplenectomía, Gastrectomía, Tiroidectomía abierta**, Disección de cuello en oncología**, Mastectomía radical en oncología** y Pancreatoduodenectomía**.
*Pacífico EPS no los cubre para ninguna otra condición o intervención de salud.
**Solo bisturí armónico</t>
  </si>
  <si>
    <t>Como
Amb/Hosp</t>
  </si>
  <si>
    <t>PROGRAMA DE MATERNIDAD</t>
  </si>
  <si>
    <t>Programa de Maternidad</t>
  </si>
  <si>
    <t>MATERNIDAD CS</t>
  </si>
  <si>
    <t>Control Pre-Natal, Control Post-Natal, Parto Natural y/o Múltiple.</t>
  </si>
  <si>
    <t>SANNA Centro Clínico Chacarilla        SANNA Centro Clínico La Molina
SANNA Centro Clínico Miraflores
Nota : 
(1)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(2) Ofrecen sólo atenciones ambulatorias en: control pre natal, control post natal y programa niño sano.</t>
  </si>
  <si>
    <t>Matenidad cs</t>
  </si>
  <si>
    <t>Centro Médico Jockey Salud - Ofrece sólo atenciones ambulatorias en: control pre natal, control post natal y programa niño sano.</t>
  </si>
  <si>
    <t xml:space="preserve"> Cesárea, Complicaciones del Embarazo, Aborto No Provocado</t>
  </si>
  <si>
    <t>MATERNIDAD CC</t>
  </si>
  <si>
    <t>Matenidad cc</t>
  </si>
  <si>
    <t xml:space="preserve">BM Clínica de Especialidades Médicas (Chiclayo)  </t>
  </si>
  <si>
    <t>PROGRAMA DE CONTROL DE NIÑO SANO E INMUNIZACIONES</t>
  </si>
  <si>
    <t>CONTROL DEL NIÑO SANO (Sólo crédito)</t>
  </si>
  <si>
    <t xml:space="preserve">Evaluación médica mensual (control de crecimiento y desarrollo) a cargo de médico pediatra durante el primer año de vida, posteriormente las intervenciones por evento que correspondan de acuerdo a lo establecido en el Plan Esencial de Aseguramiento en Salud (PEAS). Aplica protocolo de exámenes de Pacifico EPS. </t>
  </si>
  <si>
    <t xml:space="preserve">SANNA Centro Clínico Chacarilla               </t>
  </si>
  <si>
    <t xml:space="preserve">SANNA Centro Clínico La Molina </t>
  </si>
  <si>
    <t>Clínica Santa Martha</t>
  </si>
  <si>
    <t>Clínica Santa Teresa  (Abancay)</t>
  </si>
  <si>
    <t>Clínica El Nazareno (Ayacucho)</t>
  </si>
  <si>
    <t>Clínica Los Fresnos      (Cajamarca)</t>
  </si>
  <si>
    <t>Clínica Campos (Cañete)</t>
  </si>
  <si>
    <t>Clínica Magol (Cerro de Pasco)</t>
  </si>
  <si>
    <t>Clínica del Pacifico (Chiclayo)</t>
  </si>
  <si>
    <t>Clínica Robles (Chimbote)</t>
  </si>
  <si>
    <t>Clínica Daniel A. Carrión (Chincha)</t>
  </si>
  <si>
    <t>CM el Milagro (Chanchamayo)</t>
  </si>
  <si>
    <t>Clínica San Pablo (Huaraz)</t>
  </si>
  <si>
    <t>Clínica San Pedro (Huacho)</t>
  </si>
  <si>
    <t>Clínica Huanuco (Huanuco)</t>
  </si>
  <si>
    <t>Policlínico Flores - Jha's Company (Huarmey)</t>
  </si>
  <si>
    <t>Clínica Cayetano Heredia (Huancayo)</t>
  </si>
  <si>
    <t>Policlínico Nueva Esperanza (Huaral)</t>
  </si>
  <si>
    <t>Clínica Americana (Juliaca)</t>
  </si>
  <si>
    <t>Clínica de la Familia (Tumbes)</t>
  </si>
  <si>
    <t>Clínica Las Américas (Pisco)</t>
  </si>
  <si>
    <t>Clínica Monte Horeb (Pucallpa)</t>
  </si>
  <si>
    <t>Centro Médico Corporación Roca Rey  (Puno)</t>
  </si>
  <si>
    <t>Clínica Virgen del Pilar (Sullana)</t>
  </si>
  <si>
    <t>Clínica Promedic (Tacna)</t>
  </si>
  <si>
    <t>Clínica San Martin (Tarapoto)</t>
  </si>
  <si>
    <t>Y todas las Clínicas afiliadas de provincias que brindan el servicio y forman parte de su plan de Salud, excepto las precisadas en Provincias B y C.
En Provincias en donde no existan Clínicas Afiliadas se aplicará el reembolso al 100%.</t>
  </si>
  <si>
    <t xml:space="preserve">INMUNIZACIONES </t>
  </si>
  <si>
    <t>Vacunas del Programa de Control de Niño Sano.  (Solo a Crédito)</t>
  </si>
  <si>
    <t xml:space="preserve">Red Inmunizaciones </t>
  </si>
  <si>
    <t>Centro de Vacunación de la APEPS (Asociación Peruana de Entidades Prestadoras de Salud en la Clínica Javier Prado) (*)
(*) Según Esquema de Inmunización del Ministerio de Salud. Anexo 8 (Programa Integral de Prevención)</t>
  </si>
  <si>
    <t>Red de clínicas afiliadas de la Red de Control del Niño Sano (**), excepto en Clinica Miraflores, Clinica British American Hospital, Clinica Montesur, Clinicas San Felipe, Centro Medico San Felipe y Clinica Delgado.
(**) Aplica esquema de vacunación de  Pacifico EPS de acuerdo a disponibilidad del servicio. Anexo 8 (Programa Integral de Prevención).</t>
  </si>
  <si>
    <t>Reembolso en Provincias considerando el Esquema de Pacifico EPS en donde no existan Clínicas Afiliadas, en cuyo caso aplicará el reembolso al 100%.</t>
  </si>
  <si>
    <t>Otros esquemas de Vacunación. (No aplica credito ni reembolso)</t>
  </si>
  <si>
    <t>Tarifas preferenciales (***)</t>
  </si>
  <si>
    <t xml:space="preserve">Centro de vacunación Internacional Best Service </t>
  </si>
  <si>
    <t>Centro de Vacunación Internacional BIOVAC</t>
  </si>
  <si>
    <t>(***) Asumidas integramente por el afiliado. Aplica para otros esquemas de vacunación no contemplados en el plan de salud.</t>
  </si>
  <si>
    <t>ATENCIÓN DE EMERGENCIAS</t>
  </si>
  <si>
    <t>Atención de  Emergencias</t>
  </si>
  <si>
    <r>
      <t xml:space="preserve">Emergencia accidental: Es aquella producida por un accidente, es decir una acción imprevista, fortuita u ocasional de una fuerza externa, repentina y violenta que obra súbitamente sobre la persona, independientemente de su voluntad. Por ejemplo, si una persona se fractura el tobillo.
Emergencia médica: Es aquella que no es consecuencia de un accidente y requiere atención y procedimientos médicos inmediatos. Por ejemplo, un ataque cerebro - vascular o un infarto al corazón.
La atención en la sala de emergencia para una emergencia médica o accidental es cubierta al 100%.  Si se requiere uso de sala de operaciones o ser hospitalizado aplican  los copagos fijos y variables correspondientes a la atención ambulatoria u hospitalaria de la Red dónde se brinde la atención.
Las atenciones de Urgencia, que son las situaciones en la que ni tu vida ni tu salud están en riesgo,  están sujetas al pago del copago fijo y variable de la Red dónde ser brinde la atención. La determinación de la condición de emergencia médica es realizada por el profesional médico encargado de la atención, bajo responsabilidad (Decreto Supremo N° 016-2002-SA reglamento de Ley N° 27604 que modifica la Ley General de Salud N° 26842). 
El beneficio de reembolso sólo es aplicable en los casos que se trate de una atención de emergencia debidamente comprobada y en zonas alejadas de provincias donde no existan entidades vinculadas registradas en SUSALUD.
</t>
    </r>
    <r>
      <rPr>
        <b/>
        <sz val="10"/>
        <rFont val="Arial"/>
        <family val="2"/>
      </rPr>
      <t>Línea de PACÍFICO ASISTE (01) 415-1515</t>
    </r>
  </si>
  <si>
    <t>Continuidad de una Emergencia Accidental Ambulatoria</t>
  </si>
  <si>
    <t>Pacífico cubre la continuidad de la emergencia accidental ambulatoria hasta el alta del paciente, máximo 90 días.
(Ejemplos: terapias, rehabilitación, así como curaciones de heridas, cortes, retiro de yeso, etc.)</t>
  </si>
  <si>
    <t xml:space="preserve">Servicios de Ambulancias </t>
  </si>
  <si>
    <r>
      <rPr>
        <b/>
        <sz val="10"/>
        <rFont val="Arial"/>
        <family val="2"/>
      </rPr>
      <t xml:space="preserve">
Terrestre </t>
    </r>
    <r>
      <rPr>
        <sz val="10"/>
        <rFont val="Arial"/>
        <family val="2"/>
      </rPr>
      <t xml:space="preserve">(radio de cobertura)
</t>
    </r>
    <r>
      <rPr>
        <u/>
        <sz val="10"/>
        <rFont val="Arial"/>
        <family val="2"/>
      </rPr>
      <t>Lima</t>
    </r>
    <r>
      <rPr>
        <sz val="10"/>
        <rFont val="Arial"/>
        <family val="2"/>
      </rPr>
      <t xml:space="preserve">
- Por el Norte hasta Comas e Independencia.
- Por el sur hasta el peaje de Villa, San Juan de Miraflores y Villa del Salvador
- Por el Oeste hasta La Punta Callao.
- Por el Este hasta Chaclacayo y Lurigancho-Chosica (hasta Puente Los ángeles)
</t>
    </r>
    <r>
      <rPr>
        <u/>
        <sz val="10"/>
        <rFont val="Arial"/>
        <family val="2"/>
      </rPr>
      <t>Trujillo</t>
    </r>
    <r>
      <rPr>
        <sz val="10"/>
        <rFont val="Arial"/>
        <family val="2"/>
      </rPr>
      <t xml:space="preserve">
Distritos:
- Trujillo, Victor Larco, Huanchaco, Delicias, Moche, Salaverry, Laredo, La Esperanza, Porvenir, Florencia de Mora.
</t>
    </r>
    <r>
      <rPr>
        <u/>
        <sz val="10"/>
        <rFont val="Arial"/>
        <family val="2"/>
      </rPr>
      <t>Arequipa</t>
    </r>
    <r>
      <rPr>
        <sz val="10"/>
        <rFont val="Arial"/>
        <family val="2"/>
      </rPr>
      <t xml:space="preserve">
Distritos:
- Cercado  Arequipa, Yanahuara, Paucarpata, José Luis Bustamante y rivero, Sachaca, Hunter (hasta la plaza), Centro Colorado (no incluye Aeropuerto) y la parte baja de los distritos de Cayma, Mariano Melgar, Miraflores Y Alto Selva Alegre.
</t>
    </r>
    <r>
      <rPr>
        <u/>
        <sz val="10"/>
        <rFont val="Arial"/>
        <family val="2"/>
      </rPr>
      <t>Cuzco</t>
    </r>
    <r>
      <rPr>
        <sz val="10"/>
        <rFont val="Arial"/>
        <family val="2"/>
      </rPr>
      <t xml:space="preserve">
- Por el Sureste hasta San Sebastián y San Jerónimo.
- Por el Sur hasta Wanchaq.
- Por el Noroeste hasta Santiago.
- Por el Norte hasta Sacsayhuaman
</t>
    </r>
    <r>
      <rPr>
        <u/>
        <sz val="10"/>
        <rFont val="Arial"/>
        <family val="2"/>
      </rPr>
      <t>Piura</t>
    </r>
    <r>
      <rPr>
        <sz val="10"/>
        <rFont val="Arial"/>
        <family val="2"/>
      </rPr>
      <t xml:space="preserve">
- Por el norte Hasta los Ejidos, incluye Urb. Santa María del Pinar.
- Por el sur Hasta Urb. Miraflores y Av. Progreso de Castilla.
- Por el este Hasta AA.HH. San Pedro y Av. Circunvalación.
- Por el oeste Hasta Av. Prolongación Grau Cdra. 35.
</t>
    </r>
    <r>
      <rPr>
        <u/>
        <sz val="10"/>
        <rFont val="Arial"/>
        <family val="2"/>
      </rPr>
      <t xml:space="preserve">Talara </t>
    </r>
    <r>
      <rPr>
        <sz val="10"/>
        <rFont val="Arial"/>
        <family val="2"/>
      </rPr>
      <t xml:space="preserve">
- Ciudad de Negritos 
- Ciudad de Talara 
En otras ciudades el servicio es a reembolso.
</t>
    </r>
    <r>
      <rPr>
        <b/>
        <sz val="10"/>
        <rFont val="Arial"/>
        <family val="2"/>
      </rPr>
      <t/>
    </r>
  </si>
  <si>
    <t>Transporte por evacuación</t>
  </si>
  <si>
    <r>
      <rPr>
        <b/>
        <sz val="10"/>
        <rFont val="Arial"/>
        <family val="2"/>
      </rPr>
      <t xml:space="preserve">
Aérea</t>
    </r>
    <r>
      <rPr>
        <sz val="10"/>
        <rFont val="Arial"/>
        <family val="2"/>
      </rPr>
      <t xml:space="preserve">
Vuelo regular Nacional.
Se considera a un máximo de 2 pasajeros (paciente y profesional de salud) por evento. Solamente si es un menor de edad, se incluye el traslado adicional (1 pasaje) para un acompañante.
Este beneficio no cubre los gastos de alojamiento ni alimentación.
Este beneficio solo considera el transporte de ida ((para la atención inmediata de la emergencia).</t>
    </r>
  </si>
  <si>
    <t>TERAPIA FÍSICA Y REHABILITACIÓN</t>
  </si>
  <si>
    <t>Terapia Física y Rehabilitación</t>
  </si>
  <si>
    <t>Aplica para las condiciones y diagnósticos que se encuentren comprendidas en el Plan Esencial de Aseguramiento en Salud (PEAS) hasta las intervenciones por evento (sesiones de terapia física) que correspondan y/o diagnósticos de cobertura complementaria.</t>
  </si>
  <si>
    <t>Clínica Dr. Víctor Paredes (Cusco)</t>
  </si>
  <si>
    <t>Otras Clínicas Afiliadas de Provincia que cuenten con este servicio, excepto las precisadas en Provincias B y C. Para mayor información consulte nuestra página web, www.pacifico.com.pe</t>
  </si>
  <si>
    <t>Pediatric Plus</t>
  </si>
  <si>
    <t>Pacífico cubre la rehabilitación física derivada de una emergencia accidental ambulatoria hasta el alta del paciente, máximo 90 días en la red de clínicas afiliadas a su plan de salud que cuenten con este servicio.</t>
  </si>
  <si>
    <t>El copago fijo solo aplica a la consulta.</t>
  </si>
  <si>
    <t xml:space="preserve">PRÓTESIS QUIRÚRGICAS INTERNAS Y STENTS </t>
  </si>
  <si>
    <t>Prótesis Quirúrgicas Internas y Stents</t>
  </si>
  <si>
    <t>Crédito</t>
  </si>
  <si>
    <t>Hasta S/ 17,500.00 monto total como Beneficio Máximo Anual por persona, independiente del tipo y cantidad de prótesis indicadas.</t>
  </si>
  <si>
    <t>ONCOLOGÍA</t>
  </si>
  <si>
    <t>Oncología</t>
  </si>
  <si>
    <t>Atención Oncológica</t>
  </si>
  <si>
    <t>Unidad de Consejería Oncológica
(UCO)</t>
  </si>
  <si>
    <t xml:space="preserve">Es un nuevo servicio gratuito que ofrece Pacífico, a través del cual se brinda  atención personalizada a pacientes con cáncer y sus familiares. El servicio incluye una reunión de orientación al momento del diagnóstico para proveer información sobre el tipo de cáncer diagnosticado, los tratamientos disponibles, material de información y orientación sobre el uso de su plan de salud. Este servicio se realiza en las oficinas del Centro Oncológico Aliada. Av. Jose Galvez Barrenechea 1044 - San Isidro. </t>
  </si>
  <si>
    <t>Atención oncológica ambulatoria</t>
  </si>
  <si>
    <t>Evaluación médica especializada, tratamiento de quimioterapia, procedimientos médicos ambulatorios.</t>
  </si>
  <si>
    <t>Neomedic</t>
  </si>
  <si>
    <t>Instituto Oncológico de Lima</t>
  </si>
  <si>
    <t>Clínicas afiliadas a su plan de salud.</t>
  </si>
  <si>
    <t>Atención oncológica hospitalaria</t>
  </si>
  <si>
    <t>Evaluación médica especializada, tratamiento de quimioterapia, cirugías oncológicas.</t>
  </si>
  <si>
    <t>SANNA Clínica Sánchez Ferrer (Trujillo)</t>
  </si>
  <si>
    <t>Apoyo al diagnóstico - Imágenes</t>
  </si>
  <si>
    <t>DPI del Perú</t>
  </si>
  <si>
    <t>Genecode</t>
  </si>
  <si>
    <t>Petscan</t>
  </si>
  <si>
    <t>Centro de diagnóstico Pet CT Perú. Hasta dos veces al año.</t>
  </si>
  <si>
    <t>Radioterapia</t>
  </si>
  <si>
    <t>Centro de Radioterapia 
de Lima</t>
  </si>
  <si>
    <t>Tratamiento de última generación con modificadores de respuesta biológica para el Cáncer</t>
  </si>
  <si>
    <t xml:space="preserve">Anticuerpos monoclonales, Antiangiogénicos, Inhibidores del Proteosoma, Inhibidores de la Tirosin Kinasa, Factores estimulantes de colonia, Tratamiento con Interferón.                                            </t>
  </si>
  <si>
    <t>Patologías como consecuencia del tratamiento oncológico</t>
  </si>
  <si>
    <t>Complicaciones post-quirúrgica que se presenten hasta en un plazo máximo de 3 semanas de la fecha de aplicación del tratamiento: 
Complicación hemorrágica post-operatoria inmediata.</t>
  </si>
  <si>
    <t>Complicaciones post-quimioterapia o terapia biológica que se presente hasta por un plazo 
máximo de 3 semanas de la fecha de aplicación del tratamiento, solo incluye: 
Neutropenia febril, pancitopenia, anemia aguda, trombocitopenia, hipercalcemia tumoral,  deshidratación, reacción alérgica, mucositis orofaringoesofágica.</t>
  </si>
  <si>
    <t>Complicaciones de la radioterapia que se presente hasta por un plazo máximo de 12 semanas de la fecha de aplicación del tratamiento, solo incluye: 
Epitelitis actínica, mucositis, proctitis, cistitis, esofagitis y neumonitis actínica.</t>
  </si>
  <si>
    <t>Infección o trombosis del catéter central.</t>
  </si>
  <si>
    <t>Intoxicación por quimioterapia.</t>
  </si>
  <si>
    <t>Otras complicaciones
La atención se brinda en las redes de clínicas afiliadas, respetando los copagos fijos y variables del beneficio Ambulatorio u Hospitalario.</t>
  </si>
  <si>
    <t>Otros beneficios</t>
  </si>
  <si>
    <t>Cirugía de hallazgo, nutrición parenteral y segunda opinión nacional.</t>
  </si>
  <si>
    <t>Los tratamientos brindados, son de acuerdo a las Guías de Manejo Oncológico de la NCCN (National Cáncer Comprehensive Network) de los Estados Unidos de Norteamérica con categorías de evidencia y consenso 1 ó 2A y ensayos clínicos de fase III concluidos. Trasplante de médula (ver beneficio trasplante de órganos).</t>
  </si>
  <si>
    <t>CUIDADOS DEL PACIENTE CON ENFERMEDAD ONCOLÓGICA TERMINAL (1)</t>
  </si>
  <si>
    <t xml:space="preserve">Atención que ofrece Pacífico para mejorar la calidad de vida de los pacientes oncológicos en estado terminal de la enfermedad, brindando atención ambulatoria y en su domicilio, donde se cubrirá el manejo paliativo (aliviar el sufrimiento) en esta etapa del cáncer. Para casos de atención domiciliaria, se incluye la implementación de una cama clínica mecánica, medicamentos sintomáticos, soluciones para hidratación, bomba de infusión, oxímetro de pulso y oxígeno, siempre y cuando tenga la indicación del médico  tratante. En caso sea médicamente necesario, podrá incluir servicio de técnica de enfermería hasta por un máximo de 12 horas sólo en horario diurno. </t>
  </si>
  <si>
    <t xml:space="preserve">Cuidado Paliativo en el hogar y Tratamiento del dolor </t>
  </si>
  <si>
    <t>Previa evaluación y aprobación de PACIFICO EPS. 
Aplican condiciones(*). Solo en Lima llamando al (01) 513-5000.</t>
  </si>
  <si>
    <t xml:space="preserve">El beneficio es cubierto por el proveedor Centro Oncológico Aliada. </t>
  </si>
  <si>
    <t>Se cubrirá por un periodo máximo de 6 meses.</t>
  </si>
  <si>
    <t>(*)No incluye tratamientos dirigidos al cáncer, terapias preventivas, antimicrobianos, antocoagulantes, inotropos/vasopresores, coloides, trasfusiones, manejo de ulceras de presión, otros mobiliarios (mesas, silla de ruedas, monitores, ventiladores mecánicos), ni otros items comprendidos en las exclusiones de su contrato. No incluye exámenes auxiliares de laboratorio ni de imágenes.
(1) Presencia de una enfermedad neoplásica maligna avanzada, progresiva e incurable, sin opción de mejoría con tratamientos oncológicos, y con pronóstico de vida inferior a 4 meses (periodo comprendido entre enfermedad incurable avanzada y la situación de agonía), en un contexto de fragilidad progresiva. Escala PPI mayor a 6 y escala Zubrod mayor a 3.</t>
  </si>
  <si>
    <t>VIH - SIDA (período de espera 36 meses)</t>
  </si>
  <si>
    <t>VIH SIDA</t>
  </si>
  <si>
    <t>Atenciones ambulatorias y/o hospitalarias de acuerdo a la Norma Técnica de Salud (NTS) de Atención del Adulto con Infección por el Virus de la Inmunodeficiencia Humana y el Tratamiento Antirretroviral de Gran Actividad – TARGA del Ministerio de Salud del Perú (MINSA).</t>
  </si>
  <si>
    <t>Atención ambulatoria: Consultas médicas y exámenes de laboratorio según Protocolo del Ministerio de Salud del Perú (MINSA).</t>
  </si>
  <si>
    <t>Red Lima 1</t>
  </si>
  <si>
    <t xml:space="preserve">Asociación Vía Libre </t>
  </si>
  <si>
    <t>Red Lima 2</t>
  </si>
  <si>
    <t>Clínica Cayetano Heredia</t>
  </si>
  <si>
    <t xml:space="preserve">
Red Provincias 1</t>
  </si>
  <si>
    <t>SANNA Clínica Belén (Piura)</t>
  </si>
  <si>
    <t>SANNA Clínica Sánchez Ferrer(Trujillo)</t>
  </si>
  <si>
    <t>Clínica San Francisco de Asís (Cajamarca)</t>
  </si>
  <si>
    <t>Clínica Ana Stahl (Iquitos)</t>
  </si>
  <si>
    <t>Red Provincias 2</t>
  </si>
  <si>
    <t>Otros establecimientos que brinden el servicio, de acuerdo a su Plan.</t>
  </si>
  <si>
    <t>Medicinas - Esquema TARGA: Aplica Protocolo según normativa vigente Ministerio de Salud del Perú (MINSA).</t>
  </si>
  <si>
    <t>Asociación Vía Libre (Tratamiento antiretroviral - Medicamentos MINSA).</t>
  </si>
  <si>
    <t>Asociación Vía libre (Tratamiento antiretroviral)
Entrega directa o por delivery</t>
  </si>
  <si>
    <t>Red Provincias 1</t>
  </si>
  <si>
    <t>Asociación Vía libre (Tratamiento antiretroviral). Sólo aplica delivery.</t>
  </si>
  <si>
    <r>
      <rPr>
        <b/>
        <sz val="10"/>
        <rFont val="Arial"/>
        <family val="2"/>
      </rPr>
      <t xml:space="preserve">Medicinas - Esquema de rescate: </t>
    </r>
    <r>
      <rPr>
        <sz val="10"/>
        <rFont val="Arial"/>
        <family val="2"/>
      </rPr>
      <t xml:space="preserve">En la Red ambulatoria VIH-SIDA de Lima y Provincias, de acuerdo a la normativa vigente del Ministerio de Salud del Perú (MINSA). </t>
    </r>
  </si>
  <si>
    <t>Atención hospitalaria: Según Protocolo del Ministerio de Salud del Perú (MINSA). Aplica Petitorio Farmacológico de Pacifico.</t>
  </si>
  <si>
    <t>SALUD MENTAL (período de espera 18 meses)</t>
  </si>
  <si>
    <t>Salud Mental PEAS</t>
  </si>
  <si>
    <t xml:space="preserve">Atenciones ambulatorias y/o hospitalarias de acuerdo a las condiciones, diagnósticos e intervenciones por evento que se encuentren comprendidas en el Plan de Salud. 
Incluye cobertura de las siguientes condiciones de salud: Esquizofrenia, depresión, ansiedad y alcoholismo agudo.
Aplica Petitorio Farmacológico de Pacifico. Atención de medicamentos en cadenas de farmacias afiliadas. </t>
  </si>
  <si>
    <t>Atención ambulatoria: Consultas médicas y exámenes de laboratorio.</t>
  </si>
  <si>
    <t>Red Lima</t>
  </si>
  <si>
    <t>Red Provincias</t>
  </si>
  <si>
    <t>Psicoterapia: Para las siguientes condiciones de salud: depresión, ansiedad y alcoholismo agudo.</t>
  </si>
  <si>
    <t>Red Lima (copago fijo por sesión)</t>
  </si>
  <si>
    <t>Clínica San Judas Tadeo</t>
  </si>
  <si>
    <t>Red Provincia  (copago fijo por sesión)</t>
  </si>
  <si>
    <t>Centro Médico CIMA (Cuzco)</t>
  </si>
  <si>
    <t>Hogar Clínica San Juan De Dios (Cusco)</t>
  </si>
  <si>
    <t>Clínica San Perdro (Chimbote)</t>
  </si>
  <si>
    <t>Medicinas: Aplica Petitorio Farmacológico de Pacifico.</t>
  </si>
  <si>
    <t>Red Lima y 
Provincias</t>
  </si>
  <si>
    <t>Mifarma</t>
  </si>
  <si>
    <t>Inkafarma</t>
  </si>
  <si>
    <t>Atención Hospitalaria: No aplica para condición de ansiedad.</t>
  </si>
  <si>
    <t>1 día de habitación unipersonal</t>
  </si>
  <si>
    <t>1 día de habitación unipersonal.</t>
  </si>
  <si>
    <t>Red sujeta a modificación y disponibilidad del servicio.</t>
  </si>
  <si>
    <t>BENEFICIOS DE SALUD MENTAL (Sólo a crédito)</t>
  </si>
  <si>
    <t>Beneficios de Salud Mental</t>
  </si>
  <si>
    <r>
      <t xml:space="preserve">   Primera Consulta. </t>
    </r>
    <r>
      <rPr>
        <sz val="10"/>
        <rFont val="Arial"/>
        <family val="2"/>
      </rPr>
      <t>No incluye: medicamentos ni hospitalización.</t>
    </r>
  </si>
  <si>
    <t xml:space="preserve">Red Psicológica </t>
  </si>
  <si>
    <t xml:space="preserve">Felizmente Seguros sólo en Lima </t>
  </si>
  <si>
    <r>
      <t xml:space="preserve">   Consulta Psicológica (por consulta) Entrevista y Orientación. </t>
    </r>
    <r>
      <rPr>
        <sz val="10"/>
        <rFont val="Arial"/>
        <family val="2"/>
      </rPr>
      <t>No incluye: medicamentos ni hospitalización.</t>
    </r>
  </si>
  <si>
    <t>Red Psicológica 1</t>
  </si>
  <si>
    <t>Instituto de Salud Libertad solo Lima</t>
  </si>
  <si>
    <t>Red Psicológica 2</t>
  </si>
  <si>
    <t>Red Psicológica 3</t>
  </si>
  <si>
    <t>En provincias: En clínicas afiliadas que cuenten con este servicio.</t>
  </si>
  <si>
    <r>
      <t xml:space="preserve">   Consulta Psiquiátrica (por consulta) </t>
    </r>
    <r>
      <rPr>
        <sz val="10"/>
        <rFont val="Arial"/>
        <family val="2"/>
      </rPr>
      <t>No incluye: medicamentos ni hospitalización.</t>
    </r>
  </si>
  <si>
    <r>
      <t xml:space="preserve">   Psicoterapia individual. </t>
    </r>
    <r>
      <rPr>
        <sz val="10"/>
        <rFont val="Arial"/>
        <family val="2"/>
      </rPr>
      <t>No incluye: medicamentos ni hospitalización.</t>
    </r>
  </si>
  <si>
    <t>Red psicológica 2</t>
  </si>
  <si>
    <t>Red psicológica 3</t>
  </si>
  <si>
    <t>En provincias: En clínicas afiliadas que cuenten con este servicio.
No incluye: medicamentos ni hospitalización.</t>
  </si>
  <si>
    <r>
      <t xml:space="preserve">  Psicoterapia Grupal. </t>
    </r>
    <r>
      <rPr>
        <sz val="10"/>
        <rFont val="Arial"/>
        <family val="2"/>
      </rPr>
      <t>No incluye: medicamentos ni hospitalización.</t>
    </r>
  </si>
  <si>
    <t xml:space="preserve">Red psicológica 3 </t>
  </si>
  <si>
    <r>
      <t xml:space="preserve">  Psicoterapia de pareja.</t>
    </r>
    <r>
      <rPr>
        <sz val="10"/>
        <rFont val="Arial"/>
        <family val="2"/>
      </rPr>
      <t xml:space="preserve"> No incluye: medicamentos ni hospitalización.</t>
    </r>
  </si>
  <si>
    <r>
      <t xml:space="preserve">  Evaluaciones Psicológicas en niños y adolescentes (sólo en Lima.  </t>
    </r>
    <r>
      <rPr>
        <sz val="10"/>
        <rFont val="Arial"/>
        <family val="2"/>
      </rPr>
      <t>No incluye: medicamentos ni hospitalización.</t>
    </r>
  </si>
  <si>
    <t>Instituto de Salud Libertad
sólo en Lima</t>
  </si>
  <si>
    <t>Descarte orgánico cerebral</t>
  </si>
  <si>
    <t>Inteligencia / capacidad intelectual</t>
  </si>
  <si>
    <t>Desarrollo Psicomotor</t>
  </si>
  <si>
    <t>Desarrollo social</t>
  </si>
  <si>
    <t>Orientación vocacional</t>
  </si>
  <si>
    <t>Prueba de personalidad</t>
  </si>
  <si>
    <t>Otros: depresión, ansiedad, stress, esquizofrenia, maniaco depresivo, entre otros.</t>
  </si>
  <si>
    <t>Felizmente Seguro sólo en Lima</t>
  </si>
  <si>
    <t>Orientación vocacional. Paquete de 6 sesiones, 5 de evaluación y 1 de resultado con informe escrito.</t>
  </si>
  <si>
    <t>Otros: depresión, ansiedad, stress, esquizofrenia, maniaco depresión, entre otros.</t>
  </si>
  <si>
    <r>
      <t xml:space="preserve">Evaluaciones Psicológicas por área en adultos o adultos mayores (sólo en Lima)
</t>
    </r>
    <r>
      <rPr>
        <sz val="10"/>
        <rFont val="Arial"/>
        <family val="2"/>
      </rPr>
      <t>No incluye: medicamentos ni hospitalización.</t>
    </r>
  </si>
  <si>
    <t>Personalidad</t>
  </si>
  <si>
    <r>
      <rPr>
        <b/>
        <sz val="10"/>
        <rFont val="Arial"/>
        <family val="2"/>
      </rPr>
      <t xml:space="preserve">Las atenciones se realizan en:
</t>
    </r>
    <r>
      <rPr>
        <sz val="10"/>
        <rFont val="Arial"/>
        <family val="2"/>
      </rPr>
      <t>• Felizmente Seguros ubicado en el Pasaje Sucre N° 189 Of. 202 - Miraflores - Lima. Teléfonos: 637-6565 / 445-3963.
• Instituto de Salud Libertad ubicado en la Av. Ernesto Diez Canseco 493 - Miraflores - Lima. Teléfono: 2430332.</t>
    </r>
  </si>
  <si>
    <t xml:space="preserve">ATENCIÓN PREVENTIVO PROMOCIONALES </t>
  </si>
  <si>
    <t>Atención Preventivo Promocionales</t>
  </si>
  <si>
    <t>Programa preventivo promocional</t>
  </si>
  <si>
    <t xml:space="preserve"> Chequeos preventivos</t>
  </si>
  <si>
    <t>Según Manual del Afiliado y Guía de Establecimientos Afiliados, anexo al manual y/o en nuestra página web, www.pacifico.com.pe</t>
  </si>
  <si>
    <t>Inmunizaciones</t>
  </si>
  <si>
    <t>Según detalle en el Manual del Afiliado adjunto y plan elegido y/o en nuestra página web, www.pacifico.com.pe</t>
  </si>
  <si>
    <t>PREPARACIÓN PARA EL PARTO (PSICOPROFILAXIS)</t>
  </si>
  <si>
    <t>Preparación para el parto (Psicoprofilaxis)</t>
  </si>
  <si>
    <r>
      <rPr>
        <b/>
        <sz val="10"/>
        <rFont val="Arial"/>
        <family val="2"/>
      </rPr>
      <t>Crédito</t>
    </r>
    <r>
      <rPr>
        <sz val="10"/>
        <rFont val="Arial"/>
        <family val="2"/>
      </rPr>
      <t xml:space="preserve">
El curso consta de 7 sesiones gratuitas</t>
    </r>
  </si>
  <si>
    <t xml:space="preserve"> Red Lima</t>
  </si>
  <si>
    <t xml:space="preserve">Clínica Good Hope </t>
  </si>
  <si>
    <t>SANNA  Clínica El Golf</t>
  </si>
  <si>
    <t>Clinica San Felipe</t>
  </si>
  <si>
    <t>Escuela para Embarazadas</t>
  </si>
  <si>
    <t xml:space="preserve">Clínica Centenario Peruano Japonesa </t>
  </si>
  <si>
    <t>Milagro de Vida</t>
  </si>
  <si>
    <t xml:space="preserve"> Red Provincias</t>
  </si>
  <si>
    <t xml:space="preserve"> Clínicas Afiliadas en Provincia para Psicoprofilaxis</t>
  </si>
  <si>
    <t>ESTIMULACION TEMPRANA</t>
  </si>
  <si>
    <t>Copago fijo
 (S/)</t>
  </si>
  <si>
    <r>
      <rPr>
        <b/>
        <sz val="10"/>
        <rFont val="Arial"/>
        <family val="2"/>
      </rPr>
      <t>Sesión de estimulación temprana:</t>
    </r>
    <r>
      <rPr>
        <sz val="10"/>
        <rFont val="Arial"/>
        <family val="2"/>
      </rPr>
      <t xml:space="preserve">  Sesiones de hasta 45 min., cobertura de un máximo de 13 sesiones en total.
Red sujeta a modificación y a disponibilidad del servicio.</t>
    </r>
  </si>
  <si>
    <t>Red Lima
(copago fijo por sesión)</t>
  </si>
  <si>
    <t>Servicios Prenatal (Miraflores)</t>
  </si>
  <si>
    <t>Servicios Prenatal (Santiago de Surco)</t>
  </si>
  <si>
    <t xml:space="preserve">
Red Provincias
(copago fijo por sesión)</t>
  </si>
  <si>
    <t>Carita Feliz (Piura)</t>
  </si>
  <si>
    <t>Hogar Clínica San Juan de Dios (Arequipa)</t>
  </si>
  <si>
    <t>Servicios Prenatal (Arequipa)</t>
  </si>
  <si>
    <t xml:space="preserve"> ENFERMEDADES CONGÉNITAS</t>
  </si>
  <si>
    <t>Enfermedades congénitas</t>
  </si>
  <si>
    <t xml:space="preserve"> Atención como Ambulatorio/Hospitalario</t>
  </si>
  <si>
    <t>Atenciones Ambulatorias y/o Hospitalarias para los niños cuya concepción fue dentro de la vigencia del Plan de Salud de la entidad empleadora actual y cuya inscripción sea dentro del mes de nacimiento y/o para aquellos que hayan tenido cobertura de este beneficio en su anterior EPS y por lo tanto tengan derecho a continuidad de cobertura de acuerdo a la Ley N° 29561 – Ley que establece la Continuidad en la Cobertura de Preexistencias en el Plan de Salud de las Entidades Prestadoras de Salud. 
Para aquellos niños concebidos y nacidos fuera del Plan de Salud corresponderá sólo la cobertura de las condiciones, diagnósticos e intervenciones por evento que se encuentren comprendidos en el Plan de Salud: Hidrocefalia congénita, Hipotiroidismo congénito, Displasia congénita de cadera y Paladar hendido.
El beneficio se brinda en las redes de clínicas afiliadas según plan elegido</t>
  </si>
  <si>
    <t>COBERTURA CON TERAPIA BIOLOGICA PARA CASOS NO ONCOLÓGICOS</t>
  </si>
  <si>
    <t xml:space="preserve">Tratamiento de última generación con modificadores de respuesta biológica </t>
  </si>
  <si>
    <r>
      <t xml:space="preserve">
I.          Este beneficio se ofrece solo para los siguientes diagnósticos y medicamentos, los cuales deben indicarse en el momento, dosis y fase del esquema reconocido por las Sociedades Médicas Internacionales, con los criterios de inclusión y exclusión respectivos. No se cubren medicamentos que no se mencionen en esta lista, así sean similares, pertenezcan a la misma familia o cuenten con aprobación por FDA/EMA.
</t>
    </r>
    <r>
      <rPr>
        <b/>
        <sz val="10"/>
        <rFont val="Arial"/>
        <family val="2"/>
      </rPr>
      <t>Reumatología:</t>
    </r>
    <r>
      <rPr>
        <sz val="10"/>
        <rFont val="Arial"/>
        <family val="2"/>
      </rPr>
      <t xml:space="preserve">
1. Artritis reumatoide seropositiva: Golimumab, Etanercept, Tofacitinib, Tocilizumab, Rituximab, Abatacept
2. Artritis reumatoide juvenil: Golimumab, Etanercept, Abatacept,Tocilizumab, Ustekinumab, Canakinumab
3. Artropatías seronegativas (Artritis psoriásica/psoriasis, espondilitis anquilosante): Golimumab, Etanercept, Tofacitinib, Abatacept, Ustekinumab, Canakinumab
4. Lupus eritematoso sistémico: Rituximab
5. Osteoporosis: Denosumab
6. Vasculitis ANCA: Rituximab 
</t>
    </r>
    <r>
      <rPr>
        <b/>
        <sz val="10"/>
        <rFont val="Arial"/>
        <family val="2"/>
      </rPr>
      <t>Neurología:</t>
    </r>
    <r>
      <rPr>
        <sz val="10"/>
        <rFont val="Arial"/>
        <family val="2"/>
      </rPr>
      <t xml:space="preserve">
1. Esclerosis múltiple: Ocrelizumab, Alemtuzumab
</t>
    </r>
    <r>
      <rPr>
        <b/>
        <sz val="10"/>
        <rFont val="Arial"/>
        <family val="2"/>
      </rPr>
      <t>Cardiología:</t>
    </r>
    <r>
      <rPr>
        <sz val="10"/>
        <rFont val="Arial"/>
        <family val="2"/>
      </rPr>
      <t xml:space="preserve">
1. Sindrome coronario agudo: Abciximab
</t>
    </r>
    <r>
      <rPr>
        <b/>
        <sz val="10"/>
        <rFont val="Arial"/>
        <family val="2"/>
      </rPr>
      <t>Gastroenterología:</t>
    </r>
    <r>
      <rPr>
        <sz val="10"/>
        <rFont val="Arial"/>
        <family val="2"/>
      </rPr>
      <t xml:space="preserve">
1. Colitis ulcerativa:Golimumab, Etanercept, Ustekinumab, Canakinumab, Tofacitinib
2. Enfermedad de Crohn:Golimumab, Etanercept, Ustekinumab, Canakinumab
   </t>
    </r>
  </si>
  <si>
    <t>Sin copago</t>
  </si>
  <si>
    <t xml:space="preserve"> II.          Este beneficio no está incluido en las coberturas en exceso a 50,000 al 100%
 III.          No se cubre terapia biológica en oftalmología, dislipidemia, terapia del dolor, neumología, hematología, endocrinología, dermatología ni en otras patologías fuera de las mencionadas arriba en el listado de condiciones cubiertas.
IV.         Adicional a los mencionados, se cubren Pavilizumab, Interferón y Epoetina de acuerdo a las indicaciones aprobadas por FDA/EMA.
La medicación deberá ser coordinada a través del Programa de Tratamientos Complejos, para mayor detalle del programa ingresar al siguiente link:  https://www.pacifico.com.pe/programas-salud/tratamientoscomplejos </t>
  </si>
  <si>
    <t>BOTOX (TOXINA BOTULÍNICA) PARA CASOS TERAPÉUTICOS</t>
  </si>
  <si>
    <t>Para pertinencia médica con fines terapéuticos</t>
  </si>
  <si>
    <t>Para casos neurológicos como Espasmo Palpebral, Distonia Cervical, Espasticidad en Adultos.
El beneficio se brinda en las redes de clínicas afiliadas según plan elegido.</t>
  </si>
  <si>
    <t>TERAPIA HORMONAL PARA MENOPAUSIA</t>
  </si>
  <si>
    <t>Durante la menopausia las mujeres presentan una disminución de la producción hormonal, lo cual ocasiona algunas molestias propias del cambio como: sudores repentinos, sequedad en el tejido vaginal, así como debilitamiento de las estructuras óseas (osteoporosis, que también está cubierto según las condiciones de su plan de salud). Cubrimos la terapia hormonal basados en los tratamientos aprobados por la FDA, con el fin de disminuir estas molestias.
El beneficio se brinda en las redes de clínicas afiliadas según plan elegido.</t>
  </si>
  <si>
    <t>DESASTRES NATURALES</t>
  </si>
  <si>
    <t>El plan de salud cubre los gastos médicos por lesiones a consecuencia de desastres naturales tales como terremotos, maremotos, tsunamis, inundaciones y tormentas. El beneficio se brinda en las redes de clínicas afiliadas según el plan elegido por cliente respetando los copagos fijos y variables.</t>
  </si>
  <si>
    <t>TERRORISMO</t>
  </si>
  <si>
    <t>El plan de salud incluye la cobertura de terrorismo, terrorismo biológico, químico y nuclear, excepto en participación activa. El beneficio se brinda en las redes de clínicas afiliadas según el plan elegido por cliente respetando los copagos fijos y variables.</t>
  </si>
  <si>
    <t>ENFERMEDADES EPIDÉMICAS</t>
  </si>
  <si>
    <t>El plan de salud cubre los gastos médicos por enfermedades epidémicas, así declaradas por el Ministerio de Salud. El beneficio se brinda en las redes de clínicas afiliadas según el plan elegido por cliente respetando los copagos fijos y variables.</t>
  </si>
  <si>
    <t xml:space="preserve">GASTOS POR TRASPLANTE DE ÓRGANOS </t>
  </si>
  <si>
    <t>Copago 
(S/)</t>
  </si>
  <si>
    <t xml:space="preserve">Es un procedimiento terapéutico que consiste en sustituir un órgano o tejido enfermo por otro órgano, segmento de órgano o tejido sano, procedente de un donante vivo o un donante cadavérico. Este plan sólo da cobertura a trasplante de médula ósea y córnea. Se excluye cualquier otro trasplante de órganos. Atención sólo a crédito. </t>
  </si>
  <si>
    <t xml:space="preserve"> Se cubrirá hasta el monto asegurado de su plan de salud.</t>
  </si>
  <si>
    <t>Trasplante de médula ósea. El beneficio aplica solo en SANNA Clínica San Borja. 
Cobertura para todas las fases del trasplante: evaluación del receptor, evaluación del donante,colecta,acondicionamiento,trasplante,complicaciones, fase de injerto y control por un año. (*)  
- Aplica periodo de espera de 24 meses
- Atención al crédito (**)
- Se cubre trasplante autólogo y alogénico con donante emparentado (excepto trasplante haploidentico) para aquellas enfermedades oncológicas con indicación en la NCCN y nivel de categoría y consenso 1 y 2ª.
(*) De acuerdo a protocolo consensuado entre prestador y financiador.
(**) Sólo en establecimientos que tengan acreditación vigente como establecimiento de salud Donador-Trasplantador expedido por la ONDT (Organismo Nacional de Donación y Trasplante) del Ministerio de Salud.</t>
  </si>
  <si>
    <t>Trasplante de córnea. El beneficio aplica solo en Oculaser.</t>
  </si>
  <si>
    <t>Amb/Hosp</t>
  </si>
  <si>
    <t>PLANIFICACIÓN FAMILIAR (INSERCIÓN  Y RETIRO DEL DISPOSITIVO INTRAUTERINO)</t>
  </si>
  <si>
    <t>Planificación Familiar (inserción y retiro….)</t>
  </si>
  <si>
    <t>Se cubre la inserción y retiro del dispositivo intrauterino (DIU). En clínicas afiliadas al plan de salud.
No se cubre el DIU.</t>
  </si>
  <si>
    <t>PLANIFICACIÓN FAMILIAR</t>
  </si>
  <si>
    <t>Planificación Familiar PEAS</t>
  </si>
  <si>
    <t>Atenciones ambulatorias de acuerdo a las condiciones de salud e intervenciones por evento comprendidas en la población sana del Plan Esencial de Aseguramiento en Salud (PEAS).</t>
  </si>
  <si>
    <t>Consejería en Planificación familiar: Aplica a partir de los 10 años. Consejería sobre los diferentes métodos anticonceptivos.
Cobertura anual: hasta 2 consultas (1 c/ 6 meses). No incluye métodos anticonceptivos hormonales y no hormonales.</t>
  </si>
  <si>
    <r>
      <t xml:space="preserve">Anticoncepción quirúrgica voluntaria : </t>
    </r>
    <r>
      <rPr>
        <sz val="10"/>
        <rFont val="Arial"/>
        <family val="2"/>
      </rPr>
      <t xml:space="preserve">Aplica a partir de los 20 años de edad. Se cubre ligadura de trompas y vasectomía     </t>
    </r>
    <r>
      <rPr>
        <b/>
        <sz val="10"/>
        <rFont val="Arial"/>
        <family val="2"/>
      </rPr>
      <t xml:space="preserve">                                                                 </t>
    </r>
  </si>
  <si>
    <t xml:space="preserve">Anticoncepción quirúrgica voluntaria femenina (ligadura de trompas durante el parto por cesárea). </t>
  </si>
  <si>
    <t>Clínica Good hope</t>
  </si>
  <si>
    <t>Red Lima 3</t>
  </si>
  <si>
    <t>Otros establecimientos que brinden el servicio, de acuerdo a su Plan de salud.</t>
  </si>
  <si>
    <t>Establecimientos que brinden el servicio, de acuerdo a su Plan de Salud</t>
  </si>
  <si>
    <t>Anticoncepción quirúrgica voluntaria femenina no asociada al parto (ligadura de trompas, técnica quirúrgica convencional). Sólo al crédito.</t>
  </si>
  <si>
    <t>Anticoncepción quirúrgica voluntaria masculina (vasectomía). Sólo al credito.</t>
  </si>
  <si>
    <t>Central de Información y Consultas</t>
  </si>
  <si>
    <t>ATENCIÓN AL CLIENTE: las 24 horas en nuestra Central de Información y Consultas.</t>
  </si>
  <si>
    <t>Central de Información y Consultas (01) 513-5000 desde Lima y Provincias.
Cordiales operadoras se encuentran a su servicio las 24 horas del día, los 365 días del año. Ellas se encargarán de responder sus inquietudes, brindarle mayor información sobre nuestros servicios (consultas, coberturas, staff médico, etc.) y brindarles soluciones a sus quejas o reclamos.
Sólo llame y será atendido.</t>
  </si>
  <si>
    <t>5.- BENEFICIO DE PERIODO DE LATENCIA</t>
  </si>
  <si>
    <t>En caso de desempleo o suspensión perfecta de labores que genere la pérdida del derecho de cobertura, los afiliados regulares que cuenten con un mínimo de cinco meses de aportación, consecutivos o no consecutivos, durante los 3 años precedentes al cese o suspensión perfecta de labores, y sus derechohabientes, tienen el derecho a las prestaciones médicas incluidas en el Plan Esencial de Aseguramiento Universal en Salud (PEAS) hasta 06 meses, a través de Pacifico Salud S.A. EPS y prestaciones médicas no incluidas en el Plan Esencial de Aseguramiento Universal en Salud (NO PEAS) hasta 12 meses a través de ESSALUD, a razón de dos meses de latencia por cada cinco meses de aportación.
Solo válido para el grupo de Clínicas Afiliadas que pertenecen a la Red 1 y Provincias A.
Para mayor detalle ver el Manual del Afiliado y/o en nuestra página web, www.pacifico.com.pe
En caso haya tramitado la latencia, Essalud nos enviará el detalle del  periodo y de los derechohabientes legales con derecho a la cobertura de Latencia en Pacífico, en caso te encuentres en periodo de Latencia puedes obtener una copia del plan de salud en plataforma o llamando a la Central de Información o Consultas al 01 513-5000.</t>
  </si>
  <si>
    <t>6.- COTIZACIÓN DE APORTES</t>
  </si>
  <si>
    <t>APORTES MENSUALES Soles</t>
  </si>
  <si>
    <t>Aporte Total</t>
  </si>
  <si>
    <t>(Incluyen Tributos de Ley y Gastos)</t>
  </si>
  <si>
    <t>Aporte225</t>
  </si>
  <si>
    <t>PERÍODO DE EVALUACIÓN :   SEMESTRAL</t>
  </si>
  <si>
    <t>7.- MÉTODO DE REAJUSTE DE APORTES DE PLAN DE SALUD BASE</t>
  </si>
  <si>
    <t>RANGOS DE SINIESTRALIDAD</t>
  </si>
  <si>
    <t>COPAGO</t>
  </si>
  <si>
    <t>COBERTURA</t>
  </si>
  <si>
    <t>VARIACIÓN DE APORTES</t>
  </si>
  <si>
    <t xml:space="preserve">S&lt;= </t>
  </si>
  <si>
    <t>NO</t>
  </si>
  <si>
    <t>&lt; S &lt;= 100%</t>
  </si>
  <si>
    <t>Copago x 1.50</t>
  </si>
  <si>
    <t xml:space="preserve">S - </t>
  </si>
  <si>
    <t>100% &lt; S &lt;= 150%</t>
  </si>
  <si>
    <t>Cobertura - 5%</t>
  </si>
  <si>
    <t>( S -</t>
  </si>
  <si>
    <t xml:space="preserve"> ) * 1.1</t>
  </si>
  <si>
    <t>S &gt; 150%</t>
  </si>
  <si>
    <t>Cobertura - 10%</t>
  </si>
  <si>
    <t xml:space="preserve"> ) * 1.2</t>
  </si>
  <si>
    <t>CONDICIONES:
La aplicación del reajuste es procedente siempre que la EPS cumpla con brindar la información contemplada en el párrafo cuarto de la Cláusula Décima Octava del presente Contrato.
Previamente a la aplicación del reajuste de los aportes y dentro de los plazos acordados entre las partes, LA EPS deberá haber cumplido con presentar a LA ENTIDAD EMPLEADORA, un reporte de siniestralidad, debidamente sustentado y analizado, señalando las medidas orientadas a la racionalización del gasto.
El reajuste de copagos o aportes (si los hubiera) serán aplicados semestralmente a partir del primer día del sétimo mes de vigencia del plan. Este plazo podrá ser en períodos menores, por acuerdo de partes.
Los datos utilizados para el cálculo de reajuste (incluyen tributos de ley y gastos).</t>
  </si>
  <si>
    <t>ECUACIÓN DE SINIESTRALIDAD</t>
  </si>
  <si>
    <t>S =</t>
  </si>
  <si>
    <t>(P + R)
-----------
A</t>
  </si>
  <si>
    <t>S = Siniestralidad (%)
P = Prestaciones netas Liquidadas en los primeros 4 meses del período de
validación para el reajuste (últimos seis meses); sin incluir los montos de las
prestaciones catastróficas o excepcionales por su alto costo.
A = Aportes Netos de los 6 últimos meses.
R = Reservas : Promedio de prestaciones liquidadas de los primeros 4 meses
del período de validación para el reajuste (últimos seis meses), multiplicado por 2.</t>
  </si>
  <si>
    <t>8. - INFORMACIÓN REGLAMENTARIA</t>
  </si>
  <si>
    <r>
      <t>Afiliados Regulares:</t>
    </r>
    <r>
      <rPr>
        <sz val="10"/>
        <rFont val="Arial"/>
        <family val="2"/>
      </rPr>
      <t xml:space="preserve"> Son aquellos trabajadores activos de una empresa que laboran como dependientes, además de sus derechohabientes o dependientes legales (Cónyuge o concubina(o), hijos menores de edad o mayores incapacitados en forma total o permanente).</t>
    </r>
  </si>
  <si>
    <r>
      <t xml:space="preserve">Sistema de Quejas y Reclamos: </t>
    </r>
    <r>
      <rPr>
        <sz val="10"/>
        <rFont val="Arial"/>
        <family val="2"/>
      </rPr>
      <t>El afiliado tiene el derecho a acceder al sistema de quejas y reclamos y al trámite correspondiente a través de la Central de Información y Consultas (01) 513-5000 desde Lima y provincias, también mediante nuestro formulario en web ingresando a nuestra página  www.pacifico.com.pe/libro-de-reclamaciones o de manera presencial acercándose a nuestras plataformas de atención.</t>
    </r>
  </si>
  <si>
    <r>
      <rPr>
        <b/>
        <sz val="10"/>
        <rFont val="Arial"/>
        <family val="2"/>
      </rPr>
      <t>Inicio de la Cobertura Obligatoria:</t>
    </r>
    <r>
      <rPr>
        <sz val="10"/>
        <rFont val="Arial"/>
        <family val="2"/>
      </rPr>
      <t xml:space="preserve"> El trabajador podrá gozar de su cobertura, siempre que haya contemplado tres meses consecutivos de aportaciones; o cuando hayan contemplado cuatro meses de aportaciones no consecutivas dentro de los seis meses anteriores al mes en que se inició la relación laboral; ya sea en ESSALUD o una EPS.</t>
    </r>
  </si>
  <si>
    <r>
      <t>9.- CONDICIONES, EXCLUSIONES Y LIMITACIONES</t>
    </r>
    <r>
      <rPr>
        <sz val="10"/>
        <rFont val="Arial"/>
        <family val="2"/>
      </rPr>
      <t xml:space="preserve"> (Según anexo adjunto al manual del afiliado)</t>
    </r>
  </si>
  <si>
    <t>DEL PLAN BASE</t>
  </si>
  <si>
    <t>De la Cobertura Obligatoria</t>
  </si>
  <si>
    <t>De la Cobertura Complementaria</t>
  </si>
  <si>
    <t>10.- ESTABLECIMIENTOS VINCULADOS POR REDES</t>
  </si>
  <si>
    <t>Según Guía de Establecimientos Afiliados, anexo al Manual del Afiliado. (Sujeto a cambios)</t>
  </si>
  <si>
    <t>Nota:
- Todos los beneficios otorgados en el plan de salud incluyen IGV.
- El reembolso de gastos médicos si correspondiera, se efectuará considerando el tarifario "A" de Pacifico EPS, a disposición del afiliado a través de su ejecutivo de cuentas.
- El afiliado puede pagar en moneda diferente al plan (soles o dólares) sólo si toma en cuenta el tipo de cambio vigente.</t>
  </si>
  <si>
    <t>PLAN DE SALUD ADICIONAL 1</t>
  </si>
  <si>
    <t xml:space="preserve">1.- COBERTURA </t>
  </si>
  <si>
    <t>Son los planes que se ofertan al trabajador, sus derechohabientes legales y otros beneficiarios del trabajador cuyas coberturas, sumas aseguradas, beneficios, redes y aportes descritos se adicionan al Plan Base. De igual forma, en los casos que se oferte un segundo Plan Adicional, éste será en adición del Plan Base y al Plan Adicional 1. En el caso que se oferte un Plan Adicional al trabajador y sus derechohabientes, éste no podrá incluir los beneficios comprendidos en el Plan Base. Se encuentran sujetos a los límites, prestaciones y condiciones estipulados libremente por la partes y se financian con aportes adicionales. Los resultados de la siniestralidad y su aplicación son independientes del Plan Base.</t>
  </si>
  <si>
    <t>2.- SUMAS ASEGURADAS</t>
  </si>
  <si>
    <t>3.- DESCRIPCIÓN DE BENEFICIOS</t>
  </si>
  <si>
    <t>Atención en Clínicas y Centros Médicos</t>
  </si>
  <si>
    <t>Red 4</t>
  </si>
  <si>
    <t>Clínica Internacional (Medicentro Bellavista)</t>
  </si>
  <si>
    <t>Clínica Internacional (Medicentro Santa Anita)</t>
  </si>
  <si>
    <t>Clínica Bellavista</t>
  </si>
  <si>
    <t>Provincias C</t>
  </si>
  <si>
    <t>SANNA Centro Clínico Cajamarca</t>
  </si>
  <si>
    <t>Clínica Cerro Colorado (Arequipa)</t>
  </si>
  <si>
    <t xml:space="preserve">Clínica San Antonio (Trujillo) </t>
  </si>
  <si>
    <t>C. Monte Carmelo (Arequipa)</t>
  </si>
  <si>
    <t xml:space="preserve">Clínica Adventista Ana Stahl (Iquitos) </t>
  </si>
  <si>
    <t>Clínica Arequipa (Arequipa)</t>
  </si>
  <si>
    <t>Hogar Clínica San Juan De Dios (Arequipa)</t>
  </si>
  <si>
    <t xml:space="preserve">Clínica Ortega (Huancayo) </t>
  </si>
  <si>
    <t>Centro Médico Pediátrico Carita Feliz Sede 1 (Piura)</t>
  </si>
  <si>
    <t>Centro Médico Pediátrico Carita Feliz Sede 2 (Piura)</t>
  </si>
  <si>
    <t>Policlínico San Pablo Asia</t>
  </si>
  <si>
    <t>Policlínico San Pablo Asia - Disponible solo por temporada de verano.</t>
  </si>
  <si>
    <t>Red 5</t>
  </si>
  <si>
    <t>Clínica Maison de Santé del Este</t>
  </si>
  <si>
    <t>Clínica Internacional Sede Lima</t>
  </si>
  <si>
    <t>Clínica Jesús del Norte</t>
  </si>
  <si>
    <t>Clínica Internacional (Medicentro San Isidro)</t>
  </si>
  <si>
    <t xml:space="preserve">Centro Médico Medikids </t>
  </si>
  <si>
    <t>Centro Médico Medikids - Solo se realizará atención en Pediatria y Subespecialidades Pediátricas disponibles.</t>
  </si>
  <si>
    <t>Red 6</t>
  </si>
  <si>
    <t>Clínica Ricardo Palma (Sede Central)</t>
  </si>
  <si>
    <t>Clínica Internacional Sede San Borja</t>
  </si>
  <si>
    <t>Centro Ambulatorio CL. Internacional - Sede Surco</t>
  </si>
  <si>
    <t>Provincias D</t>
  </si>
  <si>
    <t>Clínica San Pablo (Trujillo)</t>
  </si>
  <si>
    <t>Clínica Camino Real (Trujillo)</t>
  </si>
  <si>
    <t>Clínica Valle Sur (Arequipa)</t>
  </si>
  <si>
    <t>Clínica Miraflores (Piura)</t>
  </si>
  <si>
    <t>Servimédicos (Chiclayo)</t>
  </si>
  <si>
    <t>Reembolso 1</t>
  </si>
  <si>
    <t>Reembolso en Ciudades en donde no existan Clínicas Afiliadas.
El copago fijo y variable aplican en todos los casos de reembolsos.</t>
  </si>
  <si>
    <t>Reembolso 2</t>
  </si>
  <si>
    <t>Reembolso en Provincias.
El copago fijo y variable aplican en todos los casos de reembolsos.</t>
  </si>
  <si>
    <t>Red Tamizaje A3</t>
  </si>
  <si>
    <t>Clínica San Felipe</t>
  </si>
  <si>
    <t>Establecimientos que brinden servicio, de acuerdo a su Plan de Salud</t>
  </si>
  <si>
    <t>Reembolso Provincia</t>
  </si>
  <si>
    <t xml:space="preserve">TAMIZAJE NEONATAL: Para el descarte de las siguientes enfermedades congénitas: Hipotiroidismo Congénito, Hiperplasia Suprarrenal, Fenilcetonuria y Fibrosis Quística. </t>
  </si>
  <si>
    <t>Red Tamizaje B2</t>
  </si>
  <si>
    <t>Clínica Ricardo Palma - Sede Central (*)</t>
  </si>
  <si>
    <t>Clínica San Felipe (*)</t>
  </si>
  <si>
    <t>(*) Solo Tamizaje Neonatal Auditivo</t>
  </si>
  <si>
    <t xml:space="preserve">TAMIZAJE NEONATAL AUDITIVO - OFTALMOLÓGICO: Para el descarte de las siguientes enfermedades congénitas: Catarata e Hipoacusia. Ambos aplican al recién nacido hasta máximo 28 días desde la fecha de su nacimiento. </t>
  </si>
  <si>
    <t>Red Odontológica 4</t>
  </si>
  <si>
    <t>Reembolsos en Provincias, según tarifas establecidas por cada prestación odontológica.
Hasta S/ 1,750.00.
(Deducible por pieza tratada y terminada)</t>
  </si>
  <si>
    <t>Red Odontologica 3</t>
  </si>
  <si>
    <t>Odontologia</t>
  </si>
  <si>
    <t>Red 4 Oftalmológica</t>
  </si>
  <si>
    <t>Oftalmosalud (San Isidro)</t>
  </si>
  <si>
    <t>Oftalmosalud (Los Olivos)</t>
  </si>
  <si>
    <t>Oftalmosalud (El Polo)</t>
  </si>
  <si>
    <t>Provincias Oftalmológica C</t>
  </si>
  <si>
    <t>C.Monte Carmelo (Arequipa)</t>
  </si>
  <si>
    <t>Red 5 Oftalmológica</t>
  </si>
  <si>
    <t>Red 6 Oftalmológica</t>
  </si>
  <si>
    <t>Provincias Oftalmológica D</t>
  </si>
  <si>
    <t>Reembolso 1 Oftalmológica</t>
  </si>
  <si>
    <t>Reembolso 2 Oftalmológica</t>
  </si>
  <si>
    <t>Atención en Clínicas</t>
  </si>
  <si>
    <t xml:space="preserve">Clínica Bellavista </t>
  </si>
  <si>
    <t>Clínica Cerro Colorado</t>
  </si>
  <si>
    <t>ATENCIÓN HOSPITALARIA EN EXCESO</t>
  </si>
  <si>
    <t>HospExceso40000</t>
  </si>
  <si>
    <t>Atenciones hospitalarias relativas a prestaciones de cobertura obligatoria (PEAS) y/o cobertura complementaria. (No aplica para trasplante de órganos, salud mental, terapia biológica para enfermedades no oncológicas y hospitalizaciones por VIH-SIDA)</t>
  </si>
  <si>
    <t>ATENCIÓN HOSPITALARIA EN EXCESO A S/ 50,000 AL 100%</t>
  </si>
  <si>
    <t>Atención en el Perú por cada evento Hospitalario y hasta el beneficio máximo del Plan contratado. En el momento de renovación, la cobertura comenzará nuevamente así exista algún afiliado hospitalizado, es decir, se cobrará copago variable hospitalario.</t>
  </si>
  <si>
    <t>Aplica hasta la red 5 y Provincias C</t>
  </si>
  <si>
    <t>ATENCIÓN HOSPITALARIA EN EXCESO A S/ 80,000 AL 100%</t>
  </si>
  <si>
    <t>Aplica para proveedores desde la red 6 en adelante.</t>
  </si>
  <si>
    <t>Control Pre-Natal, Control Post-Natal, Parto Natural y/o Múltiple,</t>
  </si>
  <si>
    <t>SANNA Centro Clínico Cajamarca - Ofrece sólo atenciones ambulatorias en : control pre natal, control post natal y programa niño sano.</t>
  </si>
  <si>
    <t xml:space="preserve">Centro Ambulatorio CL. Internacional - Sede Surco.- Ofrece sólo atenciones ambulatorias </t>
  </si>
  <si>
    <t>Clínica Ortega (Huancayo)</t>
  </si>
  <si>
    <t>Y todas las Clínicas afiliadas de provincias que brindan el servicio y forman parte de su plan de Salud, excepto provincia C.
En Provincias en donde no existan Clínicas Afiliadas se aplicará el reembolso al 100%.</t>
  </si>
  <si>
    <t>Clinica Miraflores (Piura)</t>
  </si>
  <si>
    <t>Centro Médico Servimedicos (Chiclayo)</t>
  </si>
  <si>
    <t>Reembolso en Provincia en donde no existan Clínicas Afiliadas, en cuyo caso aplicará el reembolso al 100%.</t>
  </si>
  <si>
    <r>
      <t xml:space="preserve">Anticoncepción quirúrgica voluntaria : </t>
    </r>
    <r>
      <rPr>
        <sz val="10"/>
        <rFont val="Arial"/>
        <family val="2"/>
      </rPr>
      <t xml:space="preserve">Aplica a partir de los 20 años. Se cubre ligadura de trompas y vasectomía     </t>
    </r>
    <r>
      <rPr>
        <b/>
        <sz val="10"/>
        <rFont val="Arial"/>
        <family val="2"/>
      </rPr>
      <t xml:space="preserve">                                                                 </t>
    </r>
  </si>
  <si>
    <t>Red Lima 4</t>
  </si>
  <si>
    <t>Otros establecimientos que brinden el servicio, de acuerdo a su Plan de salud</t>
  </si>
  <si>
    <t>G&amp;M Fisioterapia y Rehabilitación</t>
  </si>
  <si>
    <t>OSI (Organización de Salud Intercontinental)</t>
  </si>
  <si>
    <t>IPC Centro de Salud Integral</t>
  </si>
  <si>
    <t>Factor B</t>
  </si>
  <si>
    <t>Hogar Clínica San Juan de Dios</t>
  </si>
  <si>
    <t>Hogar Clínica San Juan
De Dios (Cusco)</t>
  </si>
  <si>
    <t>Clínica Internacional
Sede Lima</t>
  </si>
  <si>
    <t>Hasta S/ 4,500.00 monto adicional (S/ 22,000 monto total) como Beneficio Máximo Anual por persona, independiente del tipo y cantidad de prótesis indicadas.</t>
  </si>
  <si>
    <t>Evaluación médica especializada, tratamiento de quimioterapia, procedimientos médicos ambulatorios.
Clínicas afiliadas a su plan de salud.</t>
  </si>
  <si>
    <t>Evaluación médica especializada, tratamiento de quimioterapia, cirugías oncológicas.
Clínicas afiliadas a su plan de salud.</t>
  </si>
  <si>
    <t>Clínica San Pablo Surco</t>
  </si>
  <si>
    <t>Servicios Prenatal</t>
  </si>
  <si>
    <t>ENFERMEDADES CONGÉNITAS NO DIAGNÓSTICADAS (HASTA S/ 35,000)</t>
  </si>
  <si>
    <t>Enfermedades congénitas no diagnosticadas</t>
  </si>
  <si>
    <t>Sólo a crédito</t>
  </si>
  <si>
    <t xml:space="preserve">Solo en SANNA Clínica El Golf y SANNA Clínica San Borja
Esta cobertura se aplica sólo a las siguientes enfermedades: Malformaciones Arteriovenosas Cerebrales (MAV), la Comunicación Interauricular del Corazón (CIA) y el Quiste Tirogloso, no diagnosticadas antes de ingresar a su Plan de Salud.  </t>
  </si>
  <si>
    <t>Como
Amb/hosp</t>
  </si>
  <si>
    <t>Tomografía Médica</t>
  </si>
  <si>
    <t>Red Provincias 3</t>
  </si>
  <si>
    <t>El plan de salud cubre los gastos médicos por lesiones a consecuencia de desastres naturales tales como terremoto, maremoto, tsunamis, inundaciones y tormentas. El beneficio se brinda en las redes de clínicas afiliadas según el plan elegido por cliente respetando los copagos fijos y variables.</t>
  </si>
  <si>
    <t>El plan de salud incluye la cobertura de terrorismo, excepto en participación activa, terrorismo biológico, químico y nuclear. El beneficio se brinda en las redes de clínicas afiliadas según el plan elegido por cliente respetando los copagos fijos y variables.</t>
  </si>
  <si>
    <t>4. BENEFICIOS ADICIONALES</t>
  </si>
  <si>
    <t xml:space="preserve">Son servicios distintos a los Beneficios comprendidos en la cobertura obligatoria y complementaria y estarán sujetas a los límites, prestaciones y condiciones estipulados libremente por las partes, se financiarán necesariamente mediante aportes adicionales diferenciándolos de los aportes por el Plan de Salud Base.  </t>
  </si>
  <si>
    <t>SCREENING NEONATAL AMPLIADO</t>
  </si>
  <si>
    <t>Descuento</t>
  </si>
  <si>
    <t>Tarifa preferencial en Metabólica Test. Aplica hasta 2 semanas antes del parto.
Screening neonatal ampliado (25 desórdenes metabólicos).
Screening neonatal ampliado Plus (67 desórdenes metabólicos).</t>
  </si>
  <si>
    <t>10% Dcto.</t>
  </si>
  <si>
    <t>PRESERVACIÓN DEL CORDÓN UMBILICAL</t>
  </si>
  <si>
    <t xml:space="preserve">Tarifa preferencial en el Banco del Cordón Umbilical (BCU)
El beneficio comprende el procesamiento de células madre extraídas de la sangre del cordón umbilical, (descuento del 25% sobre el valor del procesamiento de las células madre).
La muestra se envía al New England Cord Blood Bank de Boston Massachusetts, Estados Unidos de Norte América, que cuenta con certificaciones y acreditaciones internacionales, para mayor información ingrese a www.cordbloodbank.com. Se brinda el beneficio para la zona urbana de las ciudades de: Lima, Arequipa, Cajamarca, Chiclayo, Chimbote, Cuzco, Ica, Piura. Aplican restricciones por la ubicación geográfica del Afiliado.
El beneficio debe ser solicitado de preferencia en el 7mo mes de gestación para la coordinación de la entrega del kit y la firma del contrato. Para conocer mayores detalles del beneficio, coordine una cita con la ejecutiva del BCU llamando a los teléfonos (01) 273-7883 ó 99810-7000, también puede ingresar awww.bancodecordon.com.pe para mayor información.
Si tiene una emergencia comuníquese a los teléfonos: 99810-7000 ó al 99818-6129 para coordinar la atención. </t>
  </si>
  <si>
    <t>25% Dcto.</t>
  </si>
  <si>
    <t>ACUPUNTURA</t>
  </si>
  <si>
    <t>Acupuntura</t>
  </si>
  <si>
    <t>Acupuntura Tradicional</t>
  </si>
  <si>
    <t>Costo por Sesión.
Exclusivamente en (Organización de Salud Intercontinental - OSI)
No incluye agujas descartables</t>
  </si>
  <si>
    <t xml:space="preserve">HOMEOPATIA </t>
  </si>
  <si>
    <t>Homeopatía</t>
  </si>
  <si>
    <t xml:space="preserve">Consulta Médica Homeopática </t>
  </si>
  <si>
    <t>Medicina alternativa que se caracteriza especialmente por el uso de remedios carentes de ingredientes químicamente activos.
Exclusivamente en Organización de Salud Intercontinental - OSI
No incluye medicamentos.</t>
  </si>
  <si>
    <t>GASTO DE SEPELIO</t>
  </si>
  <si>
    <t>Gasto de Sepelio</t>
  </si>
  <si>
    <t>Todos los servicios funerarios</t>
  </si>
  <si>
    <t>Paquete "SEPELIO VIP" el cual Incluye: servicio funerario, servicio de sepultura o cremación (sin cinerario) y servicios adicionales, según manual del afiliado adjunto y/o en nuestra página web, www.pacifico.com.pe</t>
  </si>
  <si>
    <t>Funeraria Campo Fe</t>
  </si>
  <si>
    <t>Funeraria Jardines de la Paz</t>
  </si>
  <si>
    <t>Funeraria San Isidro</t>
  </si>
  <si>
    <t>Funeraria Agustín Merino</t>
  </si>
  <si>
    <t>SEGUNDA OPINIÓN NACIONAL</t>
  </si>
  <si>
    <t>Segunda Opinión Nacional</t>
  </si>
  <si>
    <t>Para los casos de cirugías electivas (programadas).
Consulta Médica a elección del Paciente.</t>
  </si>
  <si>
    <t>Reembolso</t>
  </si>
  <si>
    <t>Sólo a reembolso.
Consulta hasta S/ 300.00, como beneficio máximo anual por persona, previa evaluación y aprobación de Pacífico EPS.</t>
  </si>
  <si>
    <t>EVALUACIÓN INTEGRAL Y TRATAMIENTO QUIROPRÁCTICO</t>
  </si>
  <si>
    <t>Evaluación Integral y Tratamiento Quiropráctico</t>
  </si>
  <si>
    <t>Quiropraxia Adulto</t>
  </si>
  <si>
    <t>1 Scan de Columna Sistema Tytron C-300
2 Radiografías
1 Consulta Médica para descarte de Riesgos
1 Consulta de Quiropráctico para Diagnóstico y Plan Tratamiento
1 Ajuste Quiropráctico
1 Sesión de Terapia Física</t>
  </si>
  <si>
    <t>Quiropraxia Niño</t>
  </si>
  <si>
    <t>1 Scan de columna sistema Tytron C-300
2 Radiografías
1 Consulta Medica del Traumatólogo 
1 Ajuste Quiropráctico
1 Consulta del Quiropráctico para Diagnóstico integral y Plan de Tratamiento</t>
  </si>
  <si>
    <t>Otros Servicios</t>
  </si>
  <si>
    <t xml:space="preserve">Consulta Médica por Traumatólogo </t>
  </si>
  <si>
    <t>Consulta Médica de Medicina Física y Rehabilitación</t>
  </si>
  <si>
    <t>Ajuste Quiropractico por Sesión</t>
  </si>
  <si>
    <t>Radiografías Adicionales por Placa</t>
  </si>
  <si>
    <t>Terapia Física x Sesión: Tracción cervical, Tracción dorsal, Tracción lumbar, Parafina</t>
  </si>
  <si>
    <t>Terapia Combinada: Ultrasonido + Estimulación Eléctrica</t>
  </si>
  <si>
    <t xml:space="preserve">Estimulación Eléctrica </t>
  </si>
  <si>
    <t>Ultrasonido</t>
  </si>
  <si>
    <t xml:space="preserve">Láser </t>
  </si>
  <si>
    <t>Masaje Terapéutico 10 minutos</t>
  </si>
  <si>
    <t>Paños Calientes y/o Fríos</t>
  </si>
  <si>
    <t>Ejercicios Terapéuticos 10 minutos</t>
  </si>
  <si>
    <t>Tarifas en Nuevos Soles, incluye IGV.
No incluye: medicamentos ni hospitalización.
Las atenciones se realizarán en Quiromedic - Instituto Americano de Medicina Física: Av. José Pardo 1101 Miraflores.</t>
  </si>
  <si>
    <t>PROGRAMA JUVENIL</t>
  </si>
  <si>
    <t>Programa Juvenil</t>
  </si>
  <si>
    <t>Evaluación Médica Integral y Exámenes de Laboratorio (pago único)</t>
  </si>
  <si>
    <r>
      <t xml:space="preserve">Programa preventivo de libre elección que ofrece orientación médica y detección en los problemas de salud más frecuentes en jóvenes de 11 a 17 años.
</t>
    </r>
    <r>
      <rPr>
        <b/>
        <u/>
        <sz val="10"/>
        <rFont val="Arial"/>
        <family val="2"/>
      </rPr>
      <t>Evaluación médica y nutricional</t>
    </r>
    <r>
      <rPr>
        <sz val="10"/>
        <rFont val="Arial"/>
        <family val="2"/>
      </rPr>
      <t xml:space="preserve">
Evaluación médica: Examen clínico por aparatos y sistemas.
Evaluación y orientación nutricional: estado nutricional y recomendaciones sobre la nutrición de sus hijos.
Evaluación por Ginecología (previa autorización del padre y/o madre): Consiste en una evaluación externa y orientación médica.
</t>
    </r>
    <r>
      <rPr>
        <b/>
        <u/>
        <sz val="10"/>
        <rFont val="Arial"/>
        <family val="2"/>
      </rPr>
      <t xml:space="preserve">Exámenes Auxiliares
</t>
    </r>
    <r>
      <rPr>
        <sz val="10"/>
        <rFont val="Arial"/>
        <family val="2"/>
      </rPr>
      <t>Hemoglobina - Hematocrito
Grupo sanguíneo</t>
    </r>
  </si>
  <si>
    <t>Orientación Psicológica según Programa (Costo por Sesión)</t>
  </si>
  <si>
    <t>Desarrollo de talleres que buscan mejorar ciertos aspectos conductuales y emocionales a través de la dinámica de interacción grupal : Desarrollo de hábitos y estilos de vida , Desarrollo de la Autoestima y comunicación en la familia , Prevención de las adicciones y Prevención de las ludopatías.</t>
  </si>
  <si>
    <t>Citas a través del teléfono: (01) 513-5000
Este servicio se brinda únicamente en SANNA Centro Clínico Chacarilla, SANNA Centro Clínico Miraflores y SANNA Centro Clínico La Molina.</t>
  </si>
  <si>
    <t xml:space="preserve">ALIMENTACIÓN PARA ACOMPAÑANTE DE PACIENTE HOSPITALARIO EN LIMA Y PROVINCIAS </t>
  </si>
  <si>
    <t>Alimentación para acompañante de paciente hospitalario</t>
  </si>
  <si>
    <t>Servicio de Alimentación Gratuita.</t>
  </si>
  <si>
    <t>Servicio de alimentación gratuita compuesto por 1 desayuno, 1 almuerzo y 1 cena normal por día, que la clínica servirá a un acompañante del paciente hospitalizado, durante el tiempo que dure el internamiento.
Si la hospitalización es oncológica, la alimentación del acompañante aplica sin importar la edad del paciente. Caso contrario (hospitalización no oncológica), procede siempre que el paciente sea menor de 18 años o mayor de 60.
Este beneficio no aplica dentro de la cobertura de maternidad.
Este beneficio se brinda en Lima en las clínicas afiliadas a su plan de salud indicadas para el beneficio hospitalario a excepción de las clínicas detalladas a continuación :
Cl San Felipe, Cl Angloamericana, Cl Tezza , Cl Santa Isabel, Cl Montesur, Cl Delgado.
En provincias este beneficio se brinda en: SANNA Clínica Sánchez Ferrer (Trujillo), Clínica Internacional , Clínica Arequipa (Arequipa), Clínica Cayetano Heredia (Huancayo), Clínica del Pacífico (Chiclayo), Clínica Especializada Sargento Lores (Iquitos), Clínica Miraflores (Piura), Clínica San Pablo (Huaraz), Clínica Peruano Americana (Trujillo), Clínica Santo Domingo (Huancayo),  SANNA Clínica Belén (Piura), Hogar Clínica San Juan de Dios (Arequipa), Hopital Metropolitano (Chiclayo), Centro Médico Pardo (Cuzco), Hospital Privado Juan Pablo II (Chiclayo), Clínica San Martin - Servicios Médicos Leonel Flores e Hijos (Tarapoto), Clínica Vallesur (Arequipa), Clínica Cerro Colorado (Arequipa).</t>
  </si>
  <si>
    <t xml:space="preserve">RECONSTRUCCIÓN MAMARIA </t>
  </si>
  <si>
    <t>Reconstrucción mamaria</t>
  </si>
  <si>
    <t>Por única vez por mama en pacientes a quienes se les haya realizado mastectomía radical o total por cáncer de mama bajo el plan de salud. Se cubre el complejo areola-pezón.
Se cubre el monto de la protesis interna hasta S/ 3,000. El Beneficio aplica en Lima sólo al credito en los siguientes proveedores:</t>
  </si>
  <si>
    <t>GASTOS DE ENFERMERA ACOMPAÑANTE A DOMICILIO</t>
  </si>
  <si>
    <t>Gastos de Enfermera Acompañante</t>
  </si>
  <si>
    <t>Para casos en que el afiliado, por su estado de salud y a consecuencia de una enfermedad o accidente catastrófico cubierto por el plan de salud, requiera del cuidado de una enfermera. El monto de la cobertura es hasta S/ 3,000.00 como beneficio maximo anual por persona, es a reembolso y se aplica previa evaluación y aprobación de Pacífico EPS.</t>
  </si>
  <si>
    <t xml:space="preserve">TRASLADO DE RESTOS </t>
  </si>
  <si>
    <t>Traslado de Restos</t>
  </si>
  <si>
    <t>En caso de fallecimiento del afiliado como consecuencia de una enfermedad o accidente cubierto por el plan de salud, se cubre el traslado en territorio nacional por vía terrestre o aérea (vuelo comercial) del cuerpo o de sus cenizas al lugar de sepultura en la ciudad de residencia permanente. El beneficio es a reembolso hasta S/ 1,500.00 como beneficio maximo anual por persona.</t>
  </si>
  <si>
    <t xml:space="preserve">SEGURO DE PRIMAS POR MUERTE DE TITULAR </t>
  </si>
  <si>
    <t>Seguro de Primas por Muerte del Titular</t>
  </si>
  <si>
    <t>Por muerte natural y/o accidental del Titular, los derechohabientes legales inscritos en el plan de salud gozarán de éste hasta finalizar el año contractual con la entidad empleadora.</t>
  </si>
  <si>
    <t>DESAMPARO SÚBITO FAMILIAR (por accidente)</t>
  </si>
  <si>
    <t>Desamparo Súbito Familiar</t>
  </si>
  <si>
    <t>Por muerte accidental del Titular y Cónyuge(en un mismo evento familiar), los dependientes legales recibirán como indemnización S/ 5,000.00</t>
  </si>
  <si>
    <t>5.-  APORTES</t>
  </si>
  <si>
    <t>Aporte Adicional</t>
  </si>
  <si>
    <t>CONDICIONES:
La aplicación del reajuste es procedente siempre que la EPS cumpla con brindar la información contemplada en el párrafo cuarto de la Cláusula Décima Octava del presente Contrato.
Previamente a la aplicación del reajuste de los aportes y dentro de los plazos acordados entre las partes, LA EPS deberá haber cumplido con presentar a LA ENTIDAD EMPLEADORA, un reporte de siniestralidad, debidamente sustentado y analizado, señalando las medidas orientadas a la racionalización del gasto.
El reajuste de copagos o aportes (si los hubiera) serán aplicados semestralmente a partir del primer día del sétimo mes de vigencia del plan. Este plazo podrá ser en períodos menores, por acuerdo de partes.
Los datos utilizados para el calculo de reajuste (incluyen tributos de ley y gastos).</t>
  </si>
  <si>
    <r>
      <t>6.- CONDICIONES, EXCLUSIONES Y LIMITACIONES</t>
    </r>
    <r>
      <rPr>
        <sz val="10"/>
        <rFont val="Arial"/>
        <family val="2"/>
      </rPr>
      <t xml:space="preserve"> (Según anexo adjunto al manual del afiliado)</t>
    </r>
  </si>
  <si>
    <t>De los Beneficios Adicionales</t>
  </si>
  <si>
    <t>7.- ESTABLECIMIENTOS VINCULADOS POR REDES</t>
  </si>
  <si>
    <t>PLAN DE SALUD ADICIONAL 2</t>
  </si>
  <si>
    <t>1.- COBERTURA</t>
  </si>
  <si>
    <t>eliminabeneficios</t>
  </si>
  <si>
    <t>Red 7</t>
  </si>
  <si>
    <t>Clínica Miraflores</t>
  </si>
  <si>
    <t>Clínica British American Hospital (San Isidro)</t>
  </si>
  <si>
    <t>Centro Médico British American Hospital (sede La Molina)</t>
  </si>
  <si>
    <t>Clínica Montesur</t>
  </si>
  <si>
    <t xml:space="preserve">Centro Médico San Felipe (sede La Molina) </t>
  </si>
  <si>
    <t>Urología Avanzada - UROZEN</t>
  </si>
  <si>
    <t>Otras Clínicas Afiliadas en Lima, excepto las precisadas en Red 8.</t>
  </si>
  <si>
    <t>Clínica Montesur - Sólo se realizarán atenciones gineco-obstétricas</t>
  </si>
  <si>
    <t>Red 8</t>
  </si>
  <si>
    <t>Clínica Delgado</t>
  </si>
  <si>
    <t>Reembolso 3</t>
  </si>
  <si>
    <t>Reembolso en Lima.
El copago fijo y variable aplican en todos los casos de reembolsos.</t>
  </si>
  <si>
    <t>Reembolso Lima</t>
  </si>
  <si>
    <t>Red Odontológica 5</t>
  </si>
  <si>
    <t>Reembolsos en Lima, según tarifas establecidas por cada prestación odontológica.
Hasta S/ 1,750.00.
(Deducible por pieza tratada y terminada)</t>
  </si>
  <si>
    <t>Red Odontologica 4</t>
  </si>
  <si>
    <t>Red 7 Oftalmológica</t>
  </si>
  <si>
    <t xml:space="preserve">Clínica British American Hospital </t>
  </si>
  <si>
    <t>Red 8 Oftalmológica</t>
  </si>
  <si>
    <t>Reembolso 3 Oftalmológica</t>
  </si>
  <si>
    <t>Clínica British American Hospital</t>
  </si>
  <si>
    <t>Centro Medico San Felipe</t>
  </si>
  <si>
    <r>
      <t xml:space="preserve">Anticoncepción quirúrgica voluntaria: </t>
    </r>
    <r>
      <rPr>
        <sz val="10"/>
        <rFont val="Arial"/>
        <family val="2"/>
      </rPr>
      <t xml:space="preserve">Aplica a partir de los 20 años. Se cubre ligadura de trompas y vasectomía     </t>
    </r>
    <r>
      <rPr>
        <b/>
        <sz val="10"/>
        <rFont val="Arial"/>
        <family val="2"/>
      </rPr>
      <t xml:space="preserve">                                                                 </t>
    </r>
  </si>
  <si>
    <t>Red Lima 5</t>
  </si>
  <si>
    <t>Centro Médico British American Hospital</t>
  </si>
  <si>
    <t>Pacifico cubre la rehabilitación física derivada de una emergencia accidental ambulatoria hasta el alta del paciente, máximo 90 días en la Red de clínicas afiliadas al plan adicional 2 que cuenten con este servicio, a excepción de la Clínica British American Hospital, Centro Médico British American Hospital y Clínica Delgado.</t>
  </si>
  <si>
    <t>Como amb.</t>
  </si>
  <si>
    <t>Hasta S/ 5,000.00 monto adicional (S/ 27,000.00 monto total) como Beneficio Máximo Anual por persona, independiente del tipo y cantidad de prótesis indicadas.</t>
  </si>
  <si>
    <t>Hasta S/ 27,000 como Beneficio Máximo Anual por persona, independiente del tipo y cantidad de prótesis indicadas.</t>
  </si>
  <si>
    <t xml:space="preserve">Red Lima 4 </t>
  </si>
  <si>
    <t>Red Provincias 4</t>
  </si>
  <si>
    <t>Clínicas afiliadas a su plan de salud, excepto la Clínica Delgado.</t>
  </si>
  <si>
    <t xml:space="preserve">Evaluación médica especializada, tratamiento de quimioterapia, cirugías oncológicas. </t>
  </si>
  <si>
    <t xml:space="preserve">Ricardo Palma </t>
  </si>
  <si>
    <t>San Pablo</t>
  </si>
  <si>
    <t>Radiocirugía</t>
  </si>
  <si>
    <t>Ricardo Palma</t>
  </si>
  <si>
    <t>Complicaciones post-quirúrgica que se presenten hasta en un plazo máximo de 3 semanas de la fecha de aplicación del tratamiento: 
Complicación hemorrágica post-operatoria inmediata.
Clínicas afiliadas a su plan de salud, excepto la Clínica Delgado.</t>
  </si>
  <si>
    <t>Complicaciones post-quimioterapia o terapia biológica que se presente hasta por un plazo 
máximo de 3 semanas de la fecha de aplicación del tratamiento, solo incluye: 
Neutropenia febril, pancitopenia, anemia aguda, trombocitopenia, hipercalcemia tumoral,  deshidratación, reacción alérgica, mucositis orofaringoesofágica.
Clínicas afiliadas a su plan de salud, excepto la Clínica Delgado.</t>
  </si>
  <si>
    <t>Complicaciones de la radioterapia que se presente hasta por un plazo máximo de 12 semanas de la fecha de aplicación del tratamiento, solo incluye: 
Epitelitis actínica, mucositis, proctitis, cistitis, esofagitis y neumonitis actínica.
Clínicas afiliadas a su plan de salud, excepto la Clínica Delgado.</t>
  </si>
  <si>
    <t>Infección o trombosis del catéter central.
Clínicas afiliadas a su plan de salud, excepto la Clínica Delgado.</t>
  </si>
  <si>
    <t>Intoxicación por quimioterapia.
Clínicas afiliadas a su plan de salud, excepto la Clínica Delgado.</t>
  </si>
  <si>
    <t>Otras complicaciones
La atención se brinda en las redes de clínicas afiliadas, respetando los copagos fijos y variables del beneficio Ambulatorio u Hospitalario, excepto la Clínica Delgado</t>
  </si>
  <si>
    <t>Hasta el límite plan elegido de acuerdo Tarifa A.</t>
  </si>
  <si>
    <t xml:space="preserve">Son servicios distintos a los Beneficios comprendidos en la cobertura obligatoria y complementaria y estarán sujetas a los límites, prestaciones y condiciones estipulados libremente por las partes, se financiarán necesariamente mediante aportes adicionales diferenciándolos de los aportes por el Plan de Salud Base. </t>
  </si>
  <si>
    <t>SEGUNDA OPINIÓN INTERNACIONAL</t>
  </si>
  <si>
    <t>Segunda Opinión Internacional</t>
  </si>
  <si>
    <t>Envío de expediente médico con información necesaria</t>
  </si>
  <si>
    <t>Envío de Historia Clínica e informe a Johns Hopkins Hospital.
Están cubiertos los exámenes que considere conveniente la Segunda Opinión y que se realicen en el Perú.
Este beneficio aplica previa autorización de Pacífico EPS y sólo vía crédito.
Para mayor detalle ver el Manual del Afiliado adjunto y/o en nuestra página web, www.pacifico.com.pe</t>
  </si>
  <si>
    <t>Para casos en que el afiliado, por su estado de salud y a consecuencia de una enfermedad o accidente catastrófico cubierto por el plan de salud, requiera del cuidado de una enfermera. El monto de la cobertura es hasta S/ 2,000.00 adicional (S/ 5,000.00 monto total) como beneficio maximo anual por persona, es a reembolso y se aplica previa evaluación y aprobación de Pacífico EPS.</t>
  </si>
  <si>
    <t xml:space="preserve">ANEXO N° 2 </t>
  </si>
  <si>
    <t xml:space="preserve"> HIJOS DE 18 A 25 AÑOS (INCLUSIVE)</t>
  </si>
  <si>
    <t>Comprende las condiciones, diagnósticos e intervenciones por evento señaladas en el Plan Esencial de Aseguramiento en Salud (PEAS), según  Decreto Supremo 016-2009-SA. El detalle del plan de beneficios del PEAS se encuentra disponible en nuestra página web www.pacifico.com.pe/eps y en la página web del Ministerio de Salud, www.minsa.gob.pe.</t>
  </si>
  <si>
    <t>2. - COBERTURA COMPLEMENTARIA - NO PEAS</t>
  </si>
  <si>
    <t>Comprende las prestaciones que no son comprendidas ni otorgadas por el Plan Esencial de Aseguramiento en Salud - PEAS, según Decreto Supremo 016-2009-SA.</t>
  </si>
  <si>
    <t xml:space="preserve">SANNA Centro Clínico Chacarilla        SANNA Centro Clínico La Molina 
SANNA Centro Clínico Miraflores
Nota :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t>
  </si>
  <si>
    <t>Red Propia
PROGRAMA SIEMPRE SANO</t>
  </si>
  <si>
    <t>Programa para Pacientes Crónicos:
Enfermedades cubiertas en estadío inicial: Hipertension arterial, Diabetes mellitus tipo 2, Dislipidemia y Asma bronquial (*). Se excluyen las complicaciones secundarias a estos diagnósticos.
(*) Aplica condiciones médica de ingreso
(**) Aplica para niños mayores de 5 años de edad. 
Beneficios:
- Atención ambulatoria por médicos especializados en el Control de los Factores de riesgo Cardiovascular y el Asma Bronquial.
- Seguimiento a cargo de del médico o por la enfermera gestora de programa. 
- Exámenes y medicamentos según protocolos del programa. 
- Control psicológico y nutricional (2 y 3 controles respectivamente) ) para los diagnósticos de Diabetes mellitus tipo 2, hipertensión arterial y dislipidemia.
- Podología únicamente para diabéticos.
Para acceder al programa en Lima debe llamar al teléfono 01 513-5000  y solicitar su atención en SANNA Centro Clínico La Molina, SANNA Centro Clínico Chacarilla, SANNA Centro Clínico Miraflores o atención a Domicilio; para atención en Provincias, debe comunicarse con: 
- SANNA Clínica del Sur o SANNA Centro Clínico Cajamarca al (076) 749-100.
- SANNA Clínica Belén al (073) 626-100.
- SANNA Clínica Sánchez Ferrer al (044) 601-050.
Los servicios de nutrición, psicología y podología en provincias se realizan mediante campañas previamente comunicadas por Pacifico.
En la primera consulta, presentar su receta médica no mayor a 3 meses o un informe del especialista que confirme el diagnóstico. En esta evaluación, el médico del programa, definirá su ingreso al mismo 
Si el ASEGURADO es admitido, solo podrá atenderse bajo este beneficio la enfermedad cubierta en el programa y únicamente en los establecimientos afiliados.</t>
  </si>
  <si>
    <r>
      <rPr>
        <b/>
        <sz val="10"/>
        <rFont val="Arial"/>
        <family val="2"/>
      </rPr>
      <t xml:space="preserve">RECETA DE PLAZO EXTENDIDO: </t>
    </r>
    <r>
      <rPr>
        <sz val="10"/>
        <rFont val="Arial"/>
        <family val="2"/>
      </rPr>
      <t xml:space="preserve">
- Indicación de su médico tratante de que ha controlado su enfermedad y puede acceder a este beneficio.
- Visita médica de control trimestral.
- Seguimiento mensual a cargo de una Enfermera, que en coordinación con su médico tratante, se comunicará con Usted (los meses que no tenga consulta médica) para monitorear el control de su enfermedad, brindarle asesoría y entrega mensual de medicamentos. Esta entrega se hará posterior a la consulta con el médico y/o su enfermera, los cuales estarán indicados en su “Receta de plazo extendido”.
- Exámenes auxiliares que corresponden al programa de salud.
En caso su salud lo amerite, podrá recibir consultas médicas mensuales, previa indicación médica.  </t>
    </r>
  </si>
  <si>
    <t>Expertos nutricionistas en la comodidad de su domicilio, le elaborarán un plan de alimentación individualizado con el objetivo de disminuir su peso y mejorar su estado nutricional. 
Las citas serán solicitadas y programadas a través de Pacifico Asiste 01 635-5000.</t>
  </si>
  <si>
    <t>Consulta : Examen clínico y odontograma
Restauración: Resinas en piezas anteriores y en piezas posteriores
Endodoncia manual : Incisivos, caninos, premolares, molares, pulpotomía, pulpectomía
Cirugia bucal : Exodoncia simple
Rayos X : Bite Wing, periapical, oclusal</t>
  </si>
  <si>
    <t>Centros Médicos y Centros Odontológicos afilados de Provincias. Para mayor información consulte nuestra página web, www.pacifico.com.pe</t>
  </si>
  <si>
    <t xml:space="preserve">SANNA Centro Clínico Chacarilla        SANNA Centro Clínico La Molina
SANNA Centro Clínico Miraflores
Nota :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t>
  </si>
  <si>
    <t>Atenciones ambulatorias relativas a condiciones de cobertura complementaria.  Procedimiento no incluido dentro de las condiciones PEAS.</t>
  </si>
  <si>
    <t>Atenciones hospitalarias de acuerdo a las condiciones, diagnósticos  e intervenciones por evento que se encuentren comprendidas en el Plan Esencial de Aseguramiento en Salud (PEAS) y/o cobertura complementaria.</t>
  </si>
  <si>
    <t xml:space="preserve"> Red 3</t>
  </si>
  <si>
    <t xml:space="preserve">Aplica la cobertura según lo señalado en el Plan Esencial de Aseguramiento en Salud - PEAS - (Decreto Supremo 016-2009-SA). En caso la afiliada ingrese gestando y sin continuidad de acuerdo al artículo 100 de la Ley N°29344, sólo tendrá las coberturas del listado de condiciones PEAS. Si la afiliada ingresa gestando y cuenta con continuidad, tendría la cobertura completa de Maternidad del plan. El tiempo de espera para las condiciones no PEAS será de 18 meses. </t>
  </si>
  <si>
    <t>SANNA Centro Clínico Chacarilla        SANNA Centro Clínico La Molina
SANNA Centro Clínico Miraflores
Nota: 
(1)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(2) Ofrecen sólo atenciones ambulatorias en: control pre natal y control post natal.</t>
  </si>
  <si>
    <t xml:space="preserve">Pacífico cubre la continuidad de la emergencia accidental ambulatoria hasta el alta del paciente, máximo 90 días.
(Ejemplos: terapias, rehabilitación, así como curaciones de heridas, cortes, retiro de yeso, etc.)
</t>
  </si>
  <si>
    <r>
      <rPr>
        <b/>
        <sz val="10"/>
        <rFont val="Arial"/>
        <family val="2"/>
      </rPr>
      <t xml:space="preserve">
Terrestre </t>
    </r>
    <r>
      <rPr>
        <sz val="10"/>
        <rFont val="Arial"/>
        <family val="2"/>
      </rPr>
      <t xml:space="preserve">(radio de cobertura)
</t>
    </r>
    <r>
      <rPr>
        <u/>
        <sz val="10"/>
        <rFont val="Arial"/>
        <family val="2"/>
      </rPr>
      <t>Lima</t>
    </r>
    <r>
      <rPr>
        <sz val="10"/>
        <rFont val="Arial"/>
        <family val="2"/>
      </rPr>
      <t xml:space="preserve">
- Por el Norte hasta Comas e Independencia.
- Por el sur hasta el peaje de Villa, San Juan de Miraflores y Villa del Salvador
- Por el Oeste hasta La Punta Callao.
- Por el Este hasta Chaclacayo y Lurigancho-Chosica (hasta Puente Los ángeles)
</t>
    </r>
    <r>
      <rPr>
        <u/>
        <sz val="10"/>
        <rFont val="Arial"/>
        <family val="2"/>
      </rPr>
      <t>Trujillo</t>
    </r>
    <r>
      <rPr>
        <sz val="10"/>
        <rFont val="Arial"/>
        <family val="2"/>
      </rPr>
      <t xml:space="preserve">
Distritos:
- Trujillo, Victor Larco, Huanchaco, Delicias, Moche, Salaverry, Laredo, La Esperanza, Porvenir, Florencia de Mora.
</t>
    </r>
    <r>
      <rPr>
        <u/>
        <sz val="10"/>
        <rFont val="Arial"/>
        <family val="2"/>
      </rPr>
      <t>Arequipa</t>
    </r>
    <r>
      <rPr>
        <sz val="10"/>
        <rFont val="Arial"/>
        <family val="2"/>
      </rPr>
      <t xml:space="preserve">
Distritos:
- Cercado  Arequipa, Yanahuara, Paucarpata, José Luis Bustamante y rivero, Sachaca, Hunter (hasta la plaza), Centro Colorado (no incluye Aeropuerto) y la parte baja de los distritos de Cayma, Mariano Melgar, Miraflores Y Alto Selva Alegre.
</t>
    </r>
    <r>
      <rPr>
        <u/>
        <sz val="10"/>
        <rFont val="Arial"/>
        <family val="2"/>
      </rPr>
      <t>Cuzco</t>
    </r>
    <r>
      <rPr>
        <sz val="10"/>
        <rFont val="Arial"/>
        <family val="2"/>
      </rPr>
      <t xml:space="preserve">
- Por el Sureste hasta San Sebastián y San Jerónimo.
- Por el Sur hasta Wanchaq.
- Por el Noroeste hasta Santiago.
- Por el Norte hasta Sacsayhuaman
</t>
    </r>
    <r>
      <rPr>
        <u/>
        <sz val="10"/>
        <rFont val="Arial"/>
        <family val="2"/>
      </rPr>
      <t>Piura</t>
    </r>
    <r>
      <rPr>
        <sz val="10"/>
        <rFont val="Arial"/>
        <family val="2"/>
      </rPr>
      <t xml:space="preserve">
- Por el norte Hasta los Ejidos, incluye Urb. Santa María del Pinar.
- Por el sur Hasta Urb. Miraflores y Av. Progreso de Castilla.
- Por el este Hasta AA.HH. San Pedro y Av. Circunvalación.
- Por el oeste Hasta Av. Prolongación Grau Cdra. 35.
</t>
    </r>
    <r>
      <rPr>
        <u/>
        <sz val="10"/>
        <rFont val="Arial"/>
        <family val="2"/>
      </rPr>
      <t xml:space="preserve">Talara </t>
    </r>
    <r>
      <rPr>
        <sz val="10"/>
        <rFont val="Arial"/>
        <family val="2"/>
      </rPr>
      <t xml:space="preserve">
- Ciudad de Negritos 
- Ciudad de Talara 
En otras ciudades el servicio es a reembolso.
</t>
    </r>
    <r>
      <rPr>
        <b/>
        <sz val="10"/>
        <rFont val="Arial"/>
        <family val="2"/>
      </rPr>
      <t/>
    </r>
  </si>
  <si>
    <r>
      <rPr>
        <b/>
        <sz val="10"/>
        <rFont val="Arial"/>
        <family val="2"/>
      </rPr>
      <t>Aérea</t>
    </r>
    <r>
      <rPr>
        <sz val="10"/>
        <rFont val="Arial"/>
        <family val="2"/>
      </rPr>
      <t xml:space="preserve">
Vuelo regular Nacional.
Se considera a un máximo de 2 pasajeros (paciente y profesional de salud) por evento. Solamente si es un menor de edad, se incluye el traslado adicional (1 pasaje) para un acompañante.
Este beneficio no cubre los gastos de alojamiento ni alimentación.
Este beneficio solo considera el transporte de ida (para la atención inmediata de la emergencia).</t>
    </r>
  </si>
  <si>
    <t xml:space="preserve"> Clínica Good Hope</t>
  </si>
  <si>
    <t>Hasta S/ 17,500.00  monto total como Beneficio Máximo Anual por persona, independiente del tipo y cantidad de prótesis indicadas.</t>
  </si>
  <si>
    <t>Centro de Radioterapia de Lima</t>
  </si>
  <si>
    <t>Atenciones ambulatorias y/o hospitalarias de acuerdo a las condiciones, diagnósticos e intervenciones por evento que se encuentren comprendidas en el Plan Esencial de Aseguramiento en Salud - PEAS- (Decreto Supremo 016-2009-SA) y de acuerdo a la Norma Técnica de Salud (NTS) de Atención del Adulto con Infección por el Virus de la Inmunodeficiencia Humana y el Tratamiento Antirretroviral de Gran Actividad – TARGA del Ministerio de Salud del Perú (MINSA).</t>
  </si>
  <si>
    <t xml:space="preserve">Atenciones ambulatorias y/o hospitalarias de acuerdo a las condiciones, diagnósticos e intervenciones por evento que se encuentren comprendidas en el Plan Esencial de Aseguramiento en Salud -PEAS- (Decreto Supremo 016-2009-SA). 
Incluye cobertura de las siguientes condiciones de salud: Esquizofrenia, depresión, ansiedad y alcoholismo agudo.
Aplica  Petitorio Farmacológico de Pacifico.  Atención de medicamentos en cadenas de farmacias afiliadas. </t>
  </si>
  <si>
    <t>Atenciones Ambulatorias y/o Hospitalarias para los niños cuya concepción fue dentro de la vigencia del Plan de Salud de la entidad empleadora actual y cuya inscripción sea dentro del mes de nacimiento y/o para aquellos que hayan tenido cobertura de este beneficio en su anterior EPS y por lo tanto tengan derecho a continuidad de cobertura de acuerdo a la Ley N° 29561 – Ley que establece la Continuidad en la Cobertura de Preexistencias en el Plan de Salud de las Entidades Prestadoras de Salud. 
Para aquellos niños concebidos y nacidos fuera del Plan de Salud corresponderá sólo la cobertura de las condiciones, diagnósticos e intervenciones por evento que se encuentren comprendidos en el Plan Esencial de Aseguramiento en Salud (PEAS): Hidrocefalia congénita, Hipotiroidismo congénito, Displasia congénita de cadera y Paladar hendido.
El beneficio se brinda en las redes de clínicas afiliadas según plan elegido</t>
  </si>
  <si>
    <t>COBERTURA CON TERAPIA BIOLÓGICA PARA CASOS NO ONCOLÓGICOS</t>
  </si>
  <si>
    <t>Trasplante de médula ósea. El beneficio aplica solo en SANNA Clínica San Borja. 
Cobertura para todas las fases del trasplante: evaluación del receptor, evaluación del donante,colecta,acondicionamiento,trasplante,complicaciones, fase de injerto y control por un año. (*)                                                                                                                                                                                                                                                   - Aplica periodo de espera de 24 meses
- Atención al crédito (**)
- Se cubre trasplante autólogo y alogénico con donante emparentado (excepto trasplante haploidentico) para aquellas enfermedades oncológicas con indicación en la NCCN y nivel de categoría y consenso 1 y 2ª.
(*) De acuerdo a protocolo consensuado entre prestador y financiador.
(**) Sólo en establecimientos que tengan acreditación vigente como establecimiento de salud Donador-Trasplantador expedido por la ONDT (Organismo Nacional de Donación y Trasplante) del Ministerio de Salud.</t>
  </si>
  <si>
    <t>Central de Información y Consultas 01 513 5000 desde Lima y Provincias
Cordiales operadoras se encuentran a su servicio las 24 horas del día, los 365 días del año. Ellas se encargarán de responder sus inquietudes, brindarle mayor información sobre nuestros servicios (consultas, coberturas, staff médico, etc.) y brindarles soluciones a sus quejas o reclamos. Sólo llame y será atendido.</t>
  </si>
  <si>
    <t>5.- COTIZACIÓN DE APORTES</t>
  </si>
  <si>
    <t>Por Persona(Hijos)</t>
  </si>
  <si>
    <t>6.- MÉTODO DE REAJUSTE DE APORTES DE PLAN DE SALUD BASE</t>
  </si>
  <si>
    <t>7. - INFORMACIÓN REGLAMENTARIA</t>
  </si>
  <si>
    <r>
      <t>Afiliado potestativo:</t>
    </r>
    <r>
      <rPr>
        <sz val="10"/>
        <rFont val="Arial"/>
        <family val="2"/>
      </rPr>
      <t xml:space="preserve"> Es aquella persona que no reúne los requisitos para una afiliación regular.</t>
    </r>
  </si>
  <si>
    <r>
      <t xml:space="preserve">Sistema de Quejas y Reclamos: </t>
    </r>
    <r>
      <rPr>
        <sz val="10"/>
        <rFont val="Arial"/>
        <family val="2"/>
      </rPr>
      <t>El afiliado tiene el derecho a acceder al sistema de quejas y reclamos y al trámite correspondiente a través de la Central de Información y Consultas 01 513 5000 desde Lima y provincias, también mediante nuestro formulario en web ingresando a nuestra página  www.pacifico.com.pe/libro-de-reclamaciones o de manera presencial acercándose a nuestras plataformas de atención.</t>
    </r>
  </si>
  <si>
    <r>
      <rPr>
        <b/>
        <sz val="10"/>
        <rFont val="Arial"/>
        <family val="2"/>
      </rPr>
      <t>Inicio de la Cobertura Obligatoria:</t>
    </r>
    <r>
      <rPr>
        <sz val="10"/>
        <rFont val="Arial"/>
        <family val="2"/>
      </rPr>
      <t xml:space="preserve"> El trabajador podrá gozar de su cobertura, siempre que haya contemplado tres meses
consecutivos de aportaciones; o cuando hayan contemplado cuatro meses de aportaciones no consecutivas dentro
de los seis meses anteriores al mes en que se inició la relación laboral; ya sea en ESSALUD o una EPS.</t>
    </r>
  </si>
  <si>
    <r>
      <t xml:space="preserve">Periodo de Espera: </t>
    </r>
    <r>
      <rPr>
        <sz val="10"/>
        <rFont val="Arial"/>
        <family val="2"/>
      </rPr>
      <t xml:space="preserve">Se define como el periodo en el que se postergan algunas atenciones. En tal sentido, para tener derecho a alguna de estas atenciones debe transcurrir el tiempo detallado en el Plan de Salud, contado a partir de la inclusión del beneficio a su plan de salud, el cual deberá ser consecutivo y sin periodos de morosidad. Se aplican los siguientes períodos de espera:
</t>
    </r>
    <r>
      <rPr>
        <b/>
        <sz val="10"/>
        <rFont val="Arial"/>
        <family val="2"/>
      </rPr>
      <t>- 18 meses de espera.</t>
    </r>
    <r>
      <rPr>
        <sz val="10"/>
        <rFont val="Arial"/>
        <family val="2"/>
      </rPr>
      <t xml:space="preserve">- Esquizofrenia, ansiedad, depresión y alcoholismo.
</t>
    </r>
    <r>
      <rPr>
        <b/>
        <sz val="10"/>
        <rFont val="Arial"/>
        <family val="2"/>
      </rPr>
      <t>- 36 meses de espera.</t>
    </r>
    <r>
      <rPr>
        <sz val="10"/>
        <rFont val="Arial"/>
        <family val="2"/>
      </rPr>
      <t>- VIH / SIDA.</t>
    </r>
  </si>
  <si>
    <r>
      <t>8.- CONDICIONES, EXCLUSIONES Y LIMITACIONES</t>
    </r>
    <r>
      <rPr>
        <sz val="10"/>
        <rFont val="Arial"/>
        <family val="2"/>
      </rPr>
      <t xml:space="preserve"> (Según anexo adjunto al manual del afiliado)</t>
    </r>
  </si>
  <si>
    <t>DEL PLAN PARA HIJOS DE 18 a 25 AÑOS</t>
  </si>
  <si>
    <t xml:space="preserve">De la Cobertura Obligatoria - PEAS </t>
  </si>
  <si>
    <t>De la Cobertura Complementaria - No PEAS</t>
  </si>
  <si>
    <t>9.- ESTABLECIMIENTOS VINCULADOS POR REDES</t>
  </si>
  <si>
    <t xml:space="preserve">Aplica la cobertura según lo señalado en el Plan Esencial de Aseguramiento en Salud -PEAS- (Decreto Supremo 016-2009-SA). En caso la afiliada ingrese gestando y sin continuidad de acuerdo al artículo 100 de la Ley N°29344, sólo tendrá las coberturas del listado de condiciones PEAS. Si la afiliada ingresa gestando y cuenta con continuidad, tendría la cobertura completa de Maternidad del plan. El tiempo de espera para las condiciones no PEAS será de 18 meses. </t>
  </si>
  <si>
    <t>Atenciones ambulatorias de acuerdo a las condiciones de salud e intervenciones por evento comprendidas en la población sana del Plan Esencial de Aseguramiento en Salud (PEAS)</t>
  </si>
  <si>
    <t xml:space="preserve">Atención Oncológica </t>
  </si>
  <si>
    <t xml:space="preserve">Evaluación médica especializada, tratamiento de quimioterapia, procedimientos médicos ambulatorios.
Clínicas afiliadas a su plan de salud.                                                                         </t>
  </si>
  <si>
    <t>ENFERMEDADES CONGÉNITAS NO DIAGNÓSTICADAS (HASTA S/35,000)</t>
  </si>
  <si>
    <t>5. BENEFICIOS ADICIONALES</t>
  </si>
  <si>
    <t>Servicio de alimentación gratuita compuesto por 1 desayuno, 1 almuerzo y 1 cena normal por día, que la clínica servirá a un acompañante del paciente hospitalizado, durante el tiempo que dure el internamiento.
Si la hospitalización es oncológica, la alimentación del acompañante aplica sin importar la edad del paciente. Caso contrario (hospitalización no oncológica), procede siempre que el paciente sea menor de 18 años o mayor de 60.
Este beneficio no aplica dentro de la cobertura de maternidad.
Este beneficio se brinda en Lima en las clínicas afiliadas a su plan de salud indicadas para el beneficio hospitalario a excepción de las clínicas detalladas a continuación :
Cl. San Felipe, Cl Angloamericana, Cl Tezza , Cl Santa Isabel, Cl Montesur, Cl Delgado.
En provincias este beneficio se brinda en: SANNA Clínica Sánchez Ferrer (Trujillo), Clínica Internacional, Clínica Arequipa (Arequipa), Clínica Cayetano Heredia (Huancayo), Clínica del Pacífico (Chiclayo), Clínica Especializada Sargento Lores (Iquitos), Clínica Miraflores (Piura), Clínica San Pablo (Huaraz), Clínica Peruano Americana (Trujillo), Clínica Santo Domingo (Huancayo),  SANNA Clínica Belén (Piura), Hogar Clínica San Juan de Dios (Arequipa), Hopital Metropolitano (Chiclayo), Centro Médico Pardo (Cuzco), Hospital Privado Juan Pablo II (Chiclayo), Clínica San Martin - Servicios Médicos Leonel Flores e Hijos (Tarapoto), Clínica Vallesur (Arequipa), Clínica Cerro Colorado (Arequipa).</t>
  </si>
  <si>
    <t>6.-  APORTES</t>
  </si>
  <si>
    <r>
      <t>7.- CONDICIONES, EXCLUSIONES Y LIMITACIONES</t>
    </r>
    <r>
      <rPr>
        <sz val="10"/>
        <rFont val="Arial"/>
        <family val="2"/>
      </rPr>
      <t xml:space="preserve"> (Según anexo adjunto al manual del afiliado)</t>
    </r>
  </si>
  <si>
    <t>8.- ESTABLECIMIENTOS VINCULADOS POR REDES</t>
  </si>
  <si>
    <t>3. - SUMAS ASEGURADAS</t>
  </si>
  <si>
    <t xml:space="preserve">Aplica la cobertura según lo señalado en el Plan Esencial de Aseguramiento en Salud- PEAS (Decreto Supremo 016-2009-SA). En caso la afiliada ingrese gestando y sin continuidad de acuerdo al articulo 100 de la Ley N°29344 , sólo tendrá las coberturas del  listado de condiciones PEAS . Si la afiliada ingresa gestando y cuenta con continuidad, tendría la cobertura completa de Maternidad del plan. El  tiempo de espera para las condiciones no PEAS será de 18 meses. </t>
  </si>
  <si>
    <t>PLANIFICACIÓN FAMILIAR PEAS</t>
  </si>
  <si>
    <t>Envío de Historia Clínica e informe a Johns Hopkins Hospital.
Están cubiertos los exámenes que considere conveniente la Segunda Opinión y que se realicen en el Perú. 
Este beneficio aplica previa autorización de Pacífico EPS y sólo vía crédito.
Para mayor detalle ver el Manual del Afiliado adjunto y/o en nuestra página web, www.pacifico.com.pe</t>
  </si>
  <si>
    <t>Para casos en que el afiliado, por su estado de salud y a consecuencia de una enfermedad o accidente catastrófico cubierto por el plan de salud, requiera del cuidado de una enfermera. El monto de la cobertura es hasta S/ 2,000 adicional (S/ 5,000 monto total) como beneficio maximo anual por persona, es a reembolso y se aplica previa evaluación y aprobación de Pacífico EPS.</t>
  </si>
  <si>
    <r>
      <t xml:space="preserve">
</t>
    </r>
    <r>
      <rPr>
        <b/>
        <sz val="10"/>
        <rFont val="Arial"/>
        <family val="2"/>
      </rPr>
      <t xml:space="preserve">RECETA DE PLAZO EXTENDIDO: </t>
    </r>
    <r>
      <rPr>
        <sz val="10"/>
        <rFont val="Arial"/>
        <family val="2"/>
      </rPr>
      <t xml:space="preserve">
- Indicación de su médico tratante de que ha controlado su enfermedad y puede acceder a este beneficio.
- Visita médica de control trimestral.
- Seguimiento mensual a cargo de una Enfermera, que en coordinación con su médico tratante, se comunicará con Usted (los meses que no tenga consulta médica) para monitorear el control de su enfermedad, brindarle asesoría y entrega mensual de medicamentos. Esta entrega se hará posterior a la consulta con el médico y/o su enfermera, los cuales estarán indicados en su “Receta de plazo extendido”.
- Exámenes auxiliares que corresponden al programa de salud.
En caso su salud lo amerite, podrá recibir consultas médicas mensuales, previa indicación médica.  </t>
    </r>
  </si>
  <si>
    <t xml:space="preserve">Oftalmomedic </t>
  </si>
  <si>
    <t>Los tratamientos brindados, son de acuerdo a las Guías de Manejo Oncológico de la NCCN (National Cáncer Comprehensive Network) de los Estados Unidos de Norteamérica con categorías de evidencia y consenso 1 ó 2A.  Trasplante de médula (ver beneficio trasplante de órganos).</t>
  </si>
  <si>
    <t>Anticoncepción quirúrgica voluntaria femenina (ligadura de trompas como unica cirugia). Sólo al crédito.</t>
  </si>
  <si>
    <t>Trasplante de córnea. El beneficio aplica solo en  Oculaser.</t>
  </si>
  <si>
    <t>PLAN DE SALUD</t>
  </si>
  <si>
    <t>SANNA Centro Clínico Chacarilla        SANNA Centro Clínico La Molina
SANNA Centro Clínico Miraflores
Nota :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t>
  </si>
  <si>
    <t>Urología Avanzada  UROZEN</t>
  </si>
  <si>
    <r>
      <t>Programa para Pacientes Crónicos:
Enfermedades cubiertas en estadío inicial: Hipertension arterial, Diabetes mellitus tipo 2, Dislipidemia y Asma bronquial (*). Se excluyen las complicaciones secundarias a estos diagnósticos.
(*) Aplica condiciones médica de ingreso
(**) Aplica para niños mayores de 5 años de edad. 
Beneficios:
- Atención ambulatoria por médicos especializados en el Control de los Factores de riesgo Cardiovascular y el Asma Bronquial.
- Seguimiento a cargo de del médico o por la enfermera gestora de programa. 
- Exámenes y medicamentos según protocolos del programa. 
- Control psicológico y nutricional (2 y 3 controles respectivamente) ) para los diagnósticos de Diabetes mellitus tipo 2, hipertensión arterial y dislipidemia.
- Podología únicamente para diabéticos.
Para acceder al programa en Lima debe llamar al teléfono 01 513-5000  y solicitar su atención en SANNA Centro Clínico La Molina, SANNA Centro Clínico Chacarilla, SANNA Centro Clínico Miraflores o atención a Domicilio.
Para atención en Provincias, debe comunicarse con: 
- SANNA Clínica del Sur o SANNA Centro Clínico Cajamarca al (076) 749-100.
- SANNA Clínica Belén al (073) 626-100.
- SANNA Clínica Sánchez Ferrer al (044) 601-050.
Los servicios de nutrición, psicología y podología en provincias se realizan mediante campañas previamente comunicadas por Pacifico.
En la primera consulta, presentar su receta médica no mayor a 3 meses o un informe del especialista que confirme el diagnóstico. En esta evaluación, el médico del programa, definirá su ingreso al mismo 
Si el ASEGURADO es admitido, solo podrá atenderse bajo este beneficio la enfermedad cubierta en el programa y únicamente en los establecimientos afiliados.</t>
    </r>
    <r>
      <rPr>
        <b/>
        <sz val="10"/>
        <rFont val="Arial"/>
        <family val="2"/>
      </rPr>
      <t/>
    </r>
  </si>
  <si>
    <r>
      <t>Tarifas preferenciales únicamente en el Centro Médico Odontológico Americano (COA) que brindan los siguientes procedimientos: 
Tomografía dental computarizada por maxilar (superior o inferior) :</t>
    </r>
    <r>
      <rPr>
        <sz val="10"/>
        <rFont val="Arial"/>
        <family val="2"/>
      </rPr>
      <t xml:space="preserve"> S/ 345.00 (*)</t>
    </r>
    <r>
      <rPr>
        <b/>
        <sz val="10"/>
        <rFont val="Arial"/>
        <family val="2"/>
      </rPr>
      <t xml:space="preserve">
Radiografía panorámica:</t>
    </r>
    <r>
      <rPr>
        <sz val="10"/>
        <rFont val="Arial"/>
        <family val="2"/>
      </rPr>
      <t xml:space="preserve"> deducible por sesión S/ 59.00</t>
    </r>
    <r>
      <rPr>
        <b/>
        <sz val="10"/>
        <rFont val="Arial"/>
        <family val="2"/>
      </rPr>
      <t xml:space="preserve">
Endodoncia por pieza dental anterior sistema rotacional (incisivo, canino anterior) :</t>
    </r>
    <r>
      <rPr>
        <sz val="10"/>
        <rFont val="Arial"/>
        <family val="2"/>
      </rPr>
      <t xml:space="preserve"> S/ 413.00</t>
    </r>
    <r>
      <rPr>
        <b/>
        <sz val="10"/>
        <rFont val="Arial"/>
        <family val="2"/>
      </rPr>
      <t xml:space="preserve">
Endodoncia por pieza dental posterior sistema rotacional (premolar, molar posterior) :</t>
    </r>
    <r>
      <rPr>
        <sz val="10"/>
        <rFont val="Arial"/>
        <family val="2"/>
      </rPr>
      <t xml:space="preserve"> S/ 472.00</t>
    </r>
  </si>
  <si>
    <t>Instituto Oftalmológico Wong (San Isidro y Los Olivos)  (2)</t>
  </si>
  <si>
    <t xml:space="preserve">ATENCIÓN HOSPITALARIA EN EXCESO </t>
  </si>
  <si>
    <t>Atenciones hospitalarias de acuerdo a las condiciones, diagnósticos  e intervenciones por evento que se encuentren comprendidas en el Plan Esencial de Aseguramiento en Salud (PEAS) y/o cobertura complementaria. Este beneficio no aplica para trasplante de órganos, salud mental, terapia biológica para enfermedades no oncológicas y hospitalizaciones por VIH-SIDA.</t>
  </si>
  <si>
    <t>En exceso a S/ 50,000 al 100% (Aplica para proveedores hasta la red 5 y Provincias C)</t>
  </si>
  <si>
    <t>En exceso a S/ 80,000 al 100% (Aplica para proveedores desde la red 6 en adelante)</t>
  </si>
  <si>
    <t>Atención en el Perú por cada evento Hospitalario y  hasta el beneficio máximo del Plan contratado. En el momento de renovación, la cobertura comenzará nuevamente así exista algún afiliado hospitalizado, es decir, se cobrará copago variable hospitalario.</t>
  </si>
  <si>
    <t>SANNA Centro Clínico Chacarilla        SANNA Centro Clínico La Molina
SANNA Centro Clínico Miraflores</t>
  </si>
  <si>
    <t>Emergencias Graves a Domicilio</t>
  </si>
  <si>
    <t>Atención Médica de emergencias graves a domicilio en Lima, y en las ciudades de Trujillo, Arequipa, Piura, Talara y Cuzco llamando a Pacífico Asiste 01 415 1515. Para mayor detalle de la cobertura geográfica por ciudad visite nuestra web, www.pacifico.com.pe</t>
  </si>
  <si>
    <t xml:space="preserve">Atenciones ambulatorias y/o hospitalarias de acuerdo a las condiciones, diagnósticos e intervenciones por evento que se encuentren comprendidas en el Plan Esencial de Aseguramiento en Salud -PEAS (Decreto Supremo 016-2009-SA). 
Incluye cobertura de las siguientes condiciones de salud: Esquizofrenia, depresión, ansiedad y alcoholismo agudo.
Aplica Petitorio Farmacológico de Pacifico.  Atención de medicamentos en cadenas de farmacias afiliadas. </t>
  </si>
  <si>
    <t>Según detalle en el Manual del Afiliado adjunto y plan elegido, y/o en nuestra página web, www.pacifico.com.pe</t>
  </si>
  <si>
    <t xml:space="preserve">Sin copago </t>
  </si>
  <si>
    <r>
      <t xml:space="preserve">Programa preventivo de libre elección que ofrece orientación médica y detección en los problemas de salud más frecuentes en jóvenes de 11 a 17 años.
</t>
    </r>
    <r>
      <rPr>
        <b/>
        <u/>
        <sz val="11"/>
        <rFont val="Arial"/>
        <family val="2"/>
      </rPr>
      <t>Evaluación médica y nutricional</t>
    </r>
    <r>
      <rPr>
        <sz val="10"/>
        <rFont val="Arial"/>
        <family val="2"/>
      </rPr>
      <t xml:space="preserve">
Evaluación médica: Examen clínico por aparatos y sistemas.
Evaluación y orientación nutricional: estado nutricional y recomendaciones sobre la nutrición de sus hijos.
Evaluación por Ginecología (previa autorización del padre y/o madre): Consiste en una evaluación externa y orientación médica.
</t>
    </r>
    <r>
      <rPr>
        <b/>
        <u/>
        <sz val="11"/>
        <rFont val="Arial"/>
        <family val="2"/>
      </rPr>
      <t xml:space="preserve">Exámenes Auxiliares
</t>
    </r>
    <r>
      <rPr>
        <sz val="11"/>
        <rFont val="Arial"/>
        <family val="2"/>
      </rPr>
      <t>Hemoglobina - Hematocrito
Grupo sanguíneo</t>
    </r>
  </si>
  <si>
    <t>Citas a través del teléfono: (01) 513-5000
Este servicio se brinda únicamente en SANNA Centro Clínico Chacarilla, SANNA Centro Clínico La Molina y SANNA Centro Clínico Miraflores.</t>
  </si>
  <si>
    <t>Servicio de alimentación gratuita compuesto por 1 desayuno, 1 almuerzo y 1 cena normal por día, que la clínica servirá a un acompañante del paciente hospitalizado, durante el tiempo que dure el internamiento.
Si la hospitalización es oncológica, la alimentación del acompañante aplica sin importar la edad del paciente. Caso contrario (hospitalización no oncológica), procede siempre que el paciente sea menor de 18 años o mayor de 60.
Este beneficio no aplica dentro de la cobertura de maternidad.
Este beneficio se brinda en Lima en las clínicas afiliadas a su plan de salud indicadas para el beneficio hospitalario a excepción de las clínicas detalladas a continuación :
Cl San Felipe, Cl Angloamericana, Cl Tezza , Cl Santa Isabel, Cl Montesur, Cl Delgado.
En provincias este beneficio se brinda en: SANNA Clínica Sánchez Ferrer (Trujillo), Clínica Arequipa (Arequipa), Clínica Cayetano Heredia (Huancayo), Clínica del Pacífico (Chiclayo), Clínica Especializada Sargento Lores (Iquitos), Clínica Miraflores (Piura), Clínica San Pablo (Huaraz), Clínica Peruano Americana (Trujillo), Clínica Santo Domingo (Huancayo),  SANNA Clínica Belén (Piura), Hogar Clínica San Juan de Dios (Arequipa), Hopital Metropolitano (Chiclayo), Centro Médico Pardo (Cuzco), Hospital Privado Juan Pablo II (Chiclayo), Clínica San Martin - Servicios Médicos Leonel Flores e Hijos (Tarapoto), Clínica Vallesur (Arequipa), Clínica Cerro Colorado (Arequipa).</t>
  </si>
  <si>
    <t>DEL PLAN PARA POTESTATIVOS</t>
  </si>
  <si>
    <t>Se cubren los equipos electroquirúrgicos tipo generador de sellado vascular como Ligasure®, Bisturí armónico®, Enseal® y similares con la finalidad de seccionar, disecar tejidos y sellar vasos sanguíneos durante los siguientes procedimientos quirúrgicos*, habiéndose demostrado beneficio en ellos: Hepatectomía, Colectomía total o parcial, Nefrectomía, Histerectomía y Miomectomías, Esplenectomía, Gastrectomía, Tiroidectomía abierta**, Disección de cuello en oncología**, Mastectomía radical en oncología** y Pancreatoduodenectomía**.
*Pacífico EPS no los cubre para ninguna otra condición o intervención de salud.
**Solo bisturí armónico</t>
  </si>
  <si>
    <t>SANNA Centro Clínico Chacarilla        SANNA Centro Clínico La Molina
SANNA Centro Clínico Miraflores
Nota: 
(1)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(2) Ofrecen sólo atenciones ambulatorias en: control pre natal y control post natal.</t>
  </si>
  <si>
    <t>Clínica Internacional Sede     San Borja</t>
  </si>
  <si>
    <t>MAYTE FLORES CAMBORDA</t>
  </si>
  <si>
    <t>MADELEINE FLORES CAMBORDA</t>
  </si>
  <si>
    <t>Red Odontológica 3</t>
  </si>
  <si>
    <t>Paquete "SEPELIO PLUS" el cual Incluye: servicio funerario, servicio de sepultura o cremación (sin cinerario) y servicios adicionales, según manual del afiliado adjunto y/o en nuestra página web, www.pacifico.com.pe</t>
  </si>
  <si>
    <t xml:space="preserve"> HIJOS DE CESANTES DE 18 A 28 AÑOS (INCLUSIVE)</t>
  </si>
  <si>
    <t>Atenciones hospitalarias de acuerdo a las condiciones, diagnósticos e intervenciones por evento que se encuentren comprendidas en el Plan Esencial de Aseguramiento en Salud (PEAS) y/o cobertura complementaria. Este beneficio no aplica para trasplante de órganos, salud mental, terapia biológica para enfermedades no oncológicas y hospitalizaciones por VIH-SIDA.</t>
  </si>
  <si>
    <t>SANNA Centro Clínico Chacarilla        SANNA Centro Clínico La Molina
SANNA Centro Clínico Miraflores
Nota: 
(1)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(2) Ofrecen sólo atenciones ambulatorias en: control pre nataly control post natal.</t>
  </si>
  <si>
    <t>SANNA Centro Clínico Cajamarca - Ofrece sólo atenciones ambulatorias en : control pre natal y control post natal.</t>
  </si>
  <si>
    <t>Otras complicaciones
La atención se brinda en las redes de clínicas afiliadas, respetando los copagos fijos y variables del beneficio Ambulatorio u Hospitalario., excepto la Clínica Delgado</t>
  </si>
  <si>
    <t>Central de Información y Consultas 01 513 5000 desde Lima y Provincias.
Cordiales operadoras se encuentran a su servicio las 24 horas del día, los 365 días del año. Ellas se encargarán de responder sus inquietudes, brindarle mayor información sobre nuestros servicios (consultas, coberturas, staff médico, etc.) y brindarles soluciones a sus quejas o reclamos.
Sólo llame y será atendido.</t>
  </si>
  <si>
    <t xml:space="preserve"> CESANTES, CÓNYUGES E HIJOS (HASTA 18 AÑOS)</t>
  </si>
  <si>
    <t xml:space="preserve">SANNA Centro Clínico Chacarilla        SANNA Centro Clínico La Molina
SANNA Centro Clínico Miraflores
Nota: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sin copago fijo y aplicando el copago variable indicado en tu plan de salud para las clínicas antes mencionadas.
Consulta el documento Detalle de Servicios Centros Clínicos SANNA en el buscador de clínicas de nuestra página web, www.pacifico.com.pe/buscador/clinicas </t>
  </si>
  <si>
    <t>Centro avanzado en cirugía oftalmológica Chicata (Arequipa)</t>
  </si>
  <si>
    <t>Clínica oftalmológica regional (Huancayo)</t>
  </si>
  <si>
    <t xml:space="preserve">Instituto Oftalmológico Wong (San Isidro y Los Olivos) </t>
  </si>
  <si>
    <t>Atenciones hospitalarias relativas a prestaciones de cobertura obligatoria y/o cobertura complementaria. (No aplica para trasplante de órganos, salud mental, terapia biológica para enfermedades no oncológicas y hospitalizaciones por VIH-SIDA)</t>
  </si>
  <si>
    <t>SANNA Centro Clínico Chacarilla        SANNA Centro Clínico La Molina
SANNA Centro Clínico Miraflores
Nota: 
(1) Los exámenes, procedimientos y medicamentos indicados en tu atención médica en SANNA Centros Clínicos que no se encuentren precisados en el documento Detalle de Servicios Centros Clínicos SANNA, podrán ser atendidos directamente en Lima en SANNA Clínica San Borja o SANNA Clínica El Golf , sin copago fijo y aplicando el copago variable indicado en tu plan de salud para las clínicas antes mencionadas.
Consulta el documento Detalle de Servicios Centros Clínicos SANNA en el buscador de clínicas de nuestra página web, www.pacifico.com.pe/buscador/clinicas 
(2) Ofrecen sólo atenciones ambulatorias en: control pre natal, control post natal y programa niño sano.</t>
  </si>
  <si>
    <t>Red de clínicas afiliadas de la Red de Control del Niño Sano (**), excepto en Clinica Miraflores, Clinica British American Hospital, Clinica Montesur, Clinicas San Felipe, Centro Medico San Felipe y Clinica Delgado.
(**) Aplica esquema de vacunación de  Pacifico EPS de acuerdo a disponibilidad del servicio. 
Anexo 8 (Programa Integral de Prevención).</t>
  </si>
  <si>
    <r>
      <rPr>
        <b/>
        <sz val="10"/>
        <rFont val="Arial"/>
        <family val="2"/>
      </rPr>
      <t>Aéra</t>
    </r>
    <r>
      <rPr>
        <sz val="10"/>
        <rFont val="Arial"/>
        <family val="2"/>
      </rPr>
      <t xml:space="preserve">
Vuelo regular Nacional.
Se considera a un máximo de 2 pasajeros (paciente y profesional de salud) por evento. Solamente si es un menor de edad, se incluye el traslado adicional (1 pasaje) para un acompañante.
Este beneficio no cubre los gastos de alojamiento ni alimentación.
Este beneficio solo considera el transporte de ida ((para la atención inmediata de la emergencia).</t>
    </r>
  </si>
  <si>
    <t>SANNA Centro Clínico Miraflroes</t>
  </si>
  <si>
    <t xml:space="preserve">Atenciones ambulatorias de acuerdo a las condiciones, diagnósticos e intervenciones de la población sana por grupo etáreo hasta los 3 años de acuerdo a lo comprendido en el Plan Esencial de Aseguramiento en Salud (PEAS). </t>
  </si>
  <si>
    <t>Servicios Prenatal  (Miraflores)</t>
  </si>
  <si>
    <t>Servicios Prenatal  (Santiago de Surco)</t>
  </si>
  <si>
    <t>Servicios Prenatal  (Arequipa)</t>
  </si>
  <si>
    <t>Trasplante de médula ósea. El beneficio aplica solo en SANNA Clínica San Borja. 
Cobertura para todas las fases del trasplante: evaluación del receptor, evaluación del donante,colecta,acondicionamiento,trasplante,complicaciones, fase de injerto y control por un año. (*)                                                                                                                                                                                                           - Aplica periodo de espera de 24 meses
- Atención al crédito (**)
- Se cubre trasplante autólogo y alogénico con donante emparentado (excepto trasplante haploidentico) para aquellas enfermedades oncológicas con indicación en la NCCN y nivel de categoría y consenso 1 y 2ª.
(*) De acuerdo a protocolo consensuado entre prestador y financiador.
(**) Sólo en establecimientos que tengan acreditación vigente como establecimiento de salud Donador-Trasplantador expedido por la ONDT (Organismo Nacional de Donación y Trasplante) del Ministerio de Salud.</t>
  </si>
  <si>
    <t>Citas a través del teléfono: 01 513-5000
Este servicio se brinda únicamente en SANNA Centro Clínico Chacarilla, SANNA Centro Clínico La Molina u SANNA Centro Clínico Miraflores.</t>
  </si>
  <si>
    <t>UNIVERSIDAD PERUANA DE CIENCIAS APLICADAS</t>
  </si>
  <si>
    <t>AV. EL DERBY 254 - SANTIAGO DE SURCO</t>
  </si>
  <si>
    <t>1 día de hab.</t>
  </si>
  <si>
    <t>Titular solo</t>
  </si>
  <si>
    <t>Titular + 1 Dependiente</t>
  </si>
  <si>
    <t>Titular + 2 Dependientes</t>
  </si>
  <si>
    <t>Titular + 3 Dependientes</t>
  </si>
  <si>
    <t>Titular + 4 Dependientes</t>
  </si>
  <si>
    <t>Titular + 5 Dependientes o más</t>
  </si>
  <si>
    <t xml:space="preserve">COBERTURA DEL BENEFICIO ADICIONAL : S/ 1,000,000.00 (Plan Base + Adicional 1 = S/ </t>
  </si>
  <si>
    <t>2500,000.00)</t>
  </si>
  <si>
    <t>COBERTURA DEL BENEFICIO ADICIONAL : S/ 1,000,000.00 (Plan Base + Adicional 1 = S/ 2500,000.00)</t>
  </si>
  <si>
    <t/>
  </si>
  <si>
    <t xml:space="preserve">COBERTURA DEL BENEFICIO ADICIONAL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</si>
</sst>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_(* #,##0.00_);_(* \(#,##0.00\);_(* &quot;-&quot;??_);_(@_)"/>
    <numFmt numFmtId="165" formatCode="0;[Red]0"/>
    <numFmt numFmtId="166" formatCode="&quot;S/.&quot;\ #,##0.00"/>
    <numFmt numFmtId="167" formatCode="[$S/]\ #,##0.00"/>
    <numFmt numFmtId="168" formatCode="&quot;S/.&quot;\ #,##0"/>
    <numFmt numFmtId="169" formatCode="&quot;S/.&quot;\ #,##0.00;[Red]\ #,##0.00"/>
    <numFmt numFmtId="170" formatCode="&quot;S/.&quot;\ #,##0.00;[Red]&quot;S/.&quot;\ #,##0.00"/>
    <numFmt numFmtId="171" formatCode="[$$-C09]#,##0.00"/>
    <numFmt numFmtId="172" formatCode="_ * #,##0.00_ ;_ * \-#,##0.00_ ;_ * &quot;-&quot;??_ ;_ @_ "/>
  </numFmts>
  <fonts count="33" x14ac:knownFonts="1">
    <font>
      <sz val="10"/>
      <name val="Arial"/>
      <family val="2"/>
    </font>
    <font>
      <sz val="11"/>
      <color theme="1"/>
      <name val="Calibri"/>
      <family val="2"/>
      <scheme val="minor"/>
    </font>
    <font>
      <sz val="11"/>
      <color rgb="FFFF0000"/>
      <name val="Calibri"/>
      <family val="2"/>
      <scheme val="minor"/>
    </font>
    <font>
      <sz val="10"/>
      <name val="Arial"/>
      <family val="2"/>
    </font>
    <font>
      <b/>
      <sz val="14"/>
      <name val="Arial"/>
      <family val="2"/>
    </font>
    <font>
      <b/>
      <sz val="12"/>
      <name val="Arial"/>
      <family val="2"/>
    </font>
    <font>
      <b/>
      <sz val="10"/>
      <name val="Arial"/>
      <family val="2"/>
    </font>
    <font>
      <b/>
      <i/>
      <sz val="10"/>
      <name val="Arial"/>
      <family val="2"/>
    </font>
    <font>
      <b/>
      <i/>
      <sz val="14"/>
      <name val="Arial"/>
      <family val="2"/>
    </font>
    <font>
      <b/>
      <sz val="11"/>
      <name val="Arial"/>
      <family val="2"/>
    </font>
    <font>
      <sz val="11"/>
      <name val="Tahoma"/>
      <family val="2"/>
    </font>
    <font>
      <b/>
      <sz val="9"/>
      <name val="Arial"/>
      <family val="2"/>
    </font>
    <font>
      <sz val="9"/>
      <name val="Arial"/>
      <family val="2"/>
    </font>
    <font>
      <sz val="10"/>
      <color theme="0"/>
      <name val="Arial"/>
      <family val="2"/>
    </font>
    <font>
      <sz val="10"/>
      <color rgb="FFFF0000"/>
      <name val="Arial"/>
      <family val="2"/>
    </font>
    <font>
      <b/>
      <sz val="14"/>
      <color rgb="FFFF0000"/>
      <name val="Arial"/>
      <family val="2"/>
    </font>
    <font>
      <b/>
      <sz val="10"/>
      <name val="Calibri"/>
      <family val="2"/>
      <scheme val="minor"/>
    </font>
    <font>
      <u/>
      <sz val="10"/>
      <color theme="10"/>
      <name val="Arial"/>
      <family val="2"/>
    </font>
    <font>
      <sz val="10"/>
      <color theme="1"/>
      <name val="Arial"/>
      <family val="2"/>
    </font>
    <font>
      <u/>
      <sz val="10"/>
      <name val="Arial"/>
      <family val="2"/>
    </font>
    <font>
      <sz val="10"/>
      <name val="Calibri"/>
      <family val="2"/>
      <scheme val="minor"/>
    </font>
    <font>
      <b/>
      <sz val="10"/>
      <color rgb="FFFF0000"/>
      <name val="Arial"/>
      <family val="2"/>
    </font>
    <font>
      <sz val="9"/>
      <color theme="1"/>
      <name val="Calibri"/>
      <family val="2"/>
      <scheme val="minor"/>
    </font>
    <font>
      <sz val="11"/>
      <name val="Arial"/>
      <family val="2"/>
    </font>
    <font>
      <b/>
      <sz val="11"/>
      <color theme="0"/>
      <name val="Arial"/>
      <family val="2"/>
    </font>
    <font>
      <b/>
      <sz val="11"/>
      <color rgb="FFFF0000"/>
      <name val="Arial"/>
      <family val="2"/>
    </font>
    <font>
      <sz val="11"/>
      <name val="Calibri"/>
      <family val="2"/>
      <scheme val="minor"/>
    </font>
    <font>
      <sz val="10"/>
      <color rgb="FF222222"/>
      <name val="Arial"/>
      <family val="2"/>
    </font>
    <font>
      <b/>
      <u/>
      <sz val="10"/>
      <name val="Arial"/>
      <family val="2"/>
    </font>
    <font>
      <b/>
      <strike/>
      <sz val="10"/>
      <name val="Arial"/>
      <family val="2"/>
    </font>
    <font>
      <sz val="10"/>
      <color rgb="FF0000FF"/>
      <name val="Arial"/>
      <family val="2"/>
    </font>
    <font>
      <b/>
      <u/>
      <sz val="11"/>
      <name val="Arial"/>
      <family val="2"/>
    </font>
    <font>
      <b/>
      <sz val="8"/>
      <color indexed="81"/>
      <name val="Tahoma"/>
      <family val="2"/>
    </font>
  </fonts>
  <fills count="24">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rgb="FFFFFF00"/>
        <bgColor indexed="64"/>
      </patternFill>
    </fill>
    <fill>
      <patternFill patternType="solid">
        <fgColor rgb="FF0066FF"/>
        <bgColor indexed="64"/>
      </patternFill>
    </fill>
    <fill>
      <patternFill patternType="solid">
        <fgColor rgb="FFCCFFFF"/>
        <bgColor indexed="64"/>
      </patternFill>
    </fill>
    <fill>
      <patternFill patternType="solid">
        <fgColor indexed="9"/>
        <bgColor indexed="64"/>
      </patternFill>
    </fill>
    <fill>
      <patternFill patternType="solid">
        <fgColor rgb="FFFF99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CCFFCC"/>
        <bgColor indexed="64"/>
      </patternFill>
    </fill>
    <fill>
      <patternFill patternType="solid">
        <fgColor rgb="FFFFCCFF"/>
        <bgColor indexed="64"/>
      </patternFill>
    </fill>
    <fill>
      <patternFill patternType="solid">
        <fgColor rgb="FF0099FF"/>
        <bgColor indexed="64"/>
      </patternFill>
    </fill>
    <fill>
      <patternFill patternType="solid">
        <fgColor theme="8" tint="0.59999389629810485"/>
        <bgColor indexed="64"/>
      </patternFill>
    </fill>
    <fill>
      <patternFill patternType="solid">
        <fgColor rgb="FF00FF0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FF"/>
        <bgColor indexed="64"/>
      </patternFill>
    </fill>
    <fill>
      <patternFill patternType="solid">
        <fgColor theme="9" tint="0.59999389629810485"/>
        <bgColor indexed="64"/>
      </patternFill>
    </fill>
    <fill>
      <patternFill patternType="solid">
        <fgColor theme="9"/>
        <bgColor indexed="64"/>
      </patternFill>
    </fill>
  </fills>
  <borders count="9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505050"/>
      </left>
      <right/>
      <top style="thin">
        <color rgb="FF505050"/>
      </top>
      <bottom/>
      <diagonal/>
    </border>
    <border>
      <left/>
      <right/>
      <top style="thin">
        <color rgb="FF505050"/>
      </top>
      <bottom/>
      <diagonal/>
    </border>
    <border>
      <left/>
      <right style="thin">
        <color rgb="FF505050"/>
      </right>
      <top style="thin">
        <color rgb="FF505050"/>
      </top>
      <bottom/>
      <diagonal/>
    </border>
    <border>
      <left style="thin">
        <color rgb="FF505050"/>
      </left>
      <right/>
      <top style="thin">
        <color rgb="FF505050"/>
      </top>
      <bottom style="thin">
        <color indexed="64"/>
      </bottom>
      <diagonal/>
    </border>
    <border>
      <left/>
      <right/>
      <top style="thin">
        <color rgb="FF505050"/>
      </top>
      <bottom style="thin">
        <color indexed="64"/>
      </bottom>
      <diagonal/>
    </border>
    <border>
      <left/>
      <right style="thin">
        <color rgb="FF505050"/>
      </right>
      <top style="thin">
        <color rgb="FF505050"/>
      </top>
      <bottom style="thin">
        <color indexed="64"/>
      </bottom>
      <diagonal/>
    </border>
    <border>
      <left style="thin">
        <color theme="1"/>
      </left>
      <right style="thin">
        <color indexed="64"/>
      </right>
      <top style="thin">
        <color indexed="64"/>
      </top>
      <bottom/>
      <diagonal/>
    </border>
    <border>
      <left style="thin">
        <color theme="1"/>
      </left>
      <right style="thin">
        <color indexed="64"/>
      </right>
      <top style="thin">
        <color theme="1"/>
      </top>
      <bottom/>
      <diagonal/>
    </border>
    <border>
      <left/>
      <right/>
      <top style="thin">
        <color theme="1"/>
      </top>
      <bottom/>
      <diagonal/>
    </border>
    <border>
      <left style="thin">
        <color indexed="64"/>
      </left>
      <right style="thin">
        <color indexed="64"/>
      </right>
      <top style="thin">
        <color theme="1"/>
      </top>
      <bottom/>
      <diagonal/>
    </border>
    <border>
      <left style="thin">
        <color indexed="64"/>
      </left>
      <right style="thin">
        <color theme="1"/>
      </right>
      <top style="thin">
        <color theme="1"/>
      </top>
      <bottom/>
      <diagonal/>
    </border>
    <border>
      <left style="thin">
        <color theme="1"/>
      </left>
      <right style="thin">
        <color indexed="64"/>
      </right>
      <top/>
      <bottom style="thin">
        <color theme="1"/>
      </bottom>
      <diagonal/>
    </border>
    <border>
      <left style="thin">
        <color indexed="64"/>
      </left>
      <right style="thin">
        <color indexed="64"/>
      </right>
      <top/>
      <bottom style="thin">
        <color theme="1"/>
      </bottom>
      <diagonal/>
    </border>
    <border>
      <left style="thin">
        <color indexed="64"/>
      </left>
      <right style="thin">
        <color theme="1"/>
      </right>
      <top/>
      <bottom style="thin">
        <color theme="1"/>
      </bottom>
      <diagonal/>
    </border>
    <border>
      <left style="thin">
        <color rgb="FF505050"/>
      </left>
      <right/>
      <top/>
      <bottom style="thin">
        <color rgb="FF505050"/>
      </bottom>
      <diagonal/>
    </border>
    <border>
      <left/>
      <right/>
      <top/>
      <bottom style="thin">
        <color rgb="FF505050"/>
      </bottom>
      <diagonal/>
    </border>
    <border>
      <left/>
      <right style="thin">
        <color rgb="FF505050"/>
      </right>
      <top/>
      <bottom style="thin">
        <color rgb="FF505050"/>
      </bottom>
      <diagonal/>
    </border>
    <border>
      <left style="thin">
        <color indexed="64"/>
      </left>
      <right style="thin">
        <color theme="1"/>
      </right>
      <top style="thin">
        <color indexed="64"/>
      </top>
      <bottom/>
      <diagonal/>
    </border>
    <border>
      <left style="thin">
        <color theme="1"/>
      </left>
      <right style="thin">
        <color indexed="64"/>
      </right>
      <top/>
      <bottom/>
      <diagonal/>
    </border>
    <border>
      <left style="thin">
        <color indexed="64"/>
      </left>
      <right style="thin">
        <color theme="1"/>
      </right>
      <top/>
      <bottom/>
      <diagonal/>
    </border>
    <border>
      <left style="thin">
        <color indexed="64"/>
      </left>
      <right/>
      <top style="thin">
        <color indexed="64"/>
      </top>
      <bottom style="thin">
        <color theme="1" tint="0.249977111117893"/>
      </bottom>
      <diagonal/>
    </border>
    <border>
      <left/>
      <right/>
      <top style="thin">
        <color indexed="64"/>
      </top>
      <bottom style="thin">
        <color theme="1" tint="0.249977111117893"/>
      </bottom>
      <diagonal/>
    </border>
    <border>
      <left/>
      <right style="thin">
        <color indexed="64"/>
      </right>
      <top style="thin">
        <color indexed="64"/>
      </top>
      <bottom style="thin">
        <color theme="1" tint="0.249977111117893"/>
      </bottom>
      <diagonal/>
    </border>
    <border>
      <left style="thin">
        <color indexed="64"/>
      </left>
      <right style="thin">
        <color theme="1" tint="0.249977111117893"/>
      </right>
      <top style="thin">
        <color indexed="64"/>
      </top>
      <bottom/>
      <diagonal/>
    </border>
    <border>
      <left style="thin">
        <color theme="1" tint="0.249977111117893"/>
      </left>
      <right/>
      <top style="thin">
        <color theme="1" tint="0.249977111117893"/>
      </top>
      <bottom/>
      <diagonal/>
    </border>
    <border>
      <left/>
      <right/>
      <top style="thin">
        <color theme="1" tint="0.249977111117893"/>
      </top>
      <bottom/>
      <diagonal/>
    </border>
    <border>
      <left/>
      <right style="thin">
        <color theme="1" tint="0.249977111117893"/>
      </right>
      <top style="thin">
        <color theme="1" tint="0.249977111117893"/>
      </top>
      <bottom/>
      <diagonal/>
    </border>
    <border>
      <left style="thin">
        <color theme="1" tint="0.249977111117893"/>
      </left>
      <right style="thin">
        <color indexed="64"/>
      </right>
      <top style="thin">
        <color indexed="64"/>
      </top>
      <bottom/>
      <diagonal/>
    </border>
    <border>
      <left style="thin">
        <color indexed="64"/>
      </left>
      <right style="thin">
        <color theme="1" tint="0.249977111117893"/>
      </right>
      <top/>
      <bottom/>
      <diagonal/>
    </border>
    <border>
      <left style="thin">
        <color theme="1" tint="0.249977111117893"/>
      </left>
      <right/>
      <top/>
      <bottom/>
      <diagonal/>
    </border>
    <border>
      <left/>
      <right style="thin">
        <color theme="1" tint="0.249977111117893"/>
      </right>
      <top/>
      <bottom/>
      <diagonal/>
    </border>
    <border>
      <left style="thin">
        <color theme="1" tint="0.249977111117893"/>
      </left>
      <right style="thin">
        <color indexed="64"/>
      </right>
      <top/>
      <bottom/>
      <diagonal/>
    </border>
    <border>
      <left style="thin">
        <color indexed="64"/>
      </left>
      <right style="thin">
        <color theme="1" tint="0.249977111117893"/>
      </right>
      <top/>
      <bottom style="thin">
        <color indexed="64"/>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style="thin">
        <color indexed="64"/>
      </right>
      <top/>
      <bottom style="thin">
        <color indexed="64"/>
      </bottom>
      <diagonal/>
    </border>
    <border>
      <left style="thin">
        <color rgb="FF505050"/>
      </left>
      <right/>
      <top style="thin">
        <color rgb="FF505050"/>
      </top>
      <bottom style="thin">
        <color rgb="FF505050"/>
      </bottom>
      <diagonal/>
    </border>
    <border>
      <left/>
      <right/>
      <top style="thin">
        <color rgb="FF505050"/>
      </top>
      <bottom style="thin">
        <color rgb="FF505050"/>
      </bottom>
      <diagonal/>
    </border>
    <border>
      <left/>
      <right style="thin">
        <color indexed="64"/>
      </right>
      <top style="thin">
        <color rgb="FF505050"/>
      </top>
      <bottom style="thin">
        <color rgb="FF505050"/>
      </bottom>
      <diagonal/>
    </border>
    <border>
      <left style="thin">
        <color indexed="64"/>
      </left>
      <right/>
      <top style="thin">
        <color indexed="64"/>
      </top>
      <bottom style="thin">
        <color rgb="FF505050"/>
      </bottom>
      <diagonal/>
    </border>
    <border>
      <left/>
      <right style="thin">
        <color rgb="FF505050"/>
      </right>
      <top style="thin">
        <color indexed="64"/>
      </top>
      <bottom style="thin">
        <color rgb="FF505050"/>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theme="1"/>
      </right>
      <top style="thin">
        <color theme="1"/>
      </top>
      <bottom style="thin">
        <color theme="1"/>
      </bottom>
      <diagonal/>
    </border>
    <border>
      <left style="thin">
        <color theme="1"/>
      </left>
      <right/>
      <top/>
      <bottom style="thin">
        <color indexed="64"/>
      </bottom>
      <diagonal/>
    </border>
    <border>
      <left/>
      <right style="thin">
        <color theme="1"/>
      </right>
      <top/>
      <bottom style="thin">
        <color indexed="64"/>
      </bottom>
      <diagonal/>
    </border>
    <border>
      <left style="thin">
        <color theme="1"/>
      </left>
      <right style="thin">
        <color indexed="64"/>
      </right>
      <top style="thin">
        <color indexed="64"/>
      </top>
      <bottom style="thin">
        <color theme="1"/>
      </bottom>
      <diagonal/>
    </border>
    <border>
      <left style="thin">
        <color indexed="64"/>
      </left>
      <right/>
      <top style="thin">
        <color indexed="64"/>
      </top>
      <bottom style="thin">
        <color theme="1"/>
      </bottom>
      <diagonal/>
    </border>
    <border>
      <left/>
      <right/>
      <top style="thin">
        <color indexed="64"/>
      </top>
      <bottom style="thin">
        <color theme="1"/>
      </bottom>
      <diagonal/>
    </border>
    <border>
      <left/>
      <right style="thin">
        <color indexed="64"/>
      </right>
      <top style="thin">
        <color indexed="64"/>
      </top>
      <bottom style="thin">
        <color theme="1"/>
      </bottom>
      <diagonal/>
    </border>
    <border>
      <left style="thin">
        <color theme="1"/>
      </left>
      <right style="thin">
        <color indexed="64"/>
      </right>
      <top/>
      <bottom style="thin">
        <color indexed="64"/>
      </bottom>
      <diagonal/>
    </border>
    <border>
      <left style="thin">
        <color indexed="64"/>
      </left>
      <right style="thin">
        <color theme="1"/>
      </right>
      <top/>
      <bottom style="thin">
        <color indexed="64"/>
      </bottom>
      <diagonal/>
    </border>
    <border>
      <left style="thin">
        <color indexed="64"/>
      </left>
      <right style="thin">
        <color theme="1" tint="0.249977111117893"/>
      </right>
      <top style="thin">
        <color theme="1" tint="0.249977111117893"/>
      </top>
      <bottom style="thin">
        <color indexed="64"/>
      </bottom>
      <diagonal/>
    </border>
    <border>
      <left style="thin">
        <color theme="1" tint="0.249977111117893"/>
      </left>
      <right/>
      <top style="thin">
        <color theme="1" tint="0.249977111117893"/>
      </top>
      <bottom style="thin">
        <color indexed="64"/>
      </bottom>
      <diagonal/>
    </border>
    <border>
      <left/>
      <right/>
      <top style="thin">
        <color theme="1" tint="0.249977111117893"/>
      </top>
      <bottom style="thin">
        <color indexed="64"/>
      </bottom>
      <diagonal/>
    </border>
    <border>
      <left/>
      <right style="thin">
        <color theme="1" tint="0.249977111117893"/>
      </right>
      <top style="thin">
        <color theme="1" tint="0.249977111117893"/>
      </top>
      <bottom style="thin">
        <color indexed="64"/>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indexed="64"/>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thin">
        <color indexed="64"/>
      </left>
      <right/>
      <top style="thin">
        <color theme="1"/>
      </top>
      <bottom/>
      <diagonal/>
    </border>
    <border>
      <left/>
      <right style="thin">
        <color indexed="64"/>
      </right>
      <top style="thin">
        <color theme="1"/>
      </top>
      <bottom/>
      <diagonal/>
    </border>
    <border>
      <left style="thin">
        <color indexed="64"/>
      </left>
      <right/>
      <top/>
      <bottom style="thin">
        <color theme="1"/>
      </bottom>
      <diagonal/>
    </border>
    <border>
      <left/>
      <right/>
      <top/>
      <bottom style="thin">
        <color theme="1"/>
      </bottom>
      <diagonal/>
    </border>
    <border>
      <left/>
      <right style="thin">
        <color indexed="64"/>
      </right>
      <top/>
      <bottom style="thin">
        <color theme="1"/>
      </bottom>
      <diagonal/>
    </border>
    <border>
      <left style="thin">
        <color theme="1"/>
      </left>
      <right style="thin">
        <color indexed="64"/>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indexed="64"/>
      </right>
      <top style="thin">
        <color theme="1"/>
      </top>
      <bottom style="thin">
        <color theme="1"/>
      </bottom>
      <diagonal/>
    </border>
    <border>
      <left style="thin">
        <color indexed="64"/>
      </left>
      <right/>
      <top style="thin">
        <color theme="1"/>
      </top>
      <bottom style="thin">
        <color theme="1"/>
      </bottom>
      <diagonal/>
    </border>
    <border>
      <left style="thin">
        <color indexed="64"/>
      </left>
      <right/>
      <top style="thin">
        <color rgb="FF505050"/>
      </top>
      <bottom/>
      <diagonal/>
    </border>
    <border>
      <left/>
      <right style="thin">
        <color indexed="64"/>
      </right>
      <top style="thin">
        <color rgb="FF505050"/>
      </top>
      <bottom/>
      <diagonal/>
    </border>
  </borders>
  <cellStyleXfs count="22">
    <xf numFmtId="0" fontId="0" fillId="0" borderId="0"/>
    <xf numFmtId="172"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17" fillId="0" borderId="0" applyNumberFormat="0" applyFill="0" applyBorder="0" applyAlignment="0" applyProtection="0"/>
    <xf numFmtId="0" fontId="3" fillId="0" borderId="0"/>
    <xf numFmtId="0" fontId="1" fillId="0" borderId="0"/>
    <xf numFmtId="164" fontId="3" fillId="0" borderId="0" applyFont="0" applyFill="0" applyBorder="0" applyAlignment="0" applyProtection="0"/>
    <xf numFmtId="164" fontId="3"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 fillId="0" borderId="0"/>
    <xf numFmtId="172" fontId="3" fillId="0" borderId="0" applyFont="0" applyFill="0" applyBorder="0" applyAlignment="0" applyProtection="0"/>
  </cellStyleXfs>
  <cellXfs count="2085">
    <xf numFmtId="0" fontId="0" fillId="0" borderId="0" xfId="0"/>
    <xf numFmtId="0" fontId="3" fillId="0" borderId="0" xfId="0" applyFont="1" applyAlignment="1">
      <alignment vertical="center"/>
    </xf>
    <xf numFmtId="0" fontId="3" fillId="0" borderId="0" xfId="0" applyFont="1" applyAlignment="1">
      <alignment horizontal="center" vertical="center"/>
    </xf>
    <xf numFmtId="49" fontId="3" fillId="0" borderId="0" xfId="0" applyNumberFormat="1" applyFont="1" applyFill="1" applyAlignment="1">
      <alignment horizontal="right" vertical="center"/>
    </xf>
    <xf numFmtId="0" fontId="3" fillId="0" borderId="0" xfId="0" applyFont="1" applyFill="1" applyAlignment="1">
      <alignment horizontal="center" vertical="center"/>
    </xf>
    <xf numFmtId="0" fontId="6" fillId="0" borderId="0" xfId="0" applyFont="1" applyAlignment="1">
      <alignment horizontal="center" vertical="center"/>
    </xf>
    <xf numFmtId="49" fontId="6" fillId="0" borderId="0" xfId="0" applyNumberFormat="1" applyFont="1" applyFill="1" applyAlignment="1">
      <alignment horizontal="right" vertical="center"/>
    </xf>
    <xf numFmtId="0" fontId="6" fillId="0" borderId="0" xfId="0" applyFont="1" applyAlignment="1">
      <alignment vertical="center"/>
    </xf>
    <xf numFmtId="15" fontId="3" fillId="0" borderId="0" xfId="0" applyNumberFormat="1" applyFont="1" applyAlignment="1">
      <alignment vertical="center"/>
    </xf>
    <xf numFmtId="165" fontId="7" fillId="0" borderId="0" xfId="0" applyNumberFormat="1" applyFont="1" applyAlignment="1">
      <alignment horizontal="center" vertical="center"/>
    </xf>
    <xf numFmtId="15" fontId="8" fillId="0" borderId="0" xfId="0" applyNumberFormat="1" applyFont="1" applyAlignment="1">
      <alignment vertical="center"/>
    </xf>
    <xf numFmtId="166" fontId="3" fillId="0" borderId="0" xfId="0" applyNumberFormat="1" applyFont="1" applyAlignment="1">
      <alignment vertical="center"/>
    </xf>
    <xf numFmtId="0" fontId="10" fillId="0" borderId="0" xfId="0" applyFont="1" applyAlignment="1" applyProtection="1">
      <alignment vertical="center"/>
      <protection locked="0"/>
    </xf>
    <xf numFmtId="49" fontId="10" fillId="0" borderId="0" xfId="0" applyNumberFormat="1" applyFont="1" applyFill="1" applyAlignment="1" applyProtection="1">
      <alignment horizontal="right" vertical="center"/>
      <protection locked="0"/>
    </xf>
    <xf numFmtId="0" fontId="9" fillId="0" borderId="0" xfId="0" applyFont="1" applyAlignment="1">
      <alignment horizontal="center" vertical="center"/>
    </xf>
    <xf numFmtId="9" fontId="9" fillId="0" borderId="0" xfId="2" applyFont="1" applyAlignment="1">
      <alignment horizontal="center" vertical="center"/>
    </xf>
    <xf numFmtId="0" fontId="3" fillId="3" borderId="0" xfId="0" applyFont="1" applyFill="1" applyBorder="1" applyAlignment="1">
      <alignment horizontal="justify" vertical="center" wrapText="1"/>
    </xf>
    <xf numFmtId="9" fontId="3" fillId="3" borderId="0" xfId="2" applyFont="1" applyFill="1" applyBorder="1" applyAlignment="1">
      <alignment horizontal="justify" vertical="center" wrapText="1"/>
    </xf>
    <xf numFmtId="0" fontId="3" fillId="0" borderId="0" xfId="0" applyFont="1" applyFill="1" applyAlignment="1">
      <alignment vertical="center"/>
    </xf>
    <xf numFmtId="0" fontId="9" fillId="3" borderId="0" xfId="0" applyFont="1" applyFill="1" applyBorder="1" applyAlignment="1">
      <alignment horizontal="left" vertical="center"/>
    </xf>
    <xf numFmtId="9" fontId="9" fillId="3" borderId="0" xfId="2" applyFont="1" applyFill="1" applyBorder="1" applyAlignment="1">
      <alignment horizontal="left" vertical="center"/>
    </xf>
    <xf numFmtId="0" fontId="3" fillId="0" borderId="0" xfId="0" applyFont="1" applyBorder="1" applyAlignment="1">
      <alignment horizontal="center" vertical="center"/>
    </xf>
    <xf numFmtId="49" fontId="3" fillId="0" borderId="0" xfId="0" applyNumberFormat="1" applyFont="1" applyFill="1" applyBorder="1" applyAlignment="1">
      <alignment horizontal="right" vertical="center"/>
    </xf>
    <xf numFmtId="0" fontId="3" fillId="0" borderId="0" xfId="0" applyFont="1" applyFill="1" applyBorder="1" applyAlignment="1">
      <alignment horizontal="center" vertical="center"/>
    </xf>
    <xf numFmtId="0" fontId="3" fillId="0" borderId="0" xfId="0" applyFont="1" applyFill="1" applyBorder="1" applyAlignment="1">
      <alignment vertical="center"/>
    </xf>
    <xf numFmtId="0" fontId="3" fillId="3" borderId="1" xfId="0" applyFont="1" applyFill="1" applyBorder="1" applyAlignment="1">
      <alignment vertical="center"/>
    </xf>
    <xf numFmtId="0" fontId="3" fillId="3" borderId="2" xfId="0" applyFont="1" applyFill="1" applyBorder="1" applyAlignment="1">
      <alignment vertical="center"/>
    </xf>
    <xf numFmtId="166" fontId="6" fillId="3" borderId="2" xfId="0" applyNumberFormat="1" applyFont="1" applyFill="1" applyBorder="1" applyAlignment="1">
      <alignment vertical="center"/>
    </xf>
    <xf numFmtId="0" fontId="3" fillId="3" borderId="0" xfId="0" applyFont="1" applyFill="1" applyBorder="1" applyAlignment="1">
      <alignment vertical="center"/>
    </xf>
    <xf numFmtId="166" fontId="6" fillId="3" borderId="0" xfId="0" applyNumberFormat="1" applyFont="1" applyFill="1" applyBorder="1" applyAlignment="1">
      <alignment vertical="center"/>
    </xf>
    <xf numFmtId="9" fontId="6" fillId="3" borderId="0" xfId="2" applyFont="1" applyFill="1" applyBorder="1" applyAlignment="1">
      <alignment vertical="center"/>
    </xf>
    <xf numFmtId="0" fontId="6" fillId="0" borderId="0" xfId="0" applyFont="1" applyFill="1" applyBorder="1" applyAlignment="1">
      <alignment horizontal="left" vertical="center"/>
    </xf>
    <xf numFmtId="166" fontId="6" fillId="0" borderId="0" xfId="0" applyNumberFormat="1" applyFont="1" applyFill="1" applyBorder="1" applyAlignment="1">
      <alignment horizontal="left" vertical="center"/>
    </xf>
    <xf numFmtId="9" fontId="6" fillId="0" borderId="0" xfId="2" applyFont="1" applyFill="1" applyBorder="1" applyAlignment="1">
      <alignment horizontal="left" vertical="center"/>
    </xf>
    <xf numFmtId="166" fontId="12" fillId="2" borderId="4" xfId="0" applyNumberFormat="1" applyFont="1" applyFill="1" applyBorder="1" applyAlignment="1">
      <alignment horizontal="center" vertical="center" wrapText="1"/>
    </xf>
    <xf numFmtId="9" fontId="12" fillId="2" borderId="4" xfId="2" applyFont="1" applyFill="1" applyBorder="1" applyAlignment="1">
      <alignment horizontal="center" vertical="center" wrapText="1"/>
    </xf>
    <xf numFmtId="0" fontId="3" fillId="4" borderId="0" xfId="0" applyFont="1" applyFill="1" applyAlignment="1">
      <alignment vertical="center"/>
    </xf>
    <xf numFmtId="0" fontId="3" fillId="4" borderId="0" xfId="0" applyFont="1" applyFill="1" applyAlignment="1">
      <alignment horizontal="center" vertical="center"/>
    </xf>
    <xf numFmtId="0" fontId="13" fillId="5" borderId="0" xfId="0" applyFont="1" applyFill="1" applyAlignment="1">
      <alignment vertical="center"/>
    </xf>
    <xf numFmtId="0" fontId="14" fillId="0" borderId="0" xfId="3" applyFont="1" applyFill="1" applyAlignment="1">
      <alignment vertical="center"/>
    </xf>
    <xf numFmtId="0" fontId="6" fillId="3" borderId="5" xfId="0" applyFont="1" applyFill="1" applyBorder="1" applyAlignment="1">
      <alignment horizontal="center" vertical="center" wrapText="1"/>
    </xf>
    <xf numFmtId="4" fontId="3" fillId="3" borderId="9" xfId="0" applyNumberFormat="1" applyFont="1" applyFill="1" applyBorder="1" applyAlignment="1">
      <alignment horizontal="center" vertical="center" wrapText="1"/>
    </xf>
    <xf numFmtId="9" fontId="3" fillId="0" borderId="4" xfId="2" applyFont="1" applyBorder="1" applyAlignment="1">
      <alignment horizontal="center" vertical="center" wrapText="1"/>
    </xf>
    <xf numFmtId="0" fontId="3" fillId="6" borderId="0" xfId="0" applyFont="1" applyFill="1" applyAlignment="1">
      <alignment vertical="center"/>
    </xf>
    <xf numFmtId="0" fontId="3" fillId="6" borderId="0" xfId="0" applyFont="1" applyFill="1" applyAlignment="1">
      <alignment horizontal="left" vertical="center"/>
    </xf>
    <xf numFmtId="0" fontId="3" fillId="0" borderId="0" xfId="3" applyFont="1" applyFill="1" applyBorder="1" applyAlignment="1">
      <alignment vertical="center"/>
    </xf>
    <xf numFmtId="0" fontId="3" fillId="8" borderId="0" xfId="0" applyFont="1" applyFill="1" applyAlignment="1">
      <alignment horizontal="center" vertical="center"/>
    </xf>
    <xf numFmtId="0" fontId="3" fillId="0" borderId="0" xfId="0" applyFont="1" applyBorder="1" applyAlignment="1">
      <alignment vertical="center"/>
    </xf>
    <xf numFmtId="0" fontId="3" fillId="0" borderId="11" xfId="0" applyFont="1" applyBorder="1" applyAlignment="1">
      <alignment vertical="center"/>
    </xf>
    <xf numFmtId="0" fontId="13" fillId="9" borderId="0" xfId="0" applyFont="1" applyFill="1" applyAlignment="1">
      <alignment horizontal="center" vertical="center"/>
    </xf>
    <xf numFmtId="0" fontId="3" fillId="0" borderId="14" xfId="0" applyFont="1" applyFill="1" applyBorder="1" applyAlignment="1">
      <alignment vertical="center"/>
    </xf>
    <xf numFmtId="0" fontId="6" fillId="7" borderId="6" xfId="0" applyFont="1" applyFill="1" applyBorder="1" applyAlignment="1">
      <alignment horizontal="center" vertical="center" wrapText="1"/>
    </xf>
    <xf numFmtId="2" fontId="3" fillId="7" borderId="8" xfId="0" applyNumberFormat="1" applyFont="1" applyFill="1" applyBorder="1" applyAlignment="1">
      <alignment horizontal="center" vertical="center"/>
    </xf>
    <xf numFmtId="9" fontId="3" fillId="7" borderId="5" xfId="2" applyFont="1" applyFill="1" applyBorder="1" applyAlignment="1">
      <alignment horizontal="center" vertical="center"/>
    </xf>
    <xf numFmtId="0" fontId="3" fillId="0" borderId="10" xfId="0" applyFont="1" applyFill="1" applyBorder="1" applyAlignment="1" applyProtection="1">
      <alignment horizontal="left" vertical="center" wrapText="1"/>
      <protection hidden="1"/>
    </xf>
    <xf numFmtId="0" fontId="3" fillId="0" borderId="0" xfId="0" applyFont="1" applyFill="1" applyBorder="1" applyAlignment="1" applyProtection="1">
      <alignment horizontal="left" vertical="center" wrapText="1"/>
      <protection hidden="1"/>
    </xf>
    <xf numFmtId="0" fontId="3" fillId="0" borderId="0" xfId="4" applyFont="1" applyFill="1" applyBorder="1" applyAlignment="1">
      <alignment horizontal="left" vertical="center"/>
    </xf>
    <xf numFmtId="0" fontId="3" fillId="0" borderId="11" xfId="0" applyFont="1" applyFill="1" applyBorder="1" applyAlignment="1" applyProtection="1">
      <alignment horizontal="left" vertical="center" wrapText="1"/>
      <protection hidden="1"/>
    </xf>
    <xf numFmtId="0" fontId="3" fillId="0" borderId="0" xfId="0" applyFont="1" applyFill="1" applyAlignment="1">
      <alignment horizontal="left" vertical="center"/>
    </xf>
    <xf numFmtId="0" fontId="13" fillId="0" borderId="0" xfId="0" applyFont="1" applyFill="1" applyAlignment="1">
      <alignment vertical="center"/>
    </xf>
    <xf numFmtId="0" fontId="6" fillId="0" borderId="4" xfId="0" applyFont="1" applyBorder="1" applyAlignment="1">
      <alignment horizontal="center" vertical="center" wrapText="1"/>
    </xf>
    <xf numFmtId="4" fontId="3" fillId="0" borderId="4" xfId="0" applyNumberFormat="1" applyFont="1" applyBorder="1" applyAlignment="1">
      <alignment horizontal="center" vertical="center" wrapText="1"/>
    </xf>
    <xf numFmtId="0" fontId="3" fillId="0" borderId="0" xfId="0" applyFont="1" applyBorder="1" applyAlignment="1">
      <alignment horizontal="center" vertical="center" wrapText="1"/>
    </xf>
    <xf numFmtId="49" fontId="3" fillId="0" borderId="0" xfId="0" applyNumberFormat="1" applyFont="1" applyBorder="1" applyAlignment="1">
      <alignment horizontal="left" vertical="center" wrapText="1"/>
    </xf>
    <xf numFmtId="166" fontId="12" fillId="0" borderId="0" xfId="0" applyNumberFormat="1" applyFont="1" applyBorder="1" applyAlignment="1">
      <alignment horizontal="center" vertical="center" wrapText="1"/>
    </xf>
    <xf numFmtId="9" fontId="12" fillId="0" borderId="0" xfId="2" applyFont="1" applyBorder="1" applyAlignment="1">
      <alignment horizontal="center" vertical="center" wrapText="1"/>
    </xf>
    <xf numFmtId="0" fontId="3" fillId="0" borderId="0" xfId="3" applyFont="1" applyFill="1" applyAlignment="1">
      <alignment vertical="center"/>
    </xf>
    <xf numFmtId="0" fontId="3" fillId="0" borderId="0" xfId="3" applyFont="1" applyFill="1" applyAlignment="1">
      <alignment horizontal="center" vertical="center"/>
    </xf>
    <xf numFmtId="49" fontId="3" fillId="0" borderId="0" xfId="3" applyNumberFormat="1" applyFont="1" applyFill="1" applyAlignment="1">
      <alignment horizontal="right" vertical="center"/>
    </xf>
    <xf numFmtId="0" fontId="3" fillId="3" borderId="0" xfId="3" applyFont="1" applyFill="1" applyBorder="1" applyAlignment="1">
      <alignment vertical="center"/>
    </xf>
    <xf numFmtId="0" fontId="15" fillId="3" borderId="0" xfId="3" applyFont="1" applyFill="1" applyBorder="1" applyAlignment="1">
      <alignment vertical="center"/>
    </xf>
    <xf numFmtId="0" fontId="16" fillId="10" borderId="0" xfId="0" applyFont="1" applyFill="1" applyBorder="1" applyAlignment="1">
      <alignment horizontal="center" vertical="center" wrapText="1"/>
    </xf>
    <xf numFmtId="0" fontId="16" fillId="10" borderId="0" xfId="0" applyFont="1" applyFill="1" applyBorder="1" applyAlignment="1">
      <alignment horizontal="center" vertical="center"/>
    </xf>
    <xf numFmtId="0" fontId="3" fillId="3" borderId="0" xfId="0" applyFont="1" applyFill="1" applyBorder="1" applyAlignment="1">
      <alignment horizontal="left" vertical="center" wrapText="1"/>
    </xf>
    <xf numFmtId="4" fontId="3" fillId="0" borderId="4" xfId="0" applyNumberFormat="1" applyFont="1" applyFill="1" applyBorder="1" applyAlignment="1">
      <alignment horizontal="center" vertical="center" wrapText="1"/>
    </xf>
    <xf numFmtId="9" fontId="3" fillId="0" borderId="4" xfId="2" applyFont="1" applyFill="1" applyBorder="1" applyAlignment="1">
      <alignment horizontal="center" vertical="center" wrapText="1"/>
    </xf>
    <xf numFmtId="0" fontId="6" fillId="0" borderId="0" xfId="0" applyFont="1" applyFill="1" applyBorder="1" applyAlignment="1">
      <alignment horizontal="center" vertical="center" wrapText="1"/>
    </xf>
    <xf numFmtId="4" fontId="3" fillId="0" borderId="0" xfId="0" applyNumberFormat="1" applyFont="1" applyFill="1" applyBorder="1" applyAlignment="1">
      <alignment horizontal="center" vertical="center" wrapText="1"/>
    </xf>
    <xf numFmtId="9" fontId="3" fillId="0" borderId="0" xfId="2" applyFont="1" applyFill="1" applyBorder="1" applyAlignment="1">
      <alignment horizontal="center" vertical="center" wrapText="1"/>
    </xf>
    <xf numFmtId="49" fontId="0" fillId="0" borderId="0" xfId="0" applyNumberFormat="1" applyFill="1" applyAlignment="1">
      <alignment horizontal="right" vertical="center"/>
    </xf>
    <xf numFmtId="0" fontId="3" fillId="11" borderId="0" xfId="0" applyFont="1" applyFill="1" applyBorder="1" applyAlignment="1">
      <alignment vertical="center"/>
    </xf>
    <xf numFmtId="0" fontId="3" fillId="0" borderId="13" xfId="3" applyFont="1" applyFill="1" applyBorder="1" applyAlignment="1">
      <alignment vertical="center"/>
    </xf>
    <xf numFmtId="0" fontId="3" fillId="0" borderId="14" xfId="3" applyFont="1" applyFill="1" applyBorder="1" applyAlignment="1">
      <alignment vertical="center"/>
    </xf>
    <xf numFmtId="0" fontId="3" fillId="0" borderId="15" xfId="3" applyFont="1" applyFill="1" applyBorder="1" applyAlignment="1">
      <alignment vertical="center"/>
    </xf>
    <xf numFmtId="0" fontId="17" fillId="3" borderId="0" xfId="6" applyFill="1" applyBorder="1" applyAlignment="1">
      <alignment vertical="center"/>
    </xf>
    <xf numFmtId="0" fontId="3" fillId="0" borderId="0" xfId="0" applyFont="1" applyFill="1" applyBorder="1" applyAlignment="1">
      <alignment horizontal="left" vertical="center" wrapText="1"/>
    </xf>
    <xf numFmtId="0" fontId="3" fillId="0" borderId="0" xfId="0" applyFont="1" applyFill="1" applyBorder="1" applyAlignment="1">
      <alignment vertical="center" wrapText="1"/>
    </xf>
    <xf numFmtId="168" fontId="3" fillId="0" borderId="0" xfId="0" applyNumberFormat="1" applyFont="1" applyFill="1" applyBorder="1" applyAlignment="1">
      <alignment horizontal="center" vertical="center" wrapText="1"/>
    </xf>
    <xf numFmtId="166" fontId="12" fillId="2" borderId="5" xfId="0" applyNumberFormat="1" applyFont="1" applyFill="1" applyBorder="1" applyAlignment="1">
      <alignment horizontal="center" vertical="center" wrapText="1"/>
    </xf>
    <xf numFmtId="9" fontId="12" fillId="2" borderId="5" xfId="2" applyFont="1" applyFill="1" applyBorder="1" applyAlignment="1">
      <alignment horizontal="center" vertical="center" wrapText="1"/>
    </xf>
    <xf numFmtId="0" fontId="3" fillId="0" borderId="14" xfId="0" applyFont="1" applyFill="1" applyBorder="1" applyAlignment="1">
      <alignment horizontal="left" vertical="center" wrapText="1"/>
    </xf>
    <xf numFmtId="0" fontId="3" fillId="0" borderId="15" xfId="0" applyFont="1" applyFill="1" applyBorder="1" applyAlignment="1">
      <alignment horizontal="left" vertical="center" wrapText="1"/>
    </xf>
    <xf numFmtId="0" fontId="3" fillId="0" borderId="0" xfId="0" applyNumberFormat="1" applyFont="1" applyFill="1" applyBorder="1" applyAlignment="1">
      <alignment horizontal="left" vertical="center" wrapText="1"/>
    </xf>
    <xf numFmtId="0" fontId="3" fillId="0" borderId="11" xfId="0" applyNumberFormat="1" applyFont="1" applyFill="1" applyBorder="1" applyAlignment="1">
      <alignment horizontal="left" vertical="center" wrapText="1"/>
    </xf>
    <xf numFmtId="166" fontId="12" fillId="12" borderId="4" xfId="0" applyNumberFormat="1" applyFont="1" applyFill="1" applyBorder="1" applyAlignment="1">
      <alignment horizontal="center" vertical="center" wrapText="1"/>
    </xf>
    <xf numFmtId="0" fontId="12" fillId="12" borderId="4" xfId="0" applyFont="1" applyFill="1" applyBorder="1" applyAlignment="1">
      <alignment horizontal="center" vertical="center" wrapText="1"/>
    </xf>
    <xf numFmtId="0" fontId="6" fillId="0" borderId="4" xfId="0" applyFont="1" applyFill="1" applyBorder="1" applyAlignment="1">
      <alignment horizontal="center" vertical="center" wrapText="1"/>
    </xf>
    <xf numFmtId="9" fontId="3" fillId="0" borderId="4" xfId="0" applyNumberFormat="1" applyFont="1" applyFill="1" applyBorder="1" applyAlignment="1">
      <alignment horizontal="center" vertical="center" wrapText="1"/>
    </xf>
    <xf numFmtId="0" fontId="3" fillId="7" borderId="0" xfId="0" applyFont="1" applyFill="1" applyAlignment="1">
      <alignment horizontal="center" vertical="center"/>
    </xf>
    <xf numFmtId="0" fontId="13" fillId="0" borderId="0" xfId="0" applyFont="1" applyFill="1" applyAlignment="1">
      <alignment horizontal="center" vertical="center"/>
    </xf>
    <xf numFmtId="0" fontId="3" fillId="13" borderId="0" xfId="0" applyFont="1" applyFill="1" applyAlignment="1">
      <alignment vertical="center"/>
    </xf>
    <xf numFmtId="0" fontId="3" fillId="13" borderId="0" xfId="0" applyFont="1" applyFill="1" applyAlignment="1">
      <alignment horizontal="left" vertical="center"/>
    </xf>
    <xf numFmtId="0" fontId="3" fillId="0" borderId="14" xfId="0" applyNumberFormat="1" applyFont="1" applyFill="1" applyBorder="1" applyAlignment="1">
      <alignment horizontal="left" vertical="center" wrapText="1"/>
    </xf>
    <xf numFmtId="0" fontId="3" fillId="0" borderId="15" xfId="0" applyNumberFormat="1" applyFont="1" applyFill="1" applyBorder="1" applyAlignment="1">
      <alignment horizontal="left" vertical="center" wrapText="1"/>
    </xf>
    <xf numFmtId="0" fontId="13" fillId="3" borderId="0" xfId="0" applyFont="1" applyFill="1" applyAlignment="1">
      <alignment horizontal="center" vertical="center"/>
    </xf>
    <xf numFmtId="0" fontId="6" fillId="0" borderId="22" xfId="3" applyFont="1" applyFill="1" applyBorder="1" applyAlignment="1">
      <alignment horizontal="center" vertical="center" wrapText="1"/>
    </xf>
    <xf numFmtId="0" fontId="3" fillId="0" borderId="7" xfId="0" applyNumberFormat="1" applyFont="1" applyFill="1" applyBorder="1" applyAlignment="1">
      <alignment horizontal="left" vertical="center" wrapText="1"/>
    </xf>
    <xf numFmtId="0" fontId="3" fillId="0" borderId="8" xfId="0" applyNumberFormat="1" applyFont="1" applyFill="1" applyBorder="1" applyAlignment="1">
      <alignment horizontal="left" vertical="center" wrapText="1"/>
    </xf>
    <xf numFmtId="2" fontId="3" fillId="0" borderId="5" xfId="0" applyNumberFormat="1" applyFont="1" applyFill="1" applyBorder="1" applyAlignment="1">
      <alignment horizontal="center" vertical="center" wrapText="1"/>
    </xf>
    <xf numFmtId="9" fontId="3" fillId="0" borderId="5" xfId="2" applyFont="1" applyFill="1" applyBorder="1" applyAlignment="1">
      <alignment horizontal="center" vertical="center" wrapText="1"/>
    </xf>
    <xf numFmtId="0" fontId="6" fillId="7" borderId="0" xfId="0" applyFont="1" applyFill="1" applyBorder="1" applyAlignment="1">
      <alignment horizontal="center" vertical="center"/>
    </xf>
    <xf numFmtId="0" fontId="3" fillId="7" borderId="0" xfId="0" applyFont="1" applyFill="1" applyBorder="1" applyAlignment="1">
      <alignment vertical="center" wrapText="1"/>
    </xf>
    <xf numFmtId="0" fontId="3" fillId="3" borderId="0" xfId="0" applyFont="1" applyFill="1" applyBorder="1" applyAlignment="1">
      <alignment vertical="center" wrapText="1"/>
    </xf>
    <xf numFmtId="4" fontId="3" fillId="7" borderId="0" xfId="0" applyNumberFormat="1" applyFont="1" applyFill="1" applyBorder="1" applyAlignment="1">
      <alignment horizontal="center" vertical="center"/>
    </xf>
    <xf numFmtId="9" fontId="3" fillId="7" borderId="0" xfId="2" applyFont="1" applyFill="1" applyBorder="1" applyAlignment="1">
      <alignment horizontal="center" vertical="center"/>
    </xf>
    <xf numFmtId="0" fontId="6" fillId="3" borderId="4" xfId="0" applyFont="1" applyFill="1" applyBorder="1" applyAlignment="1">
      <alignment horizontal="center" vertical="center" wrapText="1"/>
    </xf>
    <xf numFmtId="4" fontId="3" fillId="3" borderId="4" xfId="0" applyNumberFormat="1" applyFont="1" applyFill="1" applyBorder="1" applyAlignment="1">
      <alignment horizontal="center" vertical="center" wrapText="1"/>
    </xf>
    <xf numFmtId="0" fontId="3" fillId="14" borderId="0" xfId="0" applyFont="1" applyFill="1" applyAlignment="1">
      <alignment horizontal="left" vertical="center"/>
    </xf>
    <xf numFmtId="0" fontId="3" fillId="14" borderId="0" xfId="0" applyFont="1" applyFill="1" applyAlignment="1">
      <alignment vertical="center"/>
    </xf>
    <xf numFmtId="0" fontId="6" fillId="0" borderId="6" xfId="0" applyFont="1" applyFill="1" applyBorder="1" applyAlignment="1">
      <alignment horizontal="center" vertical="center" wrapText="1"/>
    </xf>
    <xf numFmtId="4" fontId="3" fillId="0" borderId="8" xfId="0" applyNumberFormat="1" applyFont="1" applyBorder="1" applyAlignment="1">
      <alignment horizontal="center" vertical="center" wrapText="1"/>
    </xf>
    <xf numFmtId="9" fontId="3" fillId="0" borderId="5" xfId="2" applyFont="1" applyBorder="1" applyAlignment="1">
      <alignment horizontal="center" vertical="center" wrapText="1"/>
    </xf>
    <xf numFmtId="0" fontId="0" fillId="0" borderId="0" xfId="0" applyAlignment="1">
      <alignment vertical="center"/>
    </xf>
    <xf numFmtId="0" fontId="3" fillId="0" borderId="11" xfId="0" applyFont="1" applyFill="1" applyBorder="1" applyAlignment="1">
      <alignment vertical="center"/>
    </xf>
    <xf numFmtId="0" fontId="3" fillId="0" borderId="15" xfId="0" applyFont="1" applyFill="1" applyBorder="1" applyAlignment="1">
      <alignment vertical="center"/>
    </xf>
    <xf numFmtId="0" fontId="6" fillId="7" borderId="0" xfId="0" applyFont="1" applyFill="1" applyBorder="1" applyAlignment="1">
      <alignment horizontal="center" vertical="center" wrapText="1"/>
    </xf>
    <xf numFmtId="0" fontId="18" fillId="7" borderId="0" xfId="0" applyFont="1" applyFill="1" applyBorder="1" applyAlignment="1" applyProtection="1">
      <alignment horizontal="left" vertical="center" wrapText="1"/>
      <protection hidden="1"/>
    </xf>
    <xf numFmtId="4" fontId="3" fillId="0" borderId="0" xfId="0" applyNumberFormat="1" applyFont="1" applyBorder="1" applyAlignment="1">
      <alignment horizontal="center" vertical="center" wrapText="1"/>
    </xf>
    <xf numFmtId="9" fontId="3" fillId="0" borderId="0" xfId="2" applyFont="1" applyBorder="1" applyAlignment="1">
      <alignment horizontal="center" vertical="center" wrapText="1"/>
    </xf>
    <xf numFmtId="0" fontId="3" fillId="0" borderId="10" xfId="0" applyFont="1" applyBorder="1" applyAlignment="1">
      <alignment vertical="center"/>
    </xf>
    <xf numFmtId="0" fontId="3" fillId="0" borderId="13" xfId="0" applyFont="1" applyBorder="1" applyAlignment="1">
      <alignment vertical="center"/>
    </xf>
    <xf numFmtId="0" fontId="3" fillId="0" borderId="14" xfId="0" applyFont="1" applyBorder="1" applyAlignment="1">
      <alignment vertical="center"/>
    </xf>
    <xf numFmtId="0" fontId="3" fillId="7" borderId="14" xfId="0" applyFont="1" applyFill="1" applyBorder="1" applyAlignment="1">
      <alignment horizontal="left" vertical="center" wrapText="1"/>
    </xf>
    <xf numFmtId="0" fontId="3" fillId="7" borderId="15" xfId="0" applyFont="1" applyFill="1" applyBorder="1" applyAlignment="1">
      <alignment horizontal="left" vertical="center" wrapText="1"/>
    </xf>
    <xf numFmtId="0" fontId="3" fillId="7" borderId="0" xfId="0" applyFont="1" applyFill="1" applyBorder="1" applyAlignment="1">
      <alignment horizontal="left" vertical="center" wrapText="1"/>
    </xf>
    <xf numFmtId="9" fontId="3" fillId="7" borderId="0" xfId="2" applyFont="1" applyFill="1" applyBorder="1" applyAlignment="1">
      <alignment horizontal="left" vertical="center" wrapText="1"/>
    </xf>
    <xf numFmtId="0" fontId="6" fillId="0" borderId="4" xfId="0" applyFont="1" applyFill="1" applyBorder="1" applyAlignment="1">
      <alignment horizontal="center" vertical="center"/>
    </xf>
    <xf numFmtId="0" fontId="3" fillId="7" borderId="10" xfId="0" applyFont="1" applyFill="1" applyBorder="1" applyAlignment="1">
      <alignment horizontal="left" vertical="center" wrapText="1"/>
    </xf>
    <xf numFmtId="0" fontId="3" fillId="0" borderId="0" xfId="0" applyFont="1" applyFill="1" applyAlignment="1">
      <alignment horizontal="right" vertical="center"/>
    </xf>
    <xf numFmtId="0" fontId="3" fillId="0" borderId="0" xfId="0" applyFont="1" applyFill="1" applyBorder="1" applyAlignment="1">
      <alignment horizontal="left" vertical="center"/>
    </xf>
    <xf numFmtId="0" fontId="3" fillId="7" borderId="0" xfId="0" applyFont="1" applyFill="1" applyBorder="1" applyAlignment="1" applyProtection="1">
      <alignment horizontal="left" vertical="center" wrapText="1"/>
      <protection hidden="1"/>
    </xf>
    <xf numFmtId="4" fontId="3" fillId="7" borderId="0" xfId="0" applyNumberFormat="1" applyFont="1" applyFill="1" applyBorder="1" applyAlignment="1">
      <alignment horizontal="center" vertical="center" wrapText="1"/>
    </xf>
    <xf numFmtId="9" fontId="3" fillId="7" borderId="0" xfId="2" applyFont="1" applyFill="1" applyBorder="1" applyAlignment="1">
      <alignment horizontal="center" vertical="center" wrapText="1"/>
    </xf>
    <xf numFmtId="0" fontId="3" fillId="7" borderId="0" xfId="0" applyFont="1" applyFill="1" applyBorder="1" applyAlignment="1">
      <alignment horizontal="center" vertical="center"/>
    </xf>
    <xf numFmtId="166" fontId="12" fillId="2" borderId="1" xfId="0" applyNumberFormat="1" applyFont="1" applyFill="1" applyBorder="1" applyAlignment="1">
      <alignment horizontal="center" vertical="center" wrapText="1"/>
    </xf>
    <xf numFmtId="166" fontId="3" fillId="0" borderId="13" xfId="4" applyNumberFormat="1" applyFont="1" applyBorder="1" applyAlignment="1">
      <alignment horizontal="center" vertical="center" wrapText="1"/>
    </xf>
    <xf numFmtId="9" fontId="3" fillId="0" borderId="9" xfId="2" applyFont="1" applyBorder="1" applyAlignment="1">
      <alignment horizontal="center" vertical="center" wrapText="1"/>
    </xf>
    <xf numFmtId="166" fontId="3" fillId="0" borderId="0" xfId="4" applyNumberFormat="1" applyFont="1" applyBorder="1" applyAlignment="1">
      <alignment horizontal="center" vertical="center" wrapText="1"/>
    </xf>
    <xf numFmtId="0" fontId="3" fillId="0" borderId="0" xfId="3" applyFont="1" applyAlignment="1">
      <alignment vertical="center"/>
    </xf>
    <xf numFmtId="0" fontId="3" fillId="0" borderId="0" xfId="3" applyFont="1" applyFill="1" applyBorder="1" applyAlignment="1">
      <alignment horizontal="center" vertical="center"/>
    </xf>
    <xf numFmtId="0" fontId="3" fillId="0" borderId="0" xfId="4" applyFont="1" applyFill="1" applyBorder="1" applyAlignment="1">
      <alignment horizontal="left" vertical="center" wrapText="1"/>
    </xf>
    <xf numFmtId="0" fontId="3" fillId="3" borderId="14" xfId="4" applyFont="1" applyFill="1" applyBorder="1" applyAlignment="1">
      <alignment horizontal="left" vertical="center" wrapText="1"/>
    </xf>
    <xf numFmtId="0" fontId="3" fillId="3" borderId="15" xfId="4" applyFont="1" applyFill="1" applyBorder="1" applyAlignment="1">
      <alignment horizontal="left" vertical="center" wrapText="1"/>
    </xf>
    <xf numFmtId="0" fontId="6" fillId="0" borderId="6" xfId="0" applyFont="1" applyBorder="1" applyAlignment="1">
      <alignment horizontal="center" vertical="center" wrapText="1"/>
    </xf>
    <xf numFmtId="4" fontId="3" fillId="0" borderId="5" xfId="0" applyNumberFormat="1" applyFont="1" applyBorder="1" applyAlignment="1">
      <alignment horizontal="center" vertical="center" wrapText="1"/>
    </xf>
    <xf numFmtId="0" fontId="3" fillId="0" borderId="10" xfId="0" applyFont="1" applyFill="1" applyBorder="1" applyAlignment="1">
      <alignment horizontal="left" vertical="center"/>
    </xf>
    <xf numFmtId="0" fontId="3" fillId="0" borderId="11" xfId="0" applyFont="1" applyFill="1" applyBorder="1" applyAlignment="1">
      <alignment horizontal="left" vertical="center" wrapText="1"/>
    </xf>
    <xf numFmtId="0" fontId="13" fillId="15" borderId="0" xfId="0" applyFont="1" applyFill="1" applyAlignment="1">
      <alignment vertical="center"/>
    </xf>
    <xf numFmtId="0" fontId="3" fillId="0" borderId="10" xfId="0" applyFont="1" applyFill="1" applyBorder="1" applyAlignment="1">
      <alignment vertical="center"/>
    </xf>
    <xf numFmtId="0" fontId="3" fillId="3" borderId="0" xfId="0" applyFont="1" applyFill="1" applyBorder="1" applyAlignment="1" applyProtection="1">
      <alignment horizontal="left" vertical="center" wrapText="1"/>
      <protection hidden="1"/>
    </xf>
    <xf numFmtId="0" fontId="3" fillId="7" borderId="11" xfId="0" applyFont="1" applyFill="1" applyBorder="1" applyAlignment="1">
      <alignment horizontal="left" vertical="center"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6" fillId="3" borderId="4" xfId="3" applyFont="1" applyFill="1" applyBorder="1" applyAlignment="1">
      <alignment horizontal="center" vertical="center" wrapText="1"/>
    </xf>
    <xf numFmtId="4" fontId="3" fillId="3" borderId="4" xfId="3" applyNumberFormat="1" applyFont="1" applyFill="1" applyBorder="1" applyAlignment="1">
      <alignment horizontal="center" vertical="center" wrapText="1"/>
    </xf>
    <xf numFmtId="9" fontId="3" fillId="3" borderId="4" xfId="3" applyNumberFormat="1" applyFont="1" applyFill="1" applyBorder="1" applyAlignment="1">
      <alignment horizontal="center" vertical="center" wrapText="1"/>
    </xf>
    <xf numFmtId="0" fontId="3" fillId="7" borderId="14" xfId="4" applyFont="1" applyFill="1" applyBorder="1" applyAlignment="1">
      <alignment horizontal="left" vertical="center" wrapText="1"/>
    </xf>
    <xf numFmtId="0" fontId="3" fillId="12" borderId="0" xfId="0" applyFont="1" applyFill="1" applyAlignment="1">
      <alignment vertical="center"/>
    </xf>
    <xf numFmtId="4" fontId="3" fillId="3" borderId="9" xfId="3" applyNumberFormat="1" applyFont="1" applyFill="1" applyBorder="1" applyAlignment="1">
      <alignment horizontal="center" vertical="center" wrapText="1"/>
    </xf>
    <xf numFmtId="0" fontId="6" fillId="0" borderId="0" xfId="0" applyFont="1" applyFill="1" applyAlignment="1">
      <alignment vertical="center"/>
    </xf>
    <xf numFmtId="0" fontId="6" fillId="0" borderId="0" xfId="0" applyFont="1" applyFill="1" applyAlignment="1">
      <alignment horizontal="left" vertical="center"/>
    </xf>
    <xf numFmtId="0" fontId="6" fillId="0" borderId="0" xfId="0" applyFont="1" applyFill="1" applyAlignment="1">
      <alignment horizontal="center" vertical="center"/>
    </xf>
    <xf numFmtId="0" fontId="6" fillId="0" borderId="0" xfId="0" applyFont="1" applyFill="1" applyBorder="1" applyAlignment="1">
      <alignment vertical="center"/>
    </xf>
    <xf numFmtId="0" fontId="3" fillId="3" borderId="7" xfId="3" applyFont="1" applyFill="1" applyBorder="1" applyAlignment="1">
      <alignment vertical="center" wrapText="1"/>
    </xf>
    <xf numFmtId="0" fontId="3" fillId="3" borderId="8" xfId="3" applyFont="1" applyFill="1" applyBorder="1" applyAlignment="1">
      <alignment vertical="center" wrapText="1"/>
    </xf>
    <xf numFmtId="4" fontId="3" fillId="0" borderId="3" xfId="0" applyNumberFormat="1" applyFont="1" applyBorder="1" applyAlignment="1">
      <alignment horizontal="center" vertical="center" wrapText="1"/>
    </xf>
    <xf numFmtId="0" fontId="3" fillId="4" borderId="10" xfId="0" applyFont="1" applyFill="1" applyBorder="1" applyAlignment="1">
      <alignment horizontal="center" vertical="center"/>
    </xf>
    <xf numFmtId="0" fontId="6" fillId="3" borderId="0" xfId="0" applyFont="1" applyFill="1" applyBorder="1" applyAlignment="1">
      <alignment horizontal="center" vertical="center" wrapText="1"/>
    </xf>
    <xf numFmtId="0" fontId="3" fillId="3" borderId="0" xfId="0" applyFont="1" applyFill="1" applyBorder="1" applyAlignment="1">
      <alignment horizontal="left" vertical="top" wrapText="1"/>
    </xf>
    <xf numFmtId="4" fontId="3" fillId="3" borderId="0" xfId="0" applyNumberFormat="1" applyFont="1" applyFill="1" applyBorder="1" applyAlignment="1">
      <alignment horizontal="center" vertical="center" wrapText="1"/>
    </xf>
    <xf numFmtId="9" fontId="3" fillId="3" borderId="0" xfId="2" applyFont="1" applyFill="1" applyBorder="1" applyAlignment="1">
      <alignment horizontal="center" vertical="center" wrapText="1"/>
    </xf>
    <xf numFmtId="49" fontId="3" fillId="0" borderId="0" xfId="3" applyNumberFormat="1" applyFont="1" applyFill="1" applyBorder="1" applyAlignment="1">
      <alignment horizontal="right" vertical="center"/>
    </xf>
    <xf numFmtId="0" fontId="3" fillId="8" borderId="0" xfId="3" applyFont="1" applyFill="1" applyAlignment="1">
      <alignment horizontal="center" vertical="center"/>
    </xf>
    <xf numFmtId="0" fontId="3" fillId="4" borderId="0" xfId="3" applyFont="1" applyFill="1" applyAlignment="1">
      <alignment horizontal="center" vertical="center"/>
    </xf>
    <xf numFmtId="0" fontId="20" fillId="16" borderId="0" xfId="7" applyFont="1" applyFill="1" applyBorder="1" applyAlignment="1">
      <alignment horizontal="left" vertical="center" wrapText="1"/>
    </xf>
    <xf numFmtId="0" fontId="20" fillId="16" borderId="0" xfId="0" applyFont="1" applyFill="1" applyBorder="1" applyAlignment="1">
      <alignment horizontal="center" vertical="center"/>
    </xf>
    <xf numFmtId="0" fontId="20" fillId="16" borderId="0" xfId="0" applyFont="1" applyFill="1" applyBorder="1" applyAlignment="1">
      <alignment horizontal="left" vertical="center"/>
    </xf>
    <xf numFmtId="0" fontId="21" fillId="3" borderId="0" xfId="3" applyFont="1" applyFill="1" applyBorder="1" applyAlignment="1">
      <alignment vertical="center"/>
    </xf>
    <xf numFmtId="2" fontId="3" fillId="3" borderId="8" xfId="0" applyNumberFormat="1" applyFont="1" applyFill="1" applyBorder="1" applyAlignment="1">
      <alignment horizontal="center" vertical="center"/>
    </xf>
    <xf numFmtId="9" fontId="3" fillId="3" borderId="5" xfId="2" applyFont="1" applyFill="1" applyBorder="1" applyAlignment="1">
      <alignment horizontal="center" vertical="center"/>
    </xf>
    <xf numFmtId="0" fontId="3" fillId="3" borderId="14" xfId="0" applyFont="1" applyFill="1" applyBorder="1" applyAlignment="1" applyProtection="1">
      <alignment horizontal="left" vertical="center" wrapText="1"/>
      <protection hidden="1"/>
    </xf>
    <xf numFmtId="0" fontId="3" fillId="3" borderId="15" xfId="0" applyFont="1" applyFill="1" applyBorder="1" applyAlignment="1" applyProtection="1">
      <alignment horizontal="left" vertical="center" wrapText="1"/>
      <protection hidden="1"/>
    </xf>
    <xf numFmtId="0" fontId="3" fillId="0" borderId="0" xfId="0" applyFont="1" applyBorder="1" applyAlignment="1">
      <alignment horizontal="left" vertical="center" wrapText="1"/>
    </xf>
    <xf numFmtId="9" fontId="12" fillId="12" borderId="4" xfId="2" applyFont="1" applyFill="1" applyBorder="1" applyAlignment="1">
      <alignment horizontal="center" vertical="center" wrapText="1"/>
    </xf>
    <xf numFmtId="0" fontId="3" fillId="17" borderId="0" xfId="0" applyFont="1" applyFill="1" applyAlignment="1">
      <alignment vertical="center"/>
    </xf>
    <xf numFmtId="0" fontId="3" fillId="17" borderId="0" xfId="0" applyFont="1" applyFill="1" applyAlignment="1">
      <alignment horizontal="center" vertical="center"/>
    </xf>
    <xf numFmtId="49" fontId="2" fillId="0" borderId="0" xfId="8" applyNumberFormat="1" applyFont="1" applyFill="1" applyAlignment="1">
      <alignment horizontal="right" vertical="center"/>
    </xf>
    <xf numFmtId="0" fontId="0" fillId="17" borderId="0" xfId="0" applyFill="1" applyAlignment="1">
      <alignment vertical="center"/>
    </xf>
    <xf numFmtId="166" fontId="3" fillId="3" borderId="4" xfId="0" applyNumberFormat="1" applyFont="1" applyFill="1" applyBorder="1" applyAlignment="1">
      <alignment horizontal="center" vertical="center" wrapText="1"/>
    </xf>
    <xf numFmtId="9" fontId="3" fillId="3" borderId="4" xfId="2" applyFont="1" applyFill="1" applyBorder="1" applyAlignment="1">
      <alignment horizontal="center" vertical="center" wrapText="1"/>
    </xf>
    <xf numFmtId="9" fontId="3" fillId="0" borderId="0" xfId="2" applyFont="1" applyBorder="1" applyAlignment="1">
      <alignment horizontal="left" vertical="center" wrapText="1"/>
    </xf>
    <xf numFmtId="166" fontId="12" fillId="2" borderId="4" xfId="7" applyNumberFormat="1" applyFont="1" applyFill="1" applyBorder="1" applyAlignment="1">
      <alignment horizontal="center" vertical="center" wrapText="1"/>
    </xf>
    <xf numFmtId="0" fontId="6" fillId="3" borderId="4" xfId="7" applyFont="1" applyFill="1" applyBorder="1" applyAlignment="1">
      <alignment horizontal="center" vertical="center" wrapText="1"/>
    </xf>
    <xf numFmtId="0" fontId="3" fillId="0" borderId="2" xfId="7" applyFont="1" applyBorder="1" applyAlignment="1">
      <alignment horizontal="left" vertical="center" wrapText="1"/>
    </xf>
    <xf numFmtId="0" fontId="3" fillId="0" borderId="3" xfId="7" applyFont="1" applyBorder="1" applyAlignment="1">
      <alignment horizontal="left" vertical="center" wrapText="1"/>
    </xf>
    <xf numFmtId="4" fontId="3" fillId="0" borderId="4" xfId="7" applyNumberFormat="1" applyFont="1" applyFill="1" applyBorder="1" applyAlignment="1">
      <alignment horizontal="center" vertical="center" wrapText="1"/>
    </xf>
    <xf numFmtId="0" fontId="3" fillId="3" borderId="10" xfId="0" applyFont="1" applyFill="1" applyBorder="1" applyAlignment="1">
      <alignment horizontal="left" vertical="center"/>
    </xf>
    <xf numFmtId="0" fontId="3" fillId="3" borderId="0" xfId="0" applyFont="1" applyFill="1" applyBorder="1" applyAlignment="1">
      <alignment horizontal="left" vertical="center"/>
    </xf>
    <xf numFmtId="4" fontId="3" fillId="0" borderId="2" xfId="7" applyNumberFormat="1" applyFont="1" applyFill="1" applyBorder="1" applyAlignment="1">
      <alignment horizontal="center" vertical="center" wrapText="1"/>
    </xf>
    <xf numFmtId="0" fontId="6" fillId="3" borderId="1" xfId="7" applyFont="1" applyFill="1" applyBorder="1" applyAlignment="1">
      <alignment horizontal="center" vertical="center" wrapText="1"/>
    </xf>
    <xf numFmtId="0" fontId="3" fillId="0" borderId="2" xfId="7" applyFont="1" applyBorder="1" applyAlignment="1">
      <alignment vertical="center" wrapText="1"/>
    </xf>
    <xf numFmtId="0" fontId="3" fillId="0" borderId="3" xfId="7" applyFont="1" applyBorder="1" applyAlignment="1">
      <alignment vertical="center" wrapText="1"/>
    </xf>
    <xf numFmtId="4" fontId="3" fillId="0" borderId="3" xfId="7" applyNumberFormat="1" applyFont="1" applyFill="1" applyBorder="1" applyAlignment="1">
      <alignment horizontal="center" vertical="center" wrapText="1"/>
    </xf>
    <xf numFmtId="0" fontId="3" fillId="4" borderId="0" xfId="0" applyFont="1" applyFill="1" applyBorder="1" applyAlignment="1">
      <alignment vertical="center"/>
    </xf>
    <xf numFmtId="4" fontId="3" fillId="0" borderId="5" xfId="7" applyNumberFormat="1" applyFont="1" applyFill="1" applyBorder="1" applyAlignment="1">
      <alignment horizontal="center" vertical="center" wrapText="1"/>
    </xf>
    <xf numFmtId="0" fontId="3" fillId="3" borderId="13" xfId="0" applyFont="1" applyFill="1" applyBorder="1" applyAlignment="1">
      <alignment horizontal="left" vertical="center"/>
    </xf>
    <xf numFmtId="0" fontId="3" fillId="3" borderId="14" xfId="0" applyFont="1" applyFill="1" applyBorder="1" applyAlignment="1">
      <alignment horizontal="left" vertical="center"/>
    </xf>
    <xf numFmtId="4" fontId="3" fillId="0" borderId="1" xfId="7" applyNumberFormat="1" applyFont="1" applyFill="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3" fillId="0" borderId="2" xfId="0" applyFont="1" applyBorder="1" applyAlignment="1">
      <alignment horizontal="left" vertical="center" wrapText="1"/>
    </xf>
    <xf numFmtId="0" fontId="3" fillId="0" borderId="3" xfId="0" applyFont="1" applyBorder="1" applyAlignment="1">
      <alignment vertical="center" wrapText="1"/>
    </xf>
    <xf numFmtId="0" fontId="6" fillId="3" borderId="13" xfId="7" applyFont="1" applyFill="1" applyBorder="1" applyAlignment="1">
      <alignment horizontal="center" vertical="center" wrapText="1"/>
    </xf>
    <xf numFmtId="4" fontId="3" fillId="0" borderId="9" xfId="7" applyNumberFormat="1" applyFont="1" applyFill="1" applyBorder="1" applyAlignment="1">
      <alignment horizontal="center" vertical="center" wrapText="1"/>
    </xf>
    <xf numFmtId="9" fontId="3" fillId="0" borderId="9" xfId="2" applyFont="1" applyFill="1" applyBorder="1" applyAlignment="1">
      <alignment horizontal="center" vertical="center" wrapText="1"/>
    </xf>
    <xf numFmtId="0" fontId="3" fillId="0" borderId="0" xfId="5" applyFont="1" applyFill="1" applyAlignment="1">
      <alignment vertical="center"/>
    </xf>
    <xf numFmtId="0" fontId="3" fillId="4" borderId="0" xfId="3" applyFont="1" applyFill="1" applyAlignment="1">
      <alignment vertical="center"/>
    </xf>
    <xf numFmtId="0" fontId="6" fillId="0" borderId="5" xfId="0" applyFont="1" applyBorder="1" applyAlignment="1">
      <alignment horizontal="center" vertical="center"/>
    </xf>
    <xf numFmtId="0" fontId="3" fillId="0" borderId="1" xfId="0" applyFont="1" applyBorder="1" applyAlignment="1">
      <alignment horizontal="left"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6" fillId="3" borderId="4" xfId="0" applyFont="1" applyFill="1" applyBorder="1" applyAlignment="1">
      <alignment horizontal="center" vertical="center"/>
    </xf>
    <xf numFmtId="0" fontId="6" fillId="0" borderId="4" xfId="0" applyFont="1" applyBorder="1" applyAlignment="1">
      <alignment horizontal="center" vertical="center"/>
    </xf>
    <xf numFmtId="9" fontId="12" fillId="0" borderId="0" xfId="0" applyNumberFormat="1" applyFont="1" applyBorder="1" applyAlignment="1">
      <alignment horizontal="center" vertical="center" wrapText="1"/>
    </xf>
    <xf numFmtId="9" fontId="3" fillId="0" borderId="0" xfId="2" applyFont="1" applyAlignment="1">
      <alignment vertical="center"/>
    </xf>
    <xf numFmtId="0" fontId="3" fillId="0" borderId="7" xfId="3" applyFont="1" applyFill="1" applyBorder="1" applyAlignment="1">
      <alignment vertical="center"/>
    </xf>
    <xf numFmtId="0" fontId="3" fillId="0" borderId="8" xfId="3" applyFont="1" applyFill="1" applyBorder="1" applyAlignment="1">
      <alignment vertical="center"/>
    </xf>
    <xf numFmtId="0" fontId="3" fillId="17" borderId="0" xfId="3" applyFill="1" applyAlignment="1">
      <alignment vertical="center"/>
    </xf>
    <xf numFmtId="0" fontId="3" fillId="17" borderId="0" xfId="3" applyFont="1" applyFill="1" applyAlignment="1">
      <alignment horizontal="center" vertical="center"/>
    </xf>
    <xf numFmtId="0" fontId="20" fillId="16" borderId="0" xfId="7" applyFont="1" applyFill="1" applyBorder="1" applyAlignment="1">
      <alignment horizontal="center" vertical="center"/>
    </xf>
    <xf numFmtId="0" fontId="20" fillId="0" borderId="0" xfId="0" applyFont="1" applyFill="1" applyBorder="1" applyAlignment="1">
      <alignment horizontal="left" vertical="center"/>
    </xf>
    <xf numFmtId="0" fontId="20" fillId="18" borderId="0" xfId="0" applyFont="1" applyFill="1" applyBorder="1" applyAlignment="1">
      <alignment horizontal="center" vertical="center"/>
    </xf>
    <xf numFmtId="0" fontId="20" fillId="18" borderId="0" xfId="0" applyFont="1" applyFill="1" applyBorder="1" applyAlignment="1">
      <alignment horizontal="left" vertical="center"/>
    </xf>
    <xf numFmtId="0" fontId="20" fillId="16" borderId="0" xfId="7" applyFont="1" applyFill="1" applyBorder="1" applyAlignment="1">
      <alignment horizontal="left" vertical="center"/>
    </xf>
    <xf numFmtId="9" fontId="12" fillId="2" borderId="3" xfId="2" applyFont="1" applyFill="1" applyBorder="1" applyAlignment="1">
      <alignment horizontal="center" vertical="center" wrapText="1"/>
    </xf>
    <xf numFmtId="0" fontId="6" fillId="0" borderId="5" xfId="7" applyFont="1" applyBorder="1" applyAlignment="1">
      <alignment horizontal="center" vertical="center" wrapText="1"/>
    </xf>
    <xf numFmtId="166" fontId="3" fillId="0" borderId="4" xfId="0" applyNumberFormat="1" applyFont="1" applyFill="1" applyBorder="1" applyAlignment="1">
      <alignment horizontal="center" vertical="center" wrapText="1"/>
    </xf>
    <xf numFmtId="166" fontId="12" fillId="0" borderId="0" xfId="0" applyNumberFormat="1" applyFont="1" applyFill="1" applyBorder="1" applyAlignment="1">
      <alignment horizontal="center" vertical="center" wrapText="1"/>
    </xf>
    <xf numFmtId="9" fontId="12" fillId="0" borderId="0" xfId="2" applyFont="1" applyFill="1" applyBorder="1" applyAlignment="1">
      <alignment horizontal="center" vertical="center" wrapText="1"/>
    </xf>
    <xf numFmtId="166" fontId="3" fillId="0" borderId="4" xfId="4" applyNumberFormat="1" applyFont="1" applyBorder="1" applyAlignment="1">
      <alignment horizontal="center" vertical="center" wrapText="1"/>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3" fillId="0" borderId="4" xfId="0" applyFont="1" applyBorder="1" applyAlignment="1">
      <alignment vertical="center"/>
    </xf>
    <xf numFmtId="9" fontId="3" fillId="0" borderId="0" xfId="2" applyFont="1" applyFill="1" applyBorder="1" applyAlignment="1">
      <alignment horizontal="left" vertical="center" wrapText="1"/>
    </xf>
    <xf numFmtId="0" fontId="12" fillId="2" borderId="4" xfId="0" applyFont="1" applyFill="1" applyBorder="1" applyAlignment="1">
      <alignment horizontal="center" vertical="center" wrapText="1"/>
    </xf>
    <xf numFmtId="9" fontId="22" fillId="12" borderId="4" xfId="2" applyFont="1" applyFill="1" applyBorder="1" applyAlignment="1">
      <alignment horizontal="center" vertical="center"/>
    </xf>
    <xf numFmtId="2" fontId="0" fillId="0" borderId="4" xfId="0" applyNumberFormat="1" applyFont="1" applyBorder="1" applyAlignment="1">
      <alignment horizontal="center" vertical="center"/>
    </xf>
    <xf numFmtId="9" fontId="0" fillId="0" borderId="4" xfId="2" applyFont="1" applyBorder="1" applyAlignment="1">
      <alignment horizontal="center" vertical="center"/>
    </xf>
    <xf numFmtId="0" fontId="0" fillId="0" borderId="4" xfId="0" applyFont="1" applyBorder="1" applyAlignment="1">
      <alignment horizontal="center" vertical="center"/>
    </xf>
    <xf numFmtId="9" fontId="3" fillId="2" borderId="4" xfId="2" applyFont="1" applyFill="1" applyBorder="1" applyAlignment="1">
      <alignment horizontal="center" vertical="center" wrapText="1"/>
    </xf>
    <xf numFmtId="0" fontId="3" fillId="0" borderId="6" xfId="0" applyFont="1" applyBorder="1" applyAlignment="1">
      <alignment horizontal="center" vertical="center"/>
    </xf>
    <xf numFmtId="2" fontId="3" fillId="0" borderId="5" xfId="0" applyNumberFormat="1" applyFont="1" applyBorder="1" applyAlignment="1">
      <alignment horizontal="center" vertical="center"/>
    </xf>
    <xf numFmtId="9" fontId="3" fillId="0" borderId="5" xfId="2" applyFont="1" applyBorder="1" applyAlignment="1">
      <alignment horizontal="center" vertical="center"/>
    </xf>
    <xf numFmtId="0" fontId="3" fillId="0" borderId="4" xfId="0" applyFont="1" applyFill="1" applyBorder="1" applyAlignment="1">
      <alignment horizontal="center" vertical="center"/>
    </xf>
    <xf numFmtId="2" fontId="3" fillId="0" borderId="4" xfId="0" applyNumberFormat="1" applyFont="1" applyFill="1" applyBorder="1" applyAlignment="1">
      <alignment horizontal="center" vertical="center"/>
    </xf>
    <xf numFmtId="9" fontId="3" fillId="0" borderId="3" xfId="2" applyFont="1" applyFill="1" applyBorder="1" applyAlignment="1">
      <alignment horizontal="center" vertical="center"/>
    </xf>
    <xf numFmtId="0" fontId="3" fillId="0" borderId="10" xfId="0" applyFont="1" applyFill="1" applyBorder="1" applyAlignment="1">
      <alignment horizontal="center" vertical="center"/>
    </xf>
    <xf numFmtId="2" fontId="3" fillId="0" borderId="9" xfId="0" applyNumberFormat="1" applyFont="1" applyFill="1" applyBorder="1" applyAlignment="1">
      <alignment horizontal="center" vertical="center"/>
    </xf>
    <xf numFmtId="9" fontId="3" fillId="0" borderId="15" xfId="2" applyFont="1" applyFill="1" applyBorder="1" applyAlignment="1">
      <alignment horizontal="center" vertical="center"/>
    </xf>
    <xf numFmtId="9" fontId="3" fillId="0" borderId="9" xfId="2" applyFont="1" applyFill="1" applyBorder="1" applyAlignment="1">
      <alignment horizontal="center" vertical="center"/>
    </xf>
    <xf numFmtId="0" fontId="3" fillId="0" borderId="1" xfId="0" applyFont="1" applyFill="1" applyBorder="1" applyAlignment="1">
      <alignment horizontal="center" vertical="center"/>
    </xf>
    <xf numFmtId="9" fontId="3" fillId="0" borderId="4" xfId="2" applyFont="1" applyFill="1" applyBorder="1" applyAlignment="1">
      <alignment horizontal="center" vertical="center"/>
    </xf>
    <xf numFmtId="0" fontId="3" fillId="7" borderId="0" xfId="0" applyFont="1" applyFill="1" applyAlignment="1">
      <alignment vertical="center"/>
    </xf>
    <xf numFmtId="0" fontId="6" fillId="0" borderId="6" xfId="0" applyFont="1" applyFill="1" applyBorder="1" applyAlignment="1">
      <alignment vertical="center"/>
    </xf>
    <xf numFmtId="0" fontId="3" fillId="0" borderId="7" xfId="0" applyFont="1" applyBorder="1" applyAlignment="1">
      <alignment horizontal="left" vertical="center" wrapText="1"/>
    </xf>
    <xf numFmtId="166" fontId="12" fillId="0" borderId="7" xfId="0" applyNumberFormat="1" applyFont="1" applyBorder="1" applyAlignment="1">
      <alignment horizontal="center" vertical="center" wrapText="1"/>
    </xf>
    <xf numFmtId="9" fontId="12" fillId="0" borderId="8" xfId="2" applyFont="1" applyBorder="1" applyAlignment="1">
      <alignment horizontal="center" vertical="center" wrapText="1"/>
    </xf>
    <xf numFmtId="0" fontId="11" fillId="0" borderId="0" xfId="0" applyFont="1" applyAlignment="1">
      <alignment vertical="center"/>
    </xf>
    <xf numFmtId="2" fontId="3" fillId="0" borderId="10" xfId="0" applyNumberFormat="1" applyFont="1" applyBorder="1" applyAlignment="1">
      <alignment vertical="center"/>
    </xf>
    <xf numFmtId="2" fontId="3" fillId="0" borderId="0" xfId="0" applyNumberFormat="1" applyFont="1" applyBorder="1" applyAlignment="1">
      <alignment vertical="center"/>
    </xf>
    <xf numFmtId="0" fontId="3" fillId="19" borderId="0" xfId="0" applyFont="1" applyFill="1" applyAlignment="1">
      <alignment vertical="center"/>
    </xf>
    <xf numFmtId="9" fontId="3" fillId="0" borderId="0" xfId="2" applyFont="1" applyBorder="1" applyAlignment="1">
      <alignment vertical="center"/>
    </xf>
    <xf numFmtId="170" fontId="23" fillId="0" borderId="0" xfId="0" applyNumberFormat="1" applyFont="1" applyBorder="1" applyAlignment="1">
      <alignment horizontal="center" vertical="center"/>
    </xf>
    <xf numFmtId="171" fontId="3" fillId="0" borderId="0" xfId="0" applyNumberFormat="1" applyFont="1" applyBorder="1" applyAlignment="1">
      <alignment horizontal="center" vertical="center"/>
    </xf>
    <xf numFmtId="166" fontId="3" fillId="0" borderId="0" xfId="0" applyNumberFormat="1" applyFont="1" applyBorder="1" applyAlignment="1">
      <alignment vertical="center"/>
    </xf>
    <xf numFmtId="0" fontId="11" fillId="2" borderId="1" xfId="0" applyFont="1" applyFill="1" applyBorder="1" applyAlignment="1">
      <alignment horizontal="center" vertical="center" wrapText="1"/>
    </xf>
    <xf numFmtId="0" fontId="6" fillId="0" borderId="1" xfId="0" applyFont="1" applyBorder="1" applyAlignment="1">
      <alignment horizontal="right" vertical="center"/>
    </xf>
    <xf numFmtId="9" fontId="6" fillId="0" borderId="2" xfId="0" applyNumberFormat="1" applyFont="1" applyBorder="1" applyAlignment="1">
      <alignment horizontal="left" vertical="center"/>
    </xf>
    <xf numFmtId="0" fontId="6" fillId="0" borderId="3" xfId="0" applyFont="1" applyBorder="1" applyAlignment="1">
      <alignment vertical="center"/>
    </xf>
    <xf numFmtId="0" fontId="3" fillId="7" borderId="1" xfId="0" applyFont="1" applyFill="1" applyBorder="1" applyAlignment="1">
      <alignment horizontal="center" vertical="center"/>
    </xf>
    <xf numFmtId="9" fontId="6" fillId="0" borderId="1" xfId="0" applyNumberFormat="1" applyFont="1" applyBorder="1" applyAlignment="1">
      <alignment vertical="center"/>
    </xf>
    <xf numFmtId="0" fontId="6" fillId="0" borderId="2" xfId="0" applyFont="1" applyBorder="1" applyAlignment="1">
      <alignment vertical="center"/>
    </xf>
    <xf numFmtId="0" fontId="3" fillId="7" borderId="1" xfId="0" applyFont="1" applyFill="1" applyBorder="1" applyAlignment="1">
      <alignment horizontal="right" vertical="center"/>
    </xf>
    <xf numFmtId="9" fontId="3" fillId="7" borderId="2" xfId="0" applyNumberFormat="1" applyFont="1" applyFill="1" applyBorder="1" applyAlignment="1">
      <alignment horizontal="center" vertical="center"/>
    </xf>
    <xf numFmtId="9" fontId="3" fillId="7" borderId="3" xfId="2" applyFont="1" applyFill="1" applyBorder="1" applyAlignment="1">
      <alignment vertical="center"/>
    </xf>
    <xf numFmtId="9" fontId="3" fillId="7" borderId="3" xfId="2" applyFont="1" applyFill="1" applyBorder="1" applyAlignment="1">
      <alignment horizontal="left" vertical="center"/>
    </xf>
    <xf numFmtId="0" fontId="12" fillId="0" borderId="0" xfId="0" applyFont="1" applyBorder="1" applyAlignment="1">
      <alignment horizontal="center" vertical="center"/>
    </xf>
    <xf numFmtId="166" fontId="3" fillId="7" borderId="0" xfId="0" applyNumberFormat="1" applyFont="1" applyFill="1" applyBorder="1" applyAlignment="1">
      <alignment horizontal="center" vertical="center"/>
    </xf>
    <xf numFmtId="0" fontId="11" fillId="0" borderId="6" xfId="0" applyFont="1" applyBorder="1" applyAlignment="1">
      <alignment vertical="center"/>
    </xf>
    <xf numFmtId="0" fontId="3" fillId="0" borderId="7" xfId="0" applyFont="1" applyBorder="1" applyAlignment="1">
      <alignment vertical="center"/>
    </xf>
    <xf numFmtId="0" fontId="3" fillId="0" borderId="7" xfId="0" applyFont="1" applyBorder="1" applyAlignment="1">
      <alignment horizontal="center" vertical="center"/>
    </xf>
    <xf numFmtId="166" fontId="3" fillId="0" borderId="7" xfId="0" applyNumberFormat="1" applyFont="1" applyBorder="1" applyAlignment="1">
      <alignment vertical="center"/>
    </xf>
    <xf numFmtId="9" fontId="3" fillId="0" borderId="8" xfId="2" applyFont="1" applyBorder="1" applyAlignment="1">
      <alignment vertical="center"/>
    </xf>
    <xf numFmtId="0" fontId="12" fillId="0" borderId="10" xfId="0" applyFont="1" applyBorder="1" applyAlignment="1">
      <alignment vertical="center"/>
    </xf>
    <xf numFmtId="0" fontId="3" fillId="7" borderId="0" xfId="0" applyFont="1" applyFill="1" applyBorder="1" applyAlignment="1">
      <alignment vertical="center"/>
    </xf>
    <xf numFmtId="0" fontId="6" fillId="0" borderId="2" xfId="0" applyFont="1" applyBorder="1" applyAlignment="1">
      <alignment horizontal="right" vertical="center"/>
    </xf>
    <xf numFmtId="0" fontId="6" fillId="0" borderId="2" xfId="0" applyFont="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9" fontId="3" fillId="0" borderId="11" xfId="2" applyFont="1" applyBorder="1" applyAlignment="1">
      <alignment vertical="center"/>
    </xf>
    <xf numFmtId="49" fontId="3" fillId="0" borderId="0" xfId="0" applyNumberFormat="1" applyFont="1" applyFill="1" applyBorder="1" applyAlignment="1">
      <alignment horizontal="right" vertical="center" wrapText="1"/>
    </xf>
    <xf numFmtId="0" fontId="11" fillId="0" borderId="0" xfId="0" applyFont="1" applyBorder="1" applyAlignment="1">
      <alignment horizontal="justify" vertical="center" wrapText="1"/>
    </xf>
    <xf numFmtId="0" fontId="3" fillId="0" borderId="0" xfId="0" applyFont="1" applyBorder="1" applyAlignment="1">
      <alignment horizontal="justify" vertical="center" wrapText="1"/>
    </xf>
    <xf numFmtId="9" fontId="3" fillId="0" borderId="0" xfId="2" applyFont="1" applyBorder="1" applyAlignment="1">
      <alignment horizontal="justify" vertical="center" wrapText="1"/>
    </xf>
    <xf numFmtId="0" fontId="6" fillId="7" borderId="0" xfId="0" applyFont="1" applyFill="1" applyBorder="1" applyAlignment="1">
      <alignment horizontal="left" vertical="center"/>
    </xf>
    <xf numFmtId="166" fontId="6" fillId="7" borderId="0" xfId="0" applyNumberFormat="1" applyFont="1" applyFill="1" applyBorder="1" applyAlignment="1">
      <alignment horizontal="left" vertical="center"/>
    </xf>
    <xf numFmtId="9" fontId="6" fillId="7" borderId="0" xfId="2" applyFont="1" applyFill="1" applyBorder="1" applyAlignment="1">
      <alignment horizontal="left" vertical="center"/>
    </xf>
    <xf numFmtId="0" fontId="10" fillId="0" borderId="0" xfId="0" applyFont="1" applyFill="1" applyAlignment="1" applyProtection="1">
      <alignment vertical="center"/>
      <protection locked="0"/>
    </xf>
    <xf numFmtId="0" fontId="10" fillId="0" borderId="0" xfId="0" applyFont="1" applyFill="1" applyAlignment="1" applyProtection="1">
      <alignment horizontal="center" vertical="center"/>
      <protection locked="0"/>
    </xf>
    <xf numFmtId="0" fontId="13" fillId="0" borderId="0" xfId="0" applyFont="1" applyFill="1" applyBorder="1" applyAlignment="1">
      <alignment horizontal="center" vertical="center"/>
    </xf>
    <xf numFmtId="0" fontId="24" fillId="3" borderId="0" xfId="0" applyFont="1" applyFill="1" applyBorder="1" applyAlignment="1">
      <alignment horizontal="left" vertical="center"/>
    </xf>
    <xf numFmtId="0" fontId="25" fillId="3" borderId="0" xfId="0" applyFont="1" applyFill="1" applyBorder="1" applyAlignment="1">
      <alignment horizontal="left" vertical="center"/>
    </xf>
    <xf numFmtId="0" fontId="13" fillId="0" borderId="0" xfId="0" applyFont="1" applyFill="1" applyBorder="1" applyAlignment="1">
      <alignment vertical="center"/>
    </xf>
    <xf numFmtId="172" fontId="3" fillId="0" borderId="0" xfId="1" applyFont="1" applyFill="1" applyAlignment="1">
      <alignment horizontal="center" vertical="center"/>
    </xf>
    <xf numFmtId="172" fontId="3" fillId="0" borderId="0" xfId="1" applyFont="1" applyFill="1" applyAlignment="1">
      <alignment vertical="center"/>
    </xf>
    <xf numFmtId="164" fontId="3" fillId="7" borderId="14" xfId="9" applyFont="1" applyFill="1" applyBorder="1" applyAlignment="1" applyProtection="1">
      <alignment vertical="center" wrapText="1"/>
      <protection hidden="1"/>
    </xf>
    <xf numFmtId="164" fontId="3" fillId="7" borderId="15" xfId="9" applyFont="1" applyFill="1" applyBorder="1" applyAlignment="1" applyProtection="1">
      <alignment vertical="center" wrapText="1"/>
      <protection hidden="1"/>
    </xf>
    <xf numFmtId="0" fontId="6" fillId="7" borderId="4" xfId="0" applyFont="1" applyFill="1" applyBorder="1" applyAlignment="1">
      <alignment horizontal="center" vertical="center" wrapText="1"/>
    </xf>
    <xf numFmtId="4" fontId="3" fillId="7" borderId="4" xfId="0" applyNumberFormat="1" applyFont="1" applyFill="1" applyBorder="1" applyAlignment="1">
      <alignment horizontal="center" vertical="center" wrapText="1"/>
    </xf>
    <xf numFmtId="9" fontId="3" fillId="7" borderId="4" xfId="0" applyNumberFormat="1" applyFont="1" applyFill="1" applyBorder="1" applyAlignment="1">
      <alignment horizontal="center" vertical="center" wrapText="1"/>
    </xf>
    <xf numFmtId="9" fontId="3" fillId="7" borderId="0" xfId="0" applyNumberFormat="1" applyFont="1" applyFill="1" applyBorder="1" applyAlignment="1">
      <alignment horizontal="center" vertical="center" wrapText="1"/>
    </xf>
    <xf numFmtId="0" fontId="6" fillId="0" borderId="7" xfId="0" applyFont="1" applyBorder="1"/>
    <xf numFmtId="0" fontId="6" fillId="0" borderId="8" xfId="0" applyFont="1" applyBorder="1"/>
    <xf numFmtId="0" fontId="3" fillId="0" borderId="14" xfId="0" applyFont="1" applyBorder="1" applyAlignment="1">
      <alignment vertical="center" wrapText="1"/>
    </xf>
    <xf numFmtId="0" fontId="3" fillId="0" borderId="15" xfId="0" applyFont="1" applyBorder="1" applyAlignment="1">
      <alignment vertical="center" wrapText="1"/>
    </xf>
    <xf numFmtId="2" fontId="3" fillId="0" borderId="4" xfId="0" applyNumberFormat="1" applyFont="1" applyFill="1" applyBorder="1" applyAlignment="1">
      <alignment horizontal="center" vertical="center" wrapText="1"/>
    </xf>
    <xf numFmtId="2" fontId="3" fillId="0" borderId="0" xfId="0" applyNumberFormat="1" applyFont="1" applyFill="1" applyBorder="1" applyAlignment="1">
      <alignment horizontal="center" vertical="center" wrapText="1"/>
    </xf>
    <xf numFmtId="9" fontId="3" fillId="0" borderId="0" xfId="0" applyNumberFormat="1" applyFont="1" applyFill="1" applyBorder="1" applyAlignment="1">
      <alignment horizontal="center" vertical="center" wrapText="1"/>
    </xf>
    <xf numFmtId="0" fontId="6" fillId="0" borderId="9" xfId="0" applyFont="1" applyFill="1" applyBorder="1" applyAlignment="1">
      <alignment horizontal="center" vertical="center" wrapText="1"/>
    </xf>
    <xf numFmtId="2" fontId="3" fillId="0" borderId="9" xfId="0" applyNumberFormat="1" applyFont="1" applyFill="1" applyBorder="1" applyAlignment="1">
      <alignment horizontal="center" vertical="center" wrapText="1"/>
    </xf>
    <xf numFmtId="9" fontId="3" fillId="0" borderId="9" xfId="0" applyNumberFormat="1" applyFont="1" applyFill="1" applyBorder="1" applyAlignment="1">
      <alignment horizontal="center" vertical="center" wrapText="1"/>
    </xf>
    <xf numFmtId="4" fontId="3" fillId="0" borderId="4" xfId="0" applyNumberFormat="1" applyFont="1" applyFill="1" applyBorder="1" applyAlignment="1">
      <alignment horizontal="center" vertical="center"/>
    </xf>
    <xf numFmtId="0" fontId="3" fillId="13" borderId="0" xfId="0" applyFont="1" applyFill="1" applyAlignment="1">
      <alignment horizontal="center" vertical="center"/>
    </xf>
    <xf numFmtId="0" fontId="3" fillId="3" borderId="0" xfId="0" applyFont="1" applyFill="1" applyAlignment="1">
      <alignment horizontal="center" vertical="center"/>
    </xf>
    <xf numFmtId="0" fontId="3" fillId="7" borderId="14" xfId="0" applyFont="1" applyFill="1" applyBorder="1" applyAlignment="1" applyProtection="1">
      <alignment horizontal="left" vertical="center" wrapText="1"/>
      <protection hidden="1"/>
    </xf>
    <xf numFmtId="0" fontId="3" fillId="7" borderId="15" xfId="0" applyFont="1" applyFill="1" applyBorder="1" applyAlignment="1" applyProtection="1">
      <alignment horizontal="left" vertical="center" wrapText="1"/>
      <protection hidden="1"/>
    </xf>
    <xf numFmtId="0" fontId="3" fillId="7" borderId="0" xfId="4" applyFont="1" applyFill="1" applyBorder="1" applyAlignment="1">
      <alignment horizontal="left" vertical="center" wrapText="1"/>
    </xf>
    <xf numFmtId="0" fontId="3" fillId="7" borderId="11" xfId="4" applyFont="1" applyFill="1" applyBorder="1" applyAlignment="1">
      <alignment horizontal="left" vertical="center" wrapText="1"/>
    </xf>
    <xf numFmtId="9" fontId="3" fillId="0" borderId="4" xfId="0" applyNumberFormat="1" applyFont="1" applyBorder="1" applyAlignment="1">
      <alignment horizontal="center" vertical="center" wrapText="1"/>
    </xf>
    <xf numFmtId="0" fontId="3" fillId="11" borderId="0" xfId="0" applyFont="1" applyFill="1" applyAlignment="1">
      <alignment horizontal="center" vertical="center"/>
    </xf>
    <xf numFmtId="0" fontId="6" fillId="7" borderId="1" xfId="0" applyFont="1" applyFill="1" applyBorder="1" applyAlignment="1">
      <alignment horizontal="center" vertical="center"/>
    </xf>
    <xf numFmtId="4" fontId="3" fillId="0" borderId="3" xfId="5" applyNumberFormat="1" applyFont="1" applyBorder="1" applyAlignment="1">
      <alignment horizontal="center" vertical="center" wrapText="1"/>
    </xf>
    <xf numFmtId="9" fontId="3" fillId="0" borderId="4" xfId="5" applyNumberFormat="1" applyFont="1" applyBorder="1" applyAlignment="1">
      <alignment horizontal="center" vertical="center" wrapText="1"/>
    </xf>
    <xf numFmtId="9" fontId="3" fillId="7" borderId="4" xfId="2" applyFont="1" applyFill="1" applyBorder="1" applyAlignment="1">
      <alignment horizontal="center" vertical="center" wrapText="1"/>
    </xf>
    <xf numFmtId="0" fontId="3" fillId="20" borderId="0" xfId="0" applyFont="1" applyFill="1" applyAlignment="1">
      <alignment horizontal="left" vertical="center"/>
    </xf>
    <xf numFmtId="0" fontId="12" fillId="2" borderId="3" xfId="0" applyFont="1" applyFill="1" applyBorder="1" applyAlignment="1">
      <alignment horizontal="center" vertical="center" wrapText="1"/>
    </xf>
    <xf numFmtId="0" fontId="3" fillId="4" borderId="0" xfId="0" applyFont="1" applyFill="1" applyBorder="1" applyAlignment="1">
      <alignment horizontal="center" vertical="center"/>
    </xf>
    <xf numFmtId="0" fontId="3" fillId="8" borderId="0" xfId="0" applyFont="1" applyFill="1" applyBorder="1" applyAlignment="1">
      <alignment horizontal="center" vertical="center"/>
    </xf>
    <xf numFmtId="0" fontId="13" fillId="5" borderId="0" xfId="0" applyFont="1" applyFill="1" applyBorder="1" applyAlignment="1">
      <alignment vertical="center"/>
    </xf>
    <xf numFmtId="0" fontId="6" fillId="7" borderId="6" xfId="0" applyFont="1" applyFill="1" applyBorder="1" applyAlignment="1">
      <alignment horizontal="center" vertical="center"/>
    </xf>
    <xf numFmtId="4" fontId="3" fillId="0" borderId="8" xfId="5" applyNumberFormat="1" applyFont="1" applyBorder="1" applyAlignment="1">
      <alignment horizontal="center" vertical="center" wrapText="1"/>
    </xf>
    <xf numFmtId="9" fontId="3" fillId="0" borderId="5" xfId="5" applyNumberFormat="1" applyFont="1" applyBorder="1" applyAlignment="1">
      <alignment horizontal="center" vertical="center" wrapText="1"/>
    </xf>
    <xf numFmtId="0" fontId="3" fillId="0" borderId="14" xfId="0" applyFont="1" applyBorder="1" applyAlignment="1">
      <alignment horizontal="left" vertical="center" wrapText="1"/>
    </xf>
    <xf numFmtId="9" fontId="3" fillId="3" borderId="4" xfId="0" applyNumberFormat="1" applyFont="1" applyFill="1" applyBorder="1" applyAlignment="1">
      <alignment horizontal="center" vertical="center" wrapText="1"/>
    </xf>
    <xf numFmtId="0" fontId="3" fillId="7" borderId="10" xfId="4" applyFont="1" applyFill="1" applyBorder="1" applyAlignment="1">
      <alignment horizontal="left" vertical="center" wrapText="1"/>
    </xf>
    <xf numFmtId="0" fontId="3" fillId="0" borderId="0" xfId="5" applyFont="1" applyBorder="1" applyAlignment="1">
      <alignment horizontal="left" vertical="center" wrapText="1"/>
    </xf>
    <xf numFmtId="0" fontId="6" fillId="3" borderId="6" xfId="0" applyFont="1" applyFill="1" applyBorder="1" applyAlignment="1">
      <alignment horizontal="center" vertical="center" wrapText="1"/>
    </xf>
    <xf numFmtId="4" fontId="3" fillId="3" borderId="8" xfId="0" applyNumberFormat="1" applyFont="1" applyFill="1" applyBorder="1" applyAlignment="1">
      <alignment horizontal="center" vertical="center" wrapText="1"/>
    </xf>
    <xf numFmtId="9" fontId="3" fillId="3" borderId="5" xfId="0" applyNumberFormat="1" applyFont="1" applyFill="1" applyBorder="1" applyAlignment="1">
      <alignment horizontal="center" vertical="center" wrapText="1"/>
    </xf>
    <xf numFmtId="0" fontId="3" fillId="0" borderId="0" xfId="0" applyFont="1"/>
    <xf numFmtId="0" fontId="3" fillId="0" borderId="0" xfId="0" applyFont="1" applyBorder="1"/>
    <xf numFmtId="0" fontId="3" fillId="0" borderId="46" xfId="0" applyFont="1" applyBorder="1"/>
    <xf numFmtId="0" fontId="6" fillId="7" borderId="1" xfId="0" applyFont="1" applyFill="1" applyBorder="1" applyAlignment="1">
      <alignment horizontal="center" vertical="center" wrapText="1"/>
    </xf>
    <xf numFmtId="4" fontId="3" fillId="7" borderId="3" xfId="0" applyNumberFormat="1" applyFont="1" applyFill="1" applyBorder="1" applyAlignment="1">
      <alignment horizontal="center" vertical="center" wrapText="1"/>
    </xf>
    <xf numFmtId="0" fontId="3" fillId="2" borderId="4" xfId="0" applyFont="1" applyFill="1" applyBorder="1" applyAlignment="1">
      <alignment horizontal="center" vertical="center" wrapText="1"/>
    </xf>
    <xf numFmtId="0" fontId="6" fillId="0" borderId="5" xfId="0" applyFont="1" applyFill="1" applyBorder="1" applyAlignment="1">
      <alignment horizontal="center" vertical="center"/>
    </xf>
    <xf numFmtId="9" fontId="3" fillId="0" borderId="5" xfId="0" applyNumberFormat="1" applyFont="1" applyFill="1" applyBorder="1" applyAlignment="1">
      <alignment horizontal="center" vertical="center"/>
    </xf>
    <xf numFmtId="9" fontId="3" fillId="0" borderId="4" xfId="0" applyNumberFormat="1" applyFont="1" applyFill="1" applyBorder="1" applyAlignment="1">
      <alignment horizontal="center" vertical="center"/>
    </xf>
    <xf numFmtId="164" fontId="3" fillId="3" borderId="0" xfId="10" applyFont="1" applyFill="1" applyBorder="1" applyAlignment="1">
      <alignment horizontal="left" vertical="center" wrapText="1"/>
    </xf>
    <xf numFmtId="164" fontId="3" fillId="3" borderId="0" xfId="10" applyFont="1" applyFill="1" applyBorder="1" applyAlignment="1">
      <alignment horizontal="left" vertical="center"/>
    </xf>
    <xf numFmtId="0" fontId="3" fillId="3" borderId="11" xfId="0" applyFont="1" applyFill="1" applyBorder="1" applyAlignment="1" applyProtection="1">
      <alignment horizontal="left" vertical="center" wrapText="1"/>
      <protection hidden="1"/>
    </xf>
    <xf numFmtId="0" fontId="6" fillId="7" borderId="5" xfId="0" applyFont="1" applyFill="1" applyBorder="1" applyAlignment="1">
      <alignment horizontal="center" vertical="center"/>
    </xf>
    <xf numFmtId="2" fontId="3" fillId="7" borderId="5" xfId="0" applyNumberFormat="1" applyFont="1" applyFill="1" applyBorder="1" applyAlignment="1">
      <alignment horizontal="center" vertical="center"/>
    </xf>
    <xf numFmtId="0" fontId="26" fillId="0" borderId="0" xfId="0" applyFont="1"/>
    <xf numFmtId="164" fontId="3" fillId="7" borderId="14" xfId="9" applyFont="1" applyFill="1" applyBorder="1" applyAlignment="1" applyProtection="1">
      <alignment horizontal="left" vertical="center" wrapText="1"/>
      <protection hidden="1"/>
    </xf>
    <xf numFmtId="164" fontId="3" fillId="7" borderId="15" xfId="9" applyFont="1" applyFill="1" applyBorder="1" applyAlignment="1" applyProtection="1">
      <alignment horizontal="left" vertical="center" wrapText="1"/>
      <protection hidden="1"/>
    </xf>
    <xf numFmtId="0" fontId="6" fillId="7" borderId="34" xfId="0" applyFont="1" applyFill="1" applyBorder="1" applyAlignment="1">
      <alignment horizontal="center" vertical="center" wrapText="1"/>
    </xf>
    <xf numFmtId="4" fontId="3" fillId="7" borderId="12" xfId="0" applyNumberFormat="1" applyFont="1" applyFill="1" applyBorder="1" applyAlignment="1">
      <alignment horizontal="center" vertical="center" wrapText="1"/>
    </xf>
    <xf numFmtId="9" fontId="3" fillId="7" borderId="12" xfId="2" applyFont="1" applyFill="1" applyBorder="1" applyAlignment="1">
      <alignment horizontal="center" vertical="center" wrapText="1"/>
    </xf>
    <xf numFmtId="0" fontId="12" fillId="2" borderId="4" xfId="7" applyFont="1" applyFill="1" applyBorder="1" applyAlignment="1">
      <alignment horizontal="center" vertical="center" wrapText="1"/>
    </xf>
    <xf numFmtId="0" fontId="6" fillId="3" borderId="1" xfId="0" applyFont="1" applyFill="1" applyBorder="1" applyAlignment="1">
      <alignment horizontal="center" vertical="center" wrapText="1"/>
    </xf>
    <xf numFmtId="2" fontId="3" fillId="3" borderId="5" xfId="0" applyNumberFormat="1" applyFont="1" applyFill="1" applyBorder="1" applyAlignment="1">
      <alignment horizontal="center" vertical="center" wrapText="1"/>
    </xf>
    <xf numFmtId="2" fontId="3" fillId="7" borderId="1" xfId="9" applyNumberFormat="1" applyFont="1" applyFill="1" applyBorder="1" applyAlignment="1" applyProtection="1">
      <alignment horizontal="center" vertical="center" wrapText="1"/>
      <protection hidden="1"/>
    </xf>
    <xf numFmtId="9" fontId="3" fillId="7" borderId="4" xfId="2" applyFont="1" applyFill="1" applyBorder="1" applyAlignment="1" applyProtection="1">
      <alignment horizontal="center" vertical="center" wrapText="1"/>
      <protection hidden="1"/>
    </xf>
    <xf numFmtId="9" fontId="3" fillId="0" borderId="4" xfId="7" applyNumberFormat="1" applyFont="1" applyFill="1" applyBorder="1" applyAlignment="1">
      <alignment horizontal="center" vertical="center" wrapText="1"/>
    </xf>
    <xf numFmtId="2" fontId="3" fillId="7" borderId="2" xfId="9" applyNumberFormat="1" applyFont="1" applyFill="1" applyBorder="1" applyAlignment="1" applyProtection="1">
      <alignment horizontal="center" vertical="center" wrapText="1"/>
      <protection hidden="1"/>
    </xf>
    <xf numFmtId="9" fontId="3" fillId="7" borderId="3" xfId="2" applyFont="1" applyFill="1" applyBorder="1" applyAlignment="1" applyProtection="1">
      <alignment horizontal="center" vertical="center" wrapText="1"/>
      <protection hidden="1"/>
    </xf>
    <xf numFmtId="0" fontId="3" fillId="0" borderId="0" xfId="7" applyFont="1" applyBorder="1" applyAlignment="1">
      <alignment horizontal="left" vertical="center" wrapText="1"/>
    </xf>
    <xf numFmtId="2" fontId="3" fillId="7" borderId="0" xfId="9" applyNumberFormat="1" applyFont="1" applyFill="1" applyBorder="1" applyAlignment="1" applyProtection="1">
      <alignment horizontal="center" vertical="center" wrapText="1"/>
      <protection hidden="1"/>
    </xf>
    <xf numFmtId="9" fontId="3" fillId="7" borderId="0" xfId="2" applyFont="1" applyFill="1" applyBorder="1" applyAlignment="1" applyProtection="1">
      <alignment horizontal="center" vertical="center" wrapText="1"/>
      <protection hidden="1"/>
    </xf>
    <xf numFmtId="0" fontId="3" fillId="0" borderId="4" xfId="0" applyFont="1" applyBorder="1" applyAlignment="1">
      <alignment horizontal="center" vertical="center" wrapText="1"/>
    </xf>
    <xf numFmtId="0" fontId="3" fillId="0" borderId="4" xfId="0" applyFont="1" applyFill="1" applyBorder="1" applyAlignment="1">
      <alignment horizontal="center" vertical="center" wrapText="1"/>
    </xf>
    <xf numFmtId="0" fontId="3" fillId="0" borderId="0" xfId="0" applyFont="1" applyBorder="1" applyAlignment="1">
      <alignment vertical="center" wrapText="1"/>
    </xf>
    <xf numFmtId="9" fontId="3" fillId="0" borderId="0" xfId="0" applyNumberFormat="1" applyFont="1" applyBorder="1" applyAlignment="1">
      <alignment horizontal="center" vertical="center" wrapText="1"/>
    </xf>
    <xf numFmtId="2" fontId="3" fillId="0" borderId="4" xfId="0" applyNumberFormat="1" applyFont="1" applyBorder="1" applyAlignment="1">
      <alignment horizontal="center" vertical="center"/>
    </xf>
    <xf numFmtId="9" fontId="3" fillId="0" borderId="4" xfId="2" applyFont="1" applyBorder="1" applyAlignment="1">
      <alignment horizontal="center" vertical="center"/>
    </xf>
    <xf numFmtId="166" fontId="12" fillId="2" borderId="4" xfId="3" applyNumberFormat="1" applyFont="1" applyFill="1" applyBorder="1" applyAlignment="1">
      <alignment horizontal="center" vertical="center" wrapText="1"/>
    </xf>
    <xf numFmtId="0" fontId="12" fillId="2" borderId="4" xfId="3" applyFont="1" applyFill="1" applyBorder="1" applyAlignment="1">
      <alignment horizontal="center" vertical="center" wrapText="1"/>
    </xf>
    <xf numFmtId="0" fontId="3" fillId="7" borderId="4" xfId="3" applyFont="1" applyFill="1" applyBorder="1" applyAlignment="1">
      <alignment vertical="center"/>
    </xf>
    <xf numFmtId="4" fontId="3" fillId="0" borderId="4" xfId="3" applyNumberFormat="1" applyFont="1" applyBorder="1" applyAlignment="1">
      <alignment horizontal="center" vertical="center" wrapText="1"/>
    </xf>
    <xf numFmtId="9" fontId="3" fillId="0" borderId="4" xfId="3" applyNumberFormat="1" applyFont="1" applyBorder="1" applyAlignment="1">
      <alignment horizontal="center" vertical="center" wrapText="1"/>
    </xf>
    <xf numFmtId="0" fontId="3" fillId="14" borderId="0" xfId="0" applyFont="1" applyFill="1" applyAlignment="1">
      <alignment horizontal="center" vertical="center"/>
    </xf>
    <xf numFmtId="0" fontId="6" fillId="0" borderId="1" xfId="0" applyFont="1" applyFill="1" applyBorder="1" applyAlignment="1">
      <alignment vertical="center"/>
    </xf>
    <xf numFmtId="166"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0" fontId="3" fillId="0" borderId="0" xfId="0" applyFont="1" applyFill="1" applyBorder="1" applyAlignment="1">
      <alignment horizontal="center" vertical="center" wrapText="1"/>
    </xf>
    <xf numFmtId="2" fontId="3" fillId="0" borderId="0" xfId="0" applyNumberFormat="1" applyFont="1" applyFill="1" applyBorder="1" applyAlignment="1">
      <alignment horizontal="center" vertical="center"/>
    </xf>
    <xf numFmtId="9" fontId="3" fillId="0" borderId="0" xfId="2" applyFont="1" applyFill="1" applyBorder="1" applyAlignment="1">
      <alignment horizontal="center" vertical="center"/>
    </xf>
    <xf numFmtId="0" fontId="3" fillId="3" borderId="4" xfId="0" applyFont="1" applyFill="1" applyBorder="1" applyAlignment="1">
      <alignment horizontal="center" vertical="center" wrapText="1"/>
    </xf>
    <xf numFmtId="2"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8" xfId="0" applyFont="1" applyBorder="1" applyAlignment="1">
      <alignment vertical="center"/>
    </xf>
    <xf numFmtId="0" fontId="3" fillId="7" borderId="1" xfId="0" applyFont="1" applyFill="1" applyBorder="1" applyAlignment="1">
      <alignment vertical="center"/>
    </xf>
    <xf numFmtId="0" fontId="3" fillId="7" borderId="2" xfId="0" applyFont="1" applyFill="1" applyBorder="1" applyAlignment="1">
      <alignment vertical="center"/>
    </xf>
    <xf numFmtId="0" fontId="6" fillId="7" borderId="2" xfId="0" applyFont="1" applyFill="1" applyBorder="1" applyAlignment="1">
      <alignment horizontal="left" vertical="center"/>
    </xf>
    <xf numFmtId="166" fontId="6" fillId="7" borderId="2" xfId="0" applyNumberFormat="1" applyFont="1" applyFill="1" applyBorder="1" applyAlignment="1">
      <alignment horizontal="left" vertical="center"/>
    </xf>
    <xf numFmtId="0" fontId="6" fillId="7" borderId="3" xfId="0" applyFont="1" applyFill="1" applyBorder="1" applyAlignment="1">
      <alignment horizontal="left" vertical="center"/>
    </xf>
    <xf numFmtId="0" fontId="23" fillId="0" borderId="0" xfId="0" applyFont="1" applyBorder="1" applyAlignment="1">
      <alignment vertical="center"/>
    </xf>
    <xf numFmtId="9" fontId="24" fillId="3" borderId="0" xfId="2" applyFont="1" applyFill="1" applyBorder="1" applyAlignment="1">
      <alignment horizontal="left" vertical="center"/>
    </xf>
    <xf numFmtId="0" fontId="13" fillId="0" borderId="0" xfId="0" applyFont="1" applyBorder="1" applyAlignment="1">
      <alignment vertical="center"/>
    </xf>
    <xf numFmtId="0" fontId="13" fillId="0" borderId="0" xfId="0" applyFont="1" applyAlignment="1">
      <alignment horizontal="center" vertical="center"/>
    </xf>
    <xf numFmtId="0" fontId="3" fillId="22" borderId="0" xfId="0" applyFont="1" applyFill="1" applyAlignment="1">
      <alignment horizontal="center" vertical="center"/>
    </xf>
    <xf numFmtId="0" fontId="3" fillId="7" borderId="2" xfId="4" applyFont="1" applyFill="1" applyBorder="1" applyAlignment="1">
      <alignment horizontal="left" vertical="center" wrapText="1"/>
    </xf>
    <xf numFmtId="0" fontId="3" fillId="7" borderId="3" xfId="4" applyFont="1" applyFill="1" applyBorder="1" applyAlignment="1">
      <alignment horizontal="left" vertical="center" wrapText="1"/>
    </xf>
    <xf numFmtId="0" fontId="6" fillId="0" borderId="27" xfId="0" applyFont="1" applyFill="1" applyBorder="1" applyAlignment="1">
      <alignment horizontal="center" vertical="center" wrapText="1"/>
    </xf>
    <xf numFmtId="4" fontId="3" fillId="7" borderId="28" xfId="0" applyNumberFormat="1" applyFont="1" applyFill="1" applyBorder="1" applyAlignment="1">
      <alignment horizontal="center" vertical="center" wrapText="1"/>
    </xf>
    <xf numFmtId="9" fontId="3" fillId="7" borderId="29" xfId="2" applyFont="1" applyFill="1" applyBorder="1" applyAlignment="1">
      <alignment horizontal="center" vertical="center" wrapText="1"/>
    </xf>
    <xf numFmtId="166" fontId="12" fillId="2" borderId="61" xfId="0" applyNumberFormat="1" applyFont="1" applyFill="1" applyBorder="1" applyAlignment="1">
      <alignment horizontal="center" vertical="center" wrapText="1"/>
    </xf>
    <xf numFmtId="9" fontId="12" fillId="2" borderId="62" xfId="2" applyFont="1" applyFill="1" applyBorder="1" applyAlignment="1">
      <alignment horizontal="center" vertical="center" wrapText="1"/>
    </xf>
    <xf numFmtId="0" fontId="6" fillId="0" borderId="65" xfId="0" applyFont="1" applyFill="1" applyBorder="1" applyAlignment="1">
      <alignment horizontal="center" vertical="center" wrapText="1"/>
    </xf>
    <xf numFmtId="0" fontId="3" fillId="7" borderId="7" xfId="4" applyFont="1" applyFill="1" applyBorder="1" applyAlignment="1">
      <alignment horizontal="left" vertical="center" wrapText="1"/>
    </xf>
    <xf numFmtId="0" fontId="3" fillId="7" borderId="8" xfId="4" applyFont="1" applyFill="1" applyBorder="1" applyAlignment="1">
      <alignment horizontal="left" vertical="center" wrapText="1"/>
    </xf>
    <xf numFmtId="0" fontId="3" fillId="7" borderId="15" xfId="4" applyFont="1" applyFill="1" applyBorder="1" applyAlignment="1">
      <alignment horizontal="left" vertical="center" wrapText="1"/>
    </xf>
    <xf numFmtId="0" fontId="3" fillId="22" borderId="0" xfId="0" applyFont="1" applyFill="1" applyBorder="1" applyAlignment="1">
      <alignment horizontal="center" vertical="center"/>
    </xf>
    <xf numFmtId="9" fontId="3" fillId="7" borderId="35" xfId="2" applyFont="1" applyFill="1" applyBorder="1" applyAlignment="1">
      <alignment horizontal="center" vertical="center" wrapText="1"/>
    </xf>
    <xf numFmtId="0" fontId="6" fillId="7" borderId="71" xfId="0" applyFont="1" applyFill="1" applyBorder="1" applyAlignment="1">
      <alignment horizontal="center" vertical="center" wrapText="1"/>
    </xf>
    <xf numFmtId="4" fontId="3" fillId="7" borderId="2" xfId="0" applyNumberFormat="1" applyFont="1" applyFill="1" applyBorder="1" applyAlignment="1">
      <alignment horizontal="center" vertical="center" wrapText="1"/>
    </xf>
    <xf numFmtId="9" fontId="3" fillId="7" borderId="4" xfId="12" applyFont="1" applyFill="1" applyBorder="1" applyAlignment="1">
      <alignment horizontal="center" vertical="center" wrapText="1"/>
    </xf>
    <xf numFmtId="4" fontId="3" fillId="7" borderId="25" xfId="0" applyNumberFormat="1" applyFont="1" applyFill="1" applyBorder="1" applyAlignment="1">
      <alignment horizontal="center" vertical="center" wrapText="1"/>
    </xf>
    <xf numFmtId="9" fontId="3" fillId="7" borderId="25" xfId="2" applyFont="1" applyFill="1" applyBorder="1" applyAlignment="1">
      <alignment horizontal="center" vertical="center" wrapText="1"/>
    </xf>
    <xf numFmtId="0" fontId="6" fillId="0" borderId="5" xfId="0" applyFont="1" applyFill="1" applyBorder="1" applyAlignment="1">
      <alignment horizontal="center" vertical="center" wrapText="1"/>
    </xf>
    <xf numFmtId="9" fontId="3" fillId="3" borderId="5" xfId="2" applyFont="1" applyFill="1" applyBorder="1" applyAlignment="1">
      <alignment horizontal="center" vertical="center" wrapText="1"/>
    </xf>
    <xf numFmtId="2" fontId="3" fillId="3" borderId="4" xfId="0" applyNumberFormat="1" applyFont="1" applyFill="1" applyBorder="1" applyAlignment="1">
      <alignment horizontal="center" vertical="center" wrapText="1"/>
    </xf>
    <xf numFmtId="0" fontId="3" fillId="0" borderId="0" xfId="0" applyFont="1" applyBorder="1" applyAlignment="1">
      <alignment horizontal="justify" vertical="center"/>
    </xf>
    <xf numFmtId="0" fontId="6" fillId="0" borderId="5" xfId="0" applyFont="1" applyBorder="1" applyAlignment="1">
      <alignment horizontal="center" vertical="center" wrapText="1"/>
    </xf>
    <xf numFmtId="4" fontId="3" fillId="0" borderId="5" xfId="0" applyNumberFormat="1" applyFont="1" applyFill="1" applyBorder="1" applyAlignment="1">
      <alignment horizontal="center" vertical="center" wrapText="1"/>
    </xf>
    <xf numFmtId="0" fontId="11" fillId="0" borderId="10" xfId="0" applyFont="1" applyBorder="1" applyAlignment="1">
      <alignment vertical="center"/>
    </xf>
    <xf numFmtId="9" fontId="6" fillId="7" borderId="3" xfId="2" applyFont="1" applyFill="1" applyBorder="1" applyAlignment="1">
      <alignment horizontal="left" vertical="center"/>
    </xf>
    <xf numFmtId="0" fontId="4" fillId="0" borderId="0" xfId="0" applyFont="1" applyAlignment="1">
      <alignment horizontal="center" vertical="center"/>
    </xf>
    <xf numFmtId="9" fontId="4" fillId="0" borderId="0" xfId="2" applyFont="1" applyAlignment="1">
      <alignment horizontal="center" vertical="center"/>
    </xf>
    <xf numFmtId="0" fontId="5" fillId="0" borderId="0" xfId="0" applyFont="1" applyFill="1" applyAlignment="1">
      <alignment horizontal="center" vertical="center"/>
    </xf>
    <xf numFmtId="49" fontId="3" fillId="0" borderId="2" xfId="0" applyNumberFormat="1" applyFont="1" applyBorder="1" applyAlignment="1">
      <alignment horizontal="left" vertical="center" wrapText="1"/>
    </xf>
    <xf numFmtId="4" fontId="3" fillId="0" borderId="2" xfId="0" applyNumberFormat="1" applyFont="1" applyBorder="1" applyAlignment="1">
      <alignment horizontal="center" vertical="center" wrapText="1"/>
    </xf>
    <xf numFmtId="9" fontId="3" fillId="0" borderId="3" xfId="2" applyFont="1" applyBorder="1" applyAlignment="1">
      <alignment horizontal="center" vertical="center" wrapText="1"/>
    </xf>
    <xf numFmtId="166" fontId="12" fillId="2" borderId="9" xfId="0" applyNumberFormat="1" applyFont="1" applyFill="1" applyBorder="1" applyAlignment="1">
      <alignment horizontal="center" vertical="center" wrapText="1"/>
    </xf>
    <xf numFmtId="9" fontId="12" fillId="2" borderId="9" xfId="2" applyFont="1" applyFill="1" applyBorder="1" applyAlignment="1">
      <alignment horizontal="center" vertical="center" wrapText="1"/>
    </xf>
    <xf numFmtId="4" fontId="3" fillId="3" borderId="0" xfId="0" applyNumberFormat="1" applyFont="1" applyFill="1" applyBorder="1" applyAlignment="1">
      <alignment horizontal="center" vertical="center"/>
    </xf>
    <xf numFmtId="0" fontId="3" fillId="11" borderId="0" xfId="0" applyFont="1" applyFill="1" applyAlignment="1">
      <alignment vertical="center"/>
    </xf>
    <xf numFmtId="0" fontId="3" fillId="11" borderId="0" xfId="0" applyFont="1" applyFill="1" applyAlignment="1">
      <alignment horizontal="left" vertical="center"/>
    </xf>
    <xf numFmtId="0" fontId="3" fillId="11" borderId="0" xfId="0" applyFont="1" applyFill="1" applyBorder="1" applyAlignment="1">
      <alignment horizontal="center" vertical="center"/>
    </xf>
    <xf numFmtId="0" fontId="13" fillId="11" borderId="0" xfId="0" applyFont="1" applyFill="1" applyAlignment="1">
      <alignment vertical="center"/>
    </xf>
    <xf numFmtId="0" fontId="6" fillId="0" borderId="4" xfId="3" applyFont="1" applyFill="1" applyBorder="1" applyAlignment="1">
      <alignment horizontal="center" vertical="center" wrapText="1"/>
    </xf>
    <xf numFmtId="0" fontId="3" fillId="0" borderId="2" xfId="0" applyNumberFormat="1" applyFont="1" applyFill="1" applyBorder="1" applyAlignment="1">
      <alignment horizontal="left" vertical="center" wrapText="1"/>
    </xf>
    <xf numFmtId="0" fontId="3" fillId="0" borderId="3" xfId="0" applyNumberFormat="1" applyFont="1" applyFill="1" applyBorder="1" applyAlignment="1">
      <alignment horizontal="left" vertical="center" wrapText="1"/>
    </xf>
    <xf numFmtId="2" fontId="3" fillId="0" borderId="4" xfId="0" applyNumberFormat="1" applyFont="1" applyBorder="1" applyAlignment="1">
      <alignment horizontal="center" vertical="center" wrapText="1"/>
    </xf>
    <xf numFmtId="0" fontId="3" fillId="0" borderId="13" xfId="0" applyFont="1" applyBorder="1" applyAlignment="1">
      <alignment horizontal="left" vertical="center"/>
    </xf>
    <xf numFmtId="0" fontId="3" fillId="0" borderId="14" xfId="0" applyFont="1" applyBorder="1" applyAlignment="1">
      <alignment horizontal="left" vertical="center"/>
    </xf>
    <xf numFmtId="0" fontId="3" fillId="0" borderId="0" xfId="0" applyFont="1" applyBorder="1" applyAlignment="1">
      <alignment horizontal="left" vertical="center"/>
    </xf>
    <xf numFmtId="0" fontId="3" fillId="0" borderId="8" xfId="0" applyFont="1" applyFill="1" applyBorder="1" applyAlignment="1">
      <alignment vertical="center"/>
    </xf>
    <xf numFmtId="0" fontId="6" fillId="0" borderId="10" xfId="0" applyFont="1" applyBorder="1" applyAlignment="1">
      <alignment horizontal="center" vertical="center" wrapText="1"/>
    </xf>
    <xf numFmtId="4" fontId="3" fillId="0" borderId="11" xfId="0" applyNumberFormat="1" applyFont="1" applyBorder="1" applyAlignment="1">
      <alignment horizontal="center" vertical="center" wrapText="1"/>
    </xf>
    <xf numFmtId="9" fontId="3" fillId="0" borderId="12" xfId="2" applyFont="1" applyBorder="1" applyAlignment="1">
      <alignment horizontal="center" vertical="center" wrapText="1"/>
    </xf>
    <xf numFmtId="0" fontId="3" fillId="3" borderId="0" xfId="4" applyFont="1" applyFill="1" applyBorder="1" applyAlignment="1">
      <alignment horizontal="left" vertical="center" wrapText="1"/>
    </xf>
    <xf numFmtId="0" fontId="3" fillId="3" borderId="11" xfId="4" applyFont="1" applyFill="1" applyBorder="1" applyAlignment="1">
      <alignment horizontal="left" vertical="center" wrapText="1"/>
    </xf>
    <xf numFmtId="0" fontId="3" fillId="0" borderId="15" xfId="0" applyFont="1" applyBorder="1" applyAlignment="1">
      <alignment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justify" vertical="center"/>
    </xf>
    <xf numFmtId="166" fontId="12" fillId="3" borderId="0" xfId="0" applyNumberFormat="1" applyFont="1" applyFill="1" applyBorder="1" applyAlignment="1">
      <alignment horizontal="center" vertical="center" wrapText="1"/>
    </xf>
    <xf numFmtId="9" fontId="12" fillId="3" borderId="0" xfId="2" applyFont="1" applyFill="1" applyBorder="1" applyAlignment="1">
      <alignment horizontal="center" vertical="center" wrapText="1"/>
    </xf>
    <xf numFmtId="0" fontId="3" fillId="4" borderId="10" xfId="0" applyFont="1" applyFill="1" applyBorder="1" applyAlignment="1">
      <alignment horizontal="left" vertical="center"/>
    </xf>
    <xf numFmtId="0" fontId="3" fillId="23" borderId="0" xfId="0" applyFont="1" applyFill="1" applyAlignment="1">
      <alignment horizontal="center" vertical="center"/>
    </xf>
    <xf numFmtId="0" fontId="3" fillId="0" borderId="0" xfId="0" applyFont="1" applyBorder="1" applyAlignment="1">
      <alignment horizontal="left" vertical="top" wrapText="1"/>
    </xf>
    <xf numFmtId="0" fontId="3" fillId="3" borderId="11" xfId="0" applyFont="1" applyFill="1" applyBorder="1" applyAlignment="1">
      <alignment horizontal="left" vertical="center" wrapText="1"/>
    </xf>
    <xf numFmtId="2" fontId="3" fillId="3" borderId="5" xfId="0" applyNumberFormat="1" applyFont="1" applyFill="1" applyBorder="1" applyAlignment="1">
      <alignment horizontal="center" vertical="center"/>
    </xf>
    <xf numFmtId="0" fontId="6" fillId="0" borderId="9" xfId="0" applyFont="1" applyBorder="1" applyAlignment="1">
      <alignment horizontal="center" vertical="center"/>
    </xf>
    <xf numFmtId="4" fontId="3" fillId="0" borderId="9" xfId="0" applyNumberFormat="1" applyFont="1" applyBorder="1" applyAlignment="1">
      <alignment horizontal="center" vertical="center" wrapText="1"/>
    </xf>
    <xf numFmtId="0" fontId="20" fillId="0" borderId="0" xfId="7" applyFont="1" applyFill="1" applyBorder="1" applyAlignment="1">
      <alignment horizontal="left" vertical="center" wrapText="1"/>
    </xf>
    <xf numFmtId="0" fontId="20" fillId="0" borderId="0" xfId="0" applyFont="1" applyBorder="1" applyAlignment="1">
      <alignment horizontal="center" vertical="center"/>
    </xf>
    <xf numFmtId="0" fontId="20" fillId="0" borderId="0" xfId="0" applyFont="1" applyBorder="1" applyAlignment="1">
      <alignment horizontal="left" vertical="center"/>
    </xf>
    <xf numFmtId="0" fontId="20" fillId="0" borderId="0" xfId="0" applyFont="1" applyBorder="1" applyAlignment="1">
      <alignment horizontal="left" vertical="center" wrapText="1"/>
    </xf>
    <xf numFmtId="0" fontId="20" fillId="0" borderId="0" xfId="0" applyFont="1" applyFill="1" applyBorder="1" applyAlignment="1">
      <alignment horizontal="center" vertical="center"/>
    </xf>
    <xf numFmtId="0" fontId="20" fillId="16" borderId="0" xfId="7" applyFont="1" applyFill="1" applyBorder="1" applyAlignment="1">
      <alignment horizontal="center" vertical="center" wrapText="1"/>
    </xf>
    <xf numFmtId="0" fontId="3" fillId="3" borderId="0" xfId="0" applyFont="1" applyFill="1" applyAlignment="1">
      <alignment vertical="center"/>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3" fillId="7" borderId="7" xfId="0" applyFont="1" applyFill="1" applyBorder="1" applyAlignment="1">
      <alignment horizontal="center" vertical="center"/>
    </xf>
    <xf numFmtId="166" fontId="3" fillId="7" borderId="7" xfId="0" applyNumberFormat="1" applyFont="1" applyFill="1" applyBorder="1" applyAlignment="1">
      <alignment horizontal="center" vertical="center"/>
    </xf>
    <xf numFmtId="9" fontId="3" fillId="7" borderId="8" xfId="2" applyFont="1" applyFill="1" applyBorder="1" applyAlignment="1">
      <alignment horizontal="center" vertical="center"/>
    </xf>
    <xf numFmtId="0" fontId="5" fillId="3" borderId="0" xfId="0" applyFont="1" applyFill="1" applyAlignment="1">
      <alignment horizontal="center" vertical="center"/>
    </xf>
    <xf numFmtId="0" fontId="13" fillId="7" borderId="0" xfId="0" applyFont="1" applyFill="1" applyAlignment="1">
      <alignment vertical="center"/>
    </xf>
    <xf numFmtId="0" fontId="3" fillId="7" borderId="7" xfId="0" applyFont="1" applyFill="1" applyBorder="1" applyAlignment="1">
      <alignment vertical="center"/>
    </xf>
    <xf numFmtId="0" fontId="3" fillId="7" borderId="8" xfId="0" applyFont="1" applyFill="1" applyBorder="1" applyAlignment="1">
      <alignment vertical="center"/>
    </xf>
    <xf numFmtId="0" fontId="6" fillId="0" borderId="7" xfId="0" applyFont="1" applyFill="1" applyBorder="1" applyAlignment="1">
      <alignment horizontal="center" vertical="center" wrapText="1"/>
    </xf>
    <xf numFmtId="0" fontId="3" fillId="0" borderId="7" xfId="0" applyFont="1" applyFill="1" applyBorder="1" applyAlignment="1">
      <alignment horizontal="left" vertical="center" wrapText="1"/>
    </xf>
    <xf numFmtId="0" fontId="3" fillId="7" borderId="11" xfId="0" applyFont="1" applyFill="1" applyBorder="1" applyAlignment="1" applyProtection="1">
      <alignment horizontal="left" vertical="center" wrapText="1"/>
      <protection hidden="1"/>
    </xf>
    <xf numFmtId="0" fontId="3" fillId="0" borderId="15" xfId="0" applyFont="1" applyBorder="1" applyAlignment="1">
      <alignment horizontal="left" vertical="center" wrapText="1"/>
    </xf>
    <xf numFmtId="0" fontId="3" fillId="0" borderId="2" xfId="0" applyFont="1" applyFill="1" applyBorder="1" applyAlignment="1">
      <alignment vertical="center"/>
    </xf>
    <xf numFmtId="0" fontId="3" fillId="0" borderId="3" xfId="0" applyFont="1" applyFill="1" applyBorder="1" applyAlignment="1">
      <alignment vertical="center"/>
    </xf>
    <xf numFmtId="4" fontId="3" fillId="7" borderId="4" xfId="0" applyNumberFormat="1" applyFont="1" applyFill="1" applyBorder="1" applyAlignment="1">
      <alignment horizontal="center" vertical="center"/>
    </xf>
    <xf numFmtId="4" fontId="3" fillId="0" borderId="5" xfId="5" applyNumberFormat="1" applyFont="1" applyBorder="1" applyAlignment="1">
      <alignment horizontal="center" vertical="center" wrapText="1"/>
    </xf>
    <xf numFmtId="9" fontId="3" fillId="0" borderId="5" xfId="2" applyFont="1" applyFill="1" applyBorder="1" applyAlignment="1">
      <alignment horizontal="center" vertical="center"/>
    </xf>
    <xf numFmtId="9" fontId="12" fillId="0" borderId="3" xfId="2" applyFont="1" applyBorder="1" applyAlignment="1">
      <alignment horizontal="center" vertical="center" wrapText="1"/>
    </xf>
    <xf numFmtId="0" fontId="13" fillId="3" borderId="0" xfId="0" applyFont="1" applyFill="1" applyBorder="1" applyAlignment="1">
      <alignment horizontal="justify" vertical="center" wrapText="1"/>
    </xf>
    <xf numFmtId="9" fontId="13" fillId="3" borderId="0" xfId="2" applyFont="1" applyFill="1" applyBorder="1" applyAlignment="1">
      <alignment horizontal="justify" vertical="center" wrapText="1"/>
    </xf>
    <xf numFmtId="0" fontId="13" fillId="0" borderId="0" xfId="0" applyFont="1" applyAlignment="1">
      <alignment vertical="center"/>
    </xf>
    <xf numFmtId="0" fontId="6" fillId="7" borderId="9" xfId="0" applyFont="1" applyFill="1" applyBorder="1" applyAlignment="1">
      <alignment horizontal="center" vertical="center" wrapText="1"/>
    </xf>
    <xf numFmtId="4" fontId="3" fillId="7" borderId="9" xfId="0" applyNumberFormat="1" applyFont="1" applyFill="1" applyBorder="1" applyAlignment="1">
      <alignment horizontal="center" vertical="center" wrapText="1"/>
    </xf>
    <xf numFmtId="9" fontId="3" fillId="7" borderId="9" xfId="2" applyFont="1" applyFill="1" applyBorder="1" applyAlignment="1">
      <alignment horizontal="center" vertical="center" wrapText="1"/>
    </xf>
    <xf numFmtId="0" fontId="6" fillId="0" borderId="0" xfId="0" applyFont="1" applyFill="1" applyBorder="1" applyAlignment="1">
      <alignment horizontal="left" vertical="center" wrapText="1"/>
    </xf>
    <xf numFmtId="49" fontId="3" fillId="0" borderId="0" xfId="5" applyNumberFormat="1" applyFont="1" applyBorder="1" applyAlignment="1">
      <alignment horizontal="left" vertical="center" wrapText="1"/>
    </xf>
    <xf numFmtId="49" fontId="3" fillId="0" borderId="0" xfId="5" applyNumberFormat="1" applyFont="1" applyFill="1" applyBorder="1" applyAlignment="1">
      <alignment horizontal="left" vertical="center" wrapText="1"/>
    </xf>
    <xf numFmtId="0" fontId="6" fillId="0" borderId="65" xfId="3" applyFont="1" applyFill="1" applyBorder="1" applyAlignment="1">
      <alignment horizontal="center" vertical="center" wrapText="1"/>
    </xf>
    <xf numFmtId="0" fontId="6" fillId="7" borderId="4" xfId="0" applyFont="1" applyFill="1" applyBorder="1" applyAlignment="1">
      <alignment horizontal="center" vertical="center"/>
    </xf>
    <xf numFmtId="2" fontId="3" fillId="7" borderId="4" xfId="0" applyNumberFormat="1" applyFont="1" applyFill="1" applyBorder="1" applyAlignment="1">
      <alignment horizontal="center" vertical="center"/>
    </xf>
    <xf numFmtId="0" fontId="3" fillId="7" borderId="0" xfId="3" applyFont="1" applyFill="1" applyBorder="1" applyAlignment="1">
      <alignment vertical="center"/>
    </xf>
    <xf numFmtId="0" fontId="3" fillId="0" borderId="0" xfId="3" applyAlignment="1">
      <alignment vertical="center"/>
    </xf>
    <xf numFmtId="0" fontId="6" fillId="0" borderId="4" xfId="3" applyFont="1" applyBorder="1" applyAlignment="1">
      <alignment horizontal="center" vertical="center" wrapText="1"/>
    </xf>
    <xf numFmtId="4" fontId="3" fillId="0" borderId="4" xfId="3" applyNumberFormat="1" applyFont="1" applyFill="1" applyBorder="1" applyAlignment="1">
      <alignment horizontal="center" vertical="center" wrapText="1"/>
    </xf>
    <xf numFmtId="0" fontId="6" fillId="0" borderId="4" xfId="3" applyFont="1" applyBorder="1" applyAlignment="1">
      <alignment horizontal="center" vertical="center"/>
    </xf>
    <xf numFmtId="0" fontId="6" fillId="7" borderId="4" xfId="3" applyFont="1" applyFill="1" applyBorder="1" applyAlignment="1">
      <alignment horizontal="center" vertical="center" wrapText="1"/>
    </xf>
    <xf numFmtId="0" fontId="3" fillId="0" borderId="6" xfId="3" applyFont="1" applyFill="1" applyBorder="1" applyAlignment="1">
      <alignment vertical="center"/>
    </xf>
    <xf numFmtId="0" fontId="3" fillId="0" borderId="0" xfId="3" applyFont="1" applyFill="1" applyBorder="1" applyAlignment="1">
      <alignment vertical="center" wrapText="1"/>
    </xf>
    <xf numFmtId="0" fontId="3" fillId="0" borderId="2" xfId="5" applyFont="1" applyFill="1" applyBorder="1" applyAlignment="1">
      <alignment horizontal="left" vertical="center" wrapText="1"/>
    </xf>
    <xf numFmtId="0" fontId="3" fillId="0" borderId="7" xfId="5" applyFont="1" applyFill="1" applyBorder="1" applyAlignment="1">
      <alignment horizontal="left" vertical="center" wrapText="1"/>
    </xf>
    <xf numFmtId="9" fontId="3" fillId="0" borderId="7" xfId="2" applyFont="1" applyFill="1" applyBorder="1" applyAlignment="1">
      <alignment horizontal="left" vertical="center" wrapText="1"/>
    </xf>
    <xf numFmtId="0" fontId="3" fillId="0" borderId="0" xfId="3" applyFont="1" applyAlignment="1">
      <alignment horizontal="center" vertical="center"/>
    </xf>
    <xf numFmtId="0" fontId="4" fillId="0" borderId="0" xfId="3" applyFont="1" applyAlignment="1">
      <alignment horizontal="center" vertical="center"/>
    </xf>
    <xf numFmtId="0" fontId="6" fillId="0" borderId="0" xfId="3" applyFont="1" applyAlignment="1">
      <alignment horizontal="center" vertical="center"/>
    </xf>
    <xf numFmtId="49" fontId="6" fillId="0" borderId="0" xfId="3" applyNumberFormat="1" applyFont="1" applyFill="1" applyAlignment="1">
      <alignment horizontal="right" vertical="center"/>
    </xf>
    <xf numFmtId="0" fontId="6" fillId="0" borderId="0" xfId="3" applyFont="1" applyAlignment="1">
      <alignment vertical="center"/>
    </xf>
    <xf numFmtId="15" fontId="3" fillId="0" borderId="0" xfId="3" applyNumberFormat="1" applyFont="1" applyAlignment="1">
      <alignment vertical="center"/>
    </xf>
    <xf numFmtId="1" fontId="7" fillId="0" borderId="0" xfId="2" applyNumberFormat="1" applyFont="1" applyAlignment="1">
      <alignment horizontal="center" vertical="center"/>
    </xf>
    <xf numFmtId="15" fontId="8" fillId="0" borderId="0" xfId="3" applyNumberFormat="1" applyFont="1" applyAlignment="1">
      <alignment vertical="center"/>
    </xf>
    <xf numFmtId="166" fontId="3" fillId="0" borderId="0" xfId="3" applyNumberFormat="1" applyFont="1" applyAlignment="1">
      <alignment vertical="center"/>
    </xf>
    <xf numFmtId="9" fontId="7" fillId="0" borderId="0" xfId="2" applyFont="1" applyAlignment="1">
      <alignment horizontal="center" vertical="center"/>
    </xf>
    <xf numFmtId="0" fontId="10" fillId="0" borderId="0" xfId="3" applyFont="1" applyAlignment="1" applyProtection="1">
      <alignment vertical="center"/>
      <protection locked="0"/>
    </xf>
    <xf numFmtId="49" fontId="10" fillId="0" borderId="0" xfId="3" applyNumberFormat="1" applyFont="1" applyFill="1" applyAlignment="1" applyProtection="1">
      <alignment horizontal="right" vertical="center"/>
      <protection locked="0"/>
    </xf>
    <xf numFmtId="0" fontId="3" fillId="3" borderId="0" xfId="3" applyFont="1" applyFill="1" applyBorder="1" applyAlignment="1">
      <alignment horizontal="justify" vertical="center" wrapText="1"/>
    </xf>
    <xf numFmtId="0" fontId="9" fillId="3" borderId="0" xfId="3" applyFont="1" applyFill="1" applyBorder="1" applyAlignment="1">
      <alignment horizontal="left" vertical="center"/>
    </xf>
    <xf numFmtId="0" fontId="3" fillId="0" borderId="0" xfId="3" applyFont="1" applyBorder="1" applyAlignment="1">
      <alignment horizontal="center" vertical="center"/>
    </xf>
    <xf numFmtId="0" fontId="3" fillId="3" borderId="1" xfId="3" applyFont="1" applyFill="1" applyBorder="1" applyAlignment="1">
      <alignment vertical="center"/>
    </xf>
    <xf numFmtId="0" fontId="3" fillId="3" borderId="2" xfId="3" applyFont="1" applyFill="1" applyBorder="1" applyAlignment="1">
      <alignment vertical="center"/>
    </xf>
    <xf numFmtId="166" fontId="6" fillId="3" borderId="2" xfId="3" applyNumberFormat="1" applyFont="1" applyFill="1" applyBorder="1" applyAlignment="1">
      <alignment vertical="center"/>
    </xf>
    <xf numFmtId="166" fontId="6" fillId="3" borderId="0" xfId="3" applyNumberFormat="1" applyFont="1" applyFill="1" applyBorder="1" applyAlignment="1">
      <alignment vertical="center"/>
    </xf>
    <xf numFmtId="0" fontId="6" fillId="0" borderId="0" xfId="3" applyFont="1" applyFill="1" applyBorder="1" applyAlignment="1">
      <alignment horizontal="left" vertical="center"/>
    </xf>
    <xf numFmtId="166" fontId="6" fillId="0" borderId="0" xfId="3" applyNumberFormat="1" applyFont="1" applyFill="1" applyBorder="1" applyAlignment="1">
      <alignment horizontal="left" vertical="center"/>
    </xf>
    <xf numFmtId="0" fontId="13" fillId="5" borderId="0" xfId="3" applyFont="1" applyFill="1" applyAlignment="1">
      <alignment vertical="center"/>
    </xf>
    <xf numFmtId="0" fontId="6" fillId="3" borderId="5" xfId="3" applyFont="1" applyFill="1" applyBorder="1" applyAlignment="1">
      <alignment horizontal="center" vertical="center" wrapText="1"/>
    </xf>
    <xf numFmtId="0" fontId="3" fillId="6" borderId="0" xfId="3" applyFont="1" applyFill="1" applyAlignment="1">
      <alignment vertical="center"/>
    </xf>
    <xf numFmtId="0" fontId="3" fillId="6" borderId="0" xfId="3" applyFont="1" applyFill="1" applyAlignment="1">
      <alignment horizontal="left" vertical="center"/>
    </xf>
    <xf numFmtId="0" fontId="13" fillId="9" borderId="0" xfId="3" applyFont="1" applyFill="1" applyAlignment="1">
      <alignment horizontal="center" vertical="center"/>
    </xf>
    <xf numFmtId="0" fontId="3" fillId="0" borderId="10" xfId="3" applyFont="1" applyFill="1" applyBorder="1" applyAlignment="1" applyProtection="1">
      <alignment horizontal="left" vertical="center" wrapText="1"/>
      <protection hidden="1"/>
    </xf>
    <xf numFmtId="0" fontId="3" fillId="0" borderId="0" xfId="3" applyFont="1" applyFill="1" applyBorder="1" applyAlignment="1" applyProtection="1">
      <alignment horizontal="left" vertical="center" wrapText="1"/>
      <protection hidden="1"/>
    </xf>
    <xf numFmtId="0" fontId="3" fillId="0" borderId="11" xfId="3" applyFont="1" applyFill="1" applyBorder="1" applyAlignment="1" applyProtection="1">
      <alignment horizontal="left" vertical="center" wrapText="1"/>
      <protection hidden="1"/>
    </xf>
    <xf numFmtId="164" fontId="3" fillId="0" borderId="0" xfId="13" applyFont="1" applyFill="1" applyAlignment="1">
      <alignment horizontal="center" vertical="center"/>
    </xf>
    <xf numFmtId="164" fontId="3" fillId="0" borderId="0" xfId="13" applyFont="1" applyFill="1" applyAlignment="1">
      <alignment vertical="center"/>
    </xf>
    <xf numFmtId="164" fontId="3" fillId="7" borderId="14" xfId="14" applyFont="1" applyFill="1" applyBorder="1" applyAlignment="1" applyProtection="1">
      <alignment vertical="center" wrapText="1"/>
      <protection hidden="1"/>
    </xf>
    <xf numFmtId="164" fontId="3" fillId="7" borderId="15" xfId="14" applyFont="1" applyFill="1" applyBorder="1" applyAlignment="1" applyProtection="1">
      <alignment vertical="center" wrapText="1"/>
      <protection hidden="1"/>
    </xf>
    <xf numFmtId="4" fontId="3" fillId="7" borderId="4" xfId="3" applyNumberFormat="1" applyFont="1" applyFill="1" applyBorder="1" applyAlignment="1">
      <alignment horizontal="center" vertical="center" wrapText="1"/>
    </xf>
    <xf numFmtId="0" fontId="6" fillId="0" borderId="5" xfId="3" applyFont="1" applyBorder="1" applyAlignment="1">
      <alignment horizontal="center" vertical="center" wrapText="1"/>
    </xf>
    <xf numFmtId="4" fontId="3" fillId="0" borderId="5" xfId="3" applyNumberFormat="1" applyFont="1" applyBorder="1" applyAlignment="1">
      <alignment horizontal="center" vertical="center" wrapText="1"/>
    </xf>
    <xf numFmtId="0" fontId="6" fillId="0" borderId="0" xfId="3" applyFont="1" applyFill="1" applyBorder="1" applyAlignment="1">
      <alignment horizontal="center" vertical="center" wrapText="1"/>
    </xf>
    <xf numFmtId="0" fontId="3" fillId="0" borderId="0" xfId="3" applyNumberFormat="1" applyFont="1" applyFill="1" applyBorder="1" applyAlignment="1">
      <alignment horizontal="left" vertical="center" wrapText="1"/>
    </xf>
    <xf numFmtId="4" fontId="3" fillId="0" borderId="0" xfId="3" applyNumberFormat="1" applyFont="1" applyFill="1" applyBorder="1" applyAlignment="1">
      <alignment horizontal="center" vertical="center" wrapText="1"/>
    </xf>
    <xf numFmtId="0" fontId="13" fillId="0" borderId="0" xfId="3" applyFont="1" applyFill="1" applyAlignment="1">
      <alignment vertical="center"/>
    </xf>
    <xf numFmtId="0" fontId="3" fillId="0" borderId="14" xfId="3" applyNumberFormat="1" applyFont="1" applyFill="1" applyBorder="1" applyAlignment="1">
      <alignment horizontal="left" vertical="center" wrapText="1"/>
    </xf>
    <xf numFmtId="0" fontId="3" fillId="0" borderId="15" xfId="3" applyNumberFormat="1" applyFont="1" applyFill="1" applyBorder="1" applyAlignment="1">
      <alignment horizontal="left" vertical="center" wrapText="1"/>
    </xf>
    <xf numFmtId="0" fontId="3" fillId="0" borderId="10" xfId="3" applyNumberFormat="1" applyFont="1" applyFill="1" applyBorder="1" applyAlignment="1">
      <alignment horizontal="left" vertical="center" wrapText="1"/>
    </xf>
    <xf numFmtId="0" fontId="3" fillId="0" borderId="11" xfId="3" applyNumberFormat="1" applyFont="1" applyFill="1" applyBorder="1" applyAlignment="1">
      <alignment horizontal="left" vertical="center" wrapText="1"/>
    </xf>
    <xf numFmtId="0" fontId="3" fillId="0" borderId="0" xfId="3" applyFont="1" applyBorder="1" applyAlignment="1">
      <alignment horizontal="center" vertical="center" wrapText="1"/>
    </xf>
    <xf numFmtId="49" fontId="3" fillId="0" borderId="0" xfId="3" applyNumberFormat="1" applyFont="1" applyBorder="1" applyAlignment="1">
      <alignment horizontal="left" vertical="center" wrapText="1"/>
    </xf>
    <xf numFmtId="166" fontId="12" fillId="0" borderId="0" xfId="3" applyNumberFormat="1" applyFont="1" applyBorder="1" applyAlignment="1">
      <alignment horizontal="center" vertical="center" wrapText="1"/>
    </xf>
    <xf numFmtId="0" fontId="3" fillId="7" borderId="0" xfId="3" applyFont="1" applyFill="1" applyAlignment="1">
      <alignment horizontal="center" vertical="center"/>
    </xf>
    <xf numFmtId="0" fontId="13" fillId="0" borderId="0" xfId="3" applyFont="1" applyFill="1" applyAlignment="1">
      <alignment horizontal="center" vertical="center"/>
    </xf>
    <xf numFmtId="0" fontId="3" fillId="13" borderId="0" xfId="3" applyFont="1" applyFill="1" applyAlignment="1">
      <alignment vertical="center"/>
    </xf>
    <xf numFmtId="0" fontId="3" fillId="13" borderId="0" xfId="3" applyFont="1" applyFill="1" applyAlignment="1">
      <alignment horizontal="left" vertical="center"/>
    </xf>
    <xf numFmtId="49" fontId="3" fillId="0" borderId="0" xfId="3" applyNumberFormat="1" applyFill="1" applyAlignment="1">
      <alignment horizontal="right" vertical="center"/>
    </xf>
    <xf numFmtId="0" fontId="13" fillId="3" borderId="0" xfId="3" applyFont="1" applyFill="1" applyAlignment="1">
      <alignment horizontal="center" vertical="center"/>
    </xf>
    <xf numFmtId="0" fontId="6" fillId="0" borderId="1" xfId="3" applyFont="1" applyFill="1" applyBorder="1" applyAlignment="1">
      <alignment horizontal="center" vertical="center" wrapText="1"/>
    </xf>
    <xf numFmtId="0" fontId="3" fillId="0" borderId="2" xfId="3" applyNumberFormat="1" applyFont="1" applyFill="1" applyBorder="1" applyAlignment="1">
      <alignment horizontal="left" vertical="center" wrapText="1"/>
    </xf>
    <xf numFmtId="0" fontId="3" fillId="0" borderId="3" xfId="3" applyNumberFormat="1" applyFont="1" applyFill="1" applyBorder="1" applyAlignment="1">
      <alignment horizontal="left" vertical="center" wrapText="1"/>
    </xf>
    <xf numFmtId="4" fontId="3" fillId="0" borderId="3" xfId="3" applyNumberFormat="1" applyFont="1" applyFill="1" applyBorder="1" applyAlignment="1">
      <alignment horizontal="center" vertical="center"/>
    </xf>
    <xf numFmtId="4" fontId="3" fillId="0" borderId="80" xfId="3" applyNumberFormat="1" applyFont="1" applyFill="1" applyBorder="1" applyAlignment="1">
      <alignment horizontal="center" vertical="center"/>
    </xf>
    <xf numFmtId="9" fontId="3" fillId="0" borderId="81" xfId="2" applyFont="1" applyFill="1" applyBorder="1" applyAlignment="1">
      <alignment horizontal="center" vertical="center"/>
    </xf>
    <xf numFmtId="0" fontId="3" fillId="13" borderId="0" xfId="3" applyFont="1" applyFill="1" applyAlignment="1">
      <alignment horizontal="center" vertical="center"/>
    </xf>
    <xf numFmtId="4" fontId="3" fillId="0" borderId="5" xfId="3" applyNumberFormat="1" applyFont="1" applyFill="1" applyBorder="1" applyAlignment="1">
      <alignment horizontal="center" vertical="center"/>
    </xf>
    <xf numFmtId="9" fontId="3" fillId="0" borderId="33" xfId="2" applyFont="1" applyFill="1" applyBorder="1" applyAlignment="1">
      <alignment horizontal="center" vertical="center"/>
    </xf>
    <xf numFmtId="0" fontId="6" fillId="7" borderId="0" xfId="3" applyFont="1" applyFill="1" applyBorder="1" applyAlignment="1">
      <alignment horizontal="center" vertical="center"/>
    </xf>
    <xf numFmtId="0" fontId="3" fillId="7" borderId="0" xfId="3" applyFont="1" applyFill="1" applyBorder="1" applyAlignment="1">
      <alignment vertical="center" wrapText="1"/>
    </xf>
    <xf numFmtId="0" fontId="3" fillId="3" borderId="0" xfId="3" applyFont="1" applyFill="1" applyBorder="1" applyAlignment="1">
      <alignment vertical="center" wrapText="1"/>
    </xf>
    <xf numFmtId="4" fontId="3" fillId="7" borderId="0" xfId="3" applyNumberFormat="1" applyFont="1" applyFill="1" applyBorder="1" applyAlignment="1">
      <alignment horizontal="center" vertical="center"/>
    </xf>
    <xf numFmtId="0" fontId="3" fillId="14" borderId="0" xfId="3" applyFont="1" applyFill="1" applyAlignment="1">
      <alignment horizontal="left" vertical="center"/>
    </xf>
    <xf numFmtId="0" fontId="3" fillId="14" borderId="0" xfId="3" applyFont="1" applyFill="1" applyAlignment="1">
      <alignment vertical="center"/>
    </xf>
    <xf numFmtId="0" fontId="3" fillId="3" borderId="0" xfId="3" applyFont="1" applyFill="1" applyAlignment="1">
      <alignment horizontal="center" vertical="center"/>
    </xf>
    <xf numFmtId="0" fontId="6" fillId="7" borderId="0" xfId="3" applyFont="1" applyFill="1" applyBorder="1" applyAlignment="1">
      <alignment horizontal="center" vertical="center" wrapText="1"/>
    </xf>
    <xf numFmtId="0" fontId="18" fillId="7" borderId="0" xfId="3" applyFont="1" applyFill="1" applyBorder="1" applyAlignment="1" applyProtection="1">
      <alignment horizontal="left" vertical="center" wrapText="1"/>
      <protection hidden="1"/>
    </xf>
    <xf numFmtId="4" fontId="3" fillId="0" borderId="0" xfId="3" applyNumberFormat="1" applyFont="1" applyBorder="1" applyAlignment="1">
      <alignment horizontal="center" vertical="center" wrapText="1"/>
    </xf>
    <xf numFmtId="0" fontId="3" fillId="7" borderId="0" xfId="3" applyFont="1" applyFill="1" applyBorder="1" applyAlignment="1">
      <alignment horizontal="left" vertical="center" wrapText="1"/>
    </xf>
    <xf numFmtId="0" fontId="6" fillId="0" borderId="4" xfId="3" applyFont="1" applyFill="1" applyBorder="1" applyAlignment="1">
      <alignment horizontal="center" vertical="center"/>
    </xf>
    <xf numFmtId="0" fontId="3" fillId="0" borderId="0" xfId="3" applyFont="1" applyBorder="1" applyAlignment="1">
      <alignment vertical="center"/>
    </xf>
    <xf numFmtId="0" fontId="3" fillId="0" borderId="0" xfId="3" applyFont="1" applyFill="1" applyAlignment="1">
      <alignment horizontal="right" vertical="center"/>
    </xf>
    <xf numFmtId="0" fontId="3" fillId="0" borderId="0" xfId="3" applyFont="1" applyFill="1" applyBorder="1" applyAlignment="1">
      <alignment horizontal="left" vertical="center"/>
    </xf>
    <xf numFmtId="0" fontId="3" fillId="0" borderId="11" xfId="3" applyFont="1" applyFill="1" applyBorder="1" applyAlignment="1">
      <alignment vertical="center"/>
    </xf>
    <xf numFmtId="0" fontId="3" fillId="7" borderId="14" xfId="3" applyFont="1" applyFill="1" applyBorder="1" applyAlignment="1" applyProtection="1">
      <alignment horizontal="left" vertical="center" wrapText="1"/>
      <protection hidden="1"/>
    </xf>
    <xf numFmtId="0" fontId="3" fillId="7" borderId="15" xfId="3" applyFont="1" applyFill="1" applyBorder="1" applyAlignment="1" applyProtection="1">
      <alignment horizontal="left" vertical="center" wrapText="1"/>
      <protection hidden="1"/>
    </xf>
    <xf numFmtId="0" fontId="3" fillId="11" borderId="0" xfId="3" applyFont="1" applyFill="1" applyAlignment="1">
      <alignment horizontal="center" vertical="center"/>
    </xf>
    <xf numFmtId="0" fontId="6" fillId="0" borderId="6" xfId="3" applyFont="1" applyBorder="1" applyAlignment="1">
      <alignment horizontal="center" vertical="center" wrapText="1"/>
    </xf>
    <xf numFmtId="4" fontId="3" fillId="0" borderId="8" xfId="3" applyNumberFormat="1" applyFont="1" applyBorder="1" applyAlignment="1">
      <alignment horizontal="center" vertical="center" wrapText="1"/>
    </xf>
    <xf numFmtId="0" fontId="3" fillId="11" borderId="0" xfId="3" applyFont="1" applyFill="1" applyBorder="1" applyAlignment="1">
      <alignment vertical="center"/>
    </xf>
    <xf numFmtId="0" fontId="6" fillId="7" borderId="1" xfId="3" applyFont="1" applyFill="1" applyBorder="1" applyAlignment="1">
      <alignment horizontal="center" vertical="center"/>
    </xf>
    <xf numFmtId="0" fontId="6" fillId="7" borderId="5" xfId="3" applyFont="1" applyFill="1" applyBorder="1" applyAlignment="1">
      <alignment horizontal="center" vertical="center" wrapText="1"/>
    </xf>
    <xf numFmtId="4" fontId="3" fillId="7" borderId="5" xfId="3" applyNumberFormat="1" applyFont="1" applyFill="1" applyBorder="1" applyAlignment="1">
      <alignment horizontal="center" vertical="center" wrapText="1"/>
    </xf>
    <xf numFmtId="9" fontId="3" fillId="7" borderId="5" xfId="2" applyFont="1" applyFill="1" applyBorder="1" applyAlignment="1">
      <alignment horizontal="center" vertical="center" wrapText="1"/>
    </xf>
    <xf numFmtId="0" fontId="3" fillId="0" borderId="11" xfId="3" applyFont="1" applyBorder="1" applyAlignment="1">
      <alignment vertical="center"/>
    </xf>
    <xf numFmtId="0" fontId="6" fillId="7" borderId="22" xfId="3" applyFont="1" applyFill="1" applyBorder="1" applyAlignment="1">
      <alignment horizontal="center" vertical="center" wrapText="1"/>
    </xf>
    <xf numFmtId="9" fontId="3" fillId="7" borderId="33" xfId="2" applyFont="1" applyFill="1" applyBorder="1" applyAlignment="1">
      <alignment horizontal="center" vertical="center" wrapText="1"/>
    </xf>
    <xf numFmtId="0" fontId="30" fillId="7" borderId="0" xfId="3" applyFont="1" applyFill="1" applyBorder="1" applyAlignment="1">
      <alignment horizontal="left" vertical="center" wrapText="1"/>
    </xf>
    <xf numFmtId="4" fontId="30" fillId="0" borderId="0" xfId="3" applyNumberFormat="1" applyFont="1" applyBorder="1" applyAlignment="1">
      <alignment horizontal="center" vertical="center" wrapText="1"/>
    </xf>
    <xf numFmtId="9" fontId="30" fillId="0" borderId="0" xfId="2" applyFont="1" applyBorder="1" applyAlignment="1">
      <alignment horizontal="center" vertical="center" wrapText="1"/>
    </xf>
    <xf numFmtId="0" fontId="3" fillId="20" borderId="0" xfId="3" applyFont="1" applyFill="1" applyAlignment="1">
      <alignment horizontal="left" vertical="center"/>
    </xf>
    <xf numFmtId="0" fontId="3" fillId="3" borderId="0" xfId="3" applyFont="1" applyFill="1" applyBorder="1" applyAlignment="1">
      <alignment horizontal="left" vertical="center" wrapText="1"/>
    </xf>
    <xf numFmtId="166" fontId="12" fillId="2" borderId="1" xfId="3" applyNumberFormat="1" applyFont="1" applyFill="1" applyBorder="1" applyAlignment="1">
      <alignment horizontal="center" vertical="center" wrapText="1"/>
    </xf>
    <xf numFmtId="0" fontId="3" fillId="0" borderId="0" xfId="3" applyFont="1" applyFill="1" applyBorder="1" applyAlignment="1">
      <alignment horizontal="left" vertical="center" wrapText="1"/>
    </xf>
    <xf numFmtId="0" fontId="3" fillId="0" borderId="10" xfId="3" applyFont="1" applyFill="1" applyBorder="1" applyAlignment="1">
      <alignment horizontal="left" vertical="center"/>
    </xf>
    <xf numFmtId="0" fontId="3" fillId="0" borderId="11" xfId="3" applyFont="1" applyFill="1" applyBorder="1" applyAlignment="1">
      <alignment horizontal="left" vertical="center" wrapText="1"/>
    </xf>
    <xf numFmtId="0" fontId="6" fillId="7" borderId="6" xfId="3" applyFont="1" applyFill="1" applyBorder="1" applyAlignment="1">
      <alignment horizontal="center" vertical="center"/>
    </xf>
    <xf numFmtId="0" fontId="3" fillId="0" borderId="0" xfId="3" applyFont="1" applyBorder="1" applyAlignment="1">
      <alignment horizontal="left" vertical="center" wrapText="1"/>
    </xf>
    <xf numFmtId="0" fontId="3" fillId="7" borderId="0" xfId="3" applyFont="1" applyFill="1" applyBorder="1" applyAlignment="1" applyProtection="1">
      <alignment horizontal="left" vertical="center" wrapText="1"/>
      <protection hidden="1"/>
    </xf>
    <xf numFmtId="0" fontId="13" fillId="9" borderId="0" xfId="3" applyFont="1" applyFill="1" applyBorder="1" applyAlignment="1">
      <alignment horizontal="center" vertical="center"/>
    </xf>
    <xf numFmtId="0" fontId="3" fillId="6" borderId="0" xfId="3" applyFont="1" applyFill="1" applyBorder="1" applyAlignment="1">
      <alignment vertical="center"/>
    </xf>
    <xf numFmtId="0" fontId="3" fillId="6" borderId="0" xfId="3" applyFont="1" applyFill="1" applyBorder="1" applyAlignment="1">
      <alignment horizontal="left" vertical="center"/>
    </xf>
    <xf numFmtId="0" fontId="3" fillId="4" borderId="0" xfId="3" applyFont="1" applyFill="1" applyBorder="1" applyAlignment="1">
      <alignment horizontal="center" vertical="center"/>
    </xf>
    <xf numFmtId="0" fontId="13" fillId="5" borderId="0" xfId="3" applyFont="1" applyFill="1" applyBorder="1" applyAlignment="1">
      <alignment vertical="center"/>
    </xf>
    <xf numFmtId="0" fontId="6" fillId="7" borderId="34" xfId="3" applyFont="1" applyFill="1" applyBorder="1" applyAlignment="1">
      <alignment horizontal="center" vertical="center" wrapText="1"/>
    </xf>
    <xf numFmtId="4" fontId="3" fillId="7" borderId="12" xfId="3" applyNumberFormat="1" applyFont="1" applyFill="1" applyBorder="1" applyAlignment="1">
      <alignment horizontal="center" vertical="center" wrapText="1"/>
    </xf>
    <xf numFmtId="0" fontId="13" fillId="15" borderId="0" xfId="3" applyFont="1" applyFill="1" applyAlignment="1">
      <alignment vertical="center"/>
    </xf>
    <xf numFmtId="0" fontId="3" fillId="0" borderId="2" xfId="3" applyFont="1" applyFill="1" applyBorder="1" applyAlignment="1">
      <alignment vertical="center"/>
    </xf>
    <xf numFmtId="0" fontId="3" fillId="0" borderId="3" xfId="3" applyFont="1" applyFill="1" applyBorder="1" applyAlignment="1">
      <alignment vertical="center"/>
    </xf>
    <xf numFmtId="4" fontId="3" fillId="7" borderId="0" xfId="3" applyNumberFormat="1" applyFont="1" applyFill="1" applyBorder="1" applyAlignment="1">
      <alignment horizontal="center" vertical="center" wrapText="1"/>
    </xf>
    <xf numFmtId="0" fontId="3" fillId="0" borderId="0" xfId="3" applyFont="1" applyFill="1" applyAlignment="1">
      <alignment horizontal="left" vertical="center"/>
    </xf>
    <xf numFmtId="4" fontId="3" fillId="0" borderId="3" xfId="3" applyNumberFormat="1" applyFont="1" applyBorder="1" applyAlignment="1">
      <alignment horizontal="center" vertical="center" wrapText="1"/>
    </xf>
    <xf numFmtId="0" fontId="3" fillId="4" borderId="10" xfId="3" applyFont="1" applyFill="1" applyBorder="1" applyAlignment="1">
      <alignment horizontal="center" vertical="center"/>
    </xf>
    <xf numFmtId="0" fontId="6" fillId="3" borderId="0" xfId="3" applyFont="1" applyFill="1" applyBorder="1" applyAlignment="1">
      <alignment horizontal="center" vertical="center" wrapText="1"/>
    </xf>
    <xf numFmtId="0" fontId="3" fillId="3" borderId="0" xfId="3" applyFont="1" applyFill="1" applyBorder="1" applyAlignment="1">
      <alignment horizontal="left" vertical="top" wrapText="1"/>
    </xf>
    <xf numFmtId="4" fontId="3" fillId="3" borderId="0" xfId="3" applyNumberFormat="1" applyFont="1" applyFill="1" applyBorder="1" applyAlignment="1">
      <alignment horizontal="center" vertical="center" wrapText="1"/>
    </xf>
    <xf numFmtId="164" fontId="3" fillId="7" borderId="14" xfId="14" applyFont="1" applyFill="1" applyBorder="1" applyAlignment="1" applyProtection="1">
      <alignment horizontal="left" vertical="center" wrapText="1"/>
      <protection hidden="1"/>
    </xf>
    <xf numFmtId="164" fontId="3" fillId="7" borderId="15" xfId="14" applyFont="1" applyFill="1" applyBorder="1" applyAlignment="1" applyProtection="1">
      <alignment horizontal="left" vertical="center" wrapText="1"/>
      <protection hidden="1"/>
    </xf>
    <xf numFmtId="0" fontId="3" fillId="17" borderId="0" xfId="3" applyFont="1" applyFill="1" applyAlignment="1">
      <alignment vertical="center"/>
    </xf>
    <xf numFmtId="0" fontId="3" fillId="0" borderId="7" xfId="3" applyFont="1" applyFill="1" applyBorder="1" applyAlignment="1">
      <alignment horizontal="left" vertical="center" wrapText="1"/>
    </xf>
    <xf numFmtId="0" fontId="3" fillId="0" borderId="8" xfId="3" applyFont="1" applyFill="1" applyBorder="1" applyAlignment="1">
      <alignment horizontal="left" vertical="center" wrapText="1"/>
    </xf>
    <xf numFmtId="0" fontId="3" fillId="0" borderId="0" xfId="5" applyFont="1" applyFill="1" applyBorder="1" applyAlignment="1">
      <alignment vertical="center"/>
    </xf>
    <xf numFmtId="0" fontId="3" fillId="8" borderId="0" xfId="16" applyFont="1" applyFill="1" applyAlignment="1">
      <alignment horizontal="center" vertical="center"/>
    </xf>
    <xf numFmtId="0" fontId="3" fillId="17" borderId="0" xfId="16" applyFont="1" applyFill="1" applyAlignment="1">
      <alignment horizontal="center" vertical="center"/>
    </xf>
    <xf numFmtId="0" fontId="3" fillId="0" borderId="0" xfId="16" applyFont="1" applyFill="1" applyBorder="1" applyAlignment="1">
      <alignment horizontal="center" vertical="center"/>
    </xf>
    <xf numFmtId="0" fontId="1" fillId="0" borderId="0" xfId="16" applyAlignment="1">
      <alignment vertical="center"/>
    </xf>
    <xf numFmtId="0" fontId="3" fillId="0" borderId="0" xfId="3"/>
    <xf numFmtId="166" fontId="3" fillId="3" borderId="4" xfId="3" applyNumberFormat="1" applyFont="1" applyFill="1" applyBorder="1" applyAlignment="1">
      <alignment horizontal="center" vertical="center" wrapText="1"/>
    </xf>
    <xf numFmtId="166" fontId="12" fillId="12" borderId="4" xfId="3" applyNumberFormat="1" applyFont="1" applyFill="1" applyBorder="1" applyAlignment="1">
      <alignment horizontal="center" vertical="center" wrapText="1"/>
    </xf>
    <xf numFmtId="0" fontId="6" fillId="3" borderId="1" xfId="3" applyFont="1" applyFill="1" applyBorder="1" applyAlignment="1">
      <alignment horizontal="center" vertical="center" wrapText="1"/>
    </xf>
    <xf numFmtId="2" fontId="3" fillId="3" borderId="5" xfId="3" applyNumberFormat="1" applyFont="1" applyFill="1" applyBorder="1" applyAlignment="1">
      <alignment horizontal="center" vertical="center" wrapText="1"/>
    </xf>
    <xf numFmtId="2" fontId="3" fillId="3" borderId="4" xfId="3" applyNumberFormat="1" applyFont="1" applyFill="1" applyBorder="1" applyAlignment="1">
      <alignment horizontal="center" vertical="center" wrapText="1"/>
    </xf>
    <xf numFmtId="0" fontId="3" fillId="3" borderId="10" xfId="3" applyFont="1" applyFill="1" applyBorder="1" applyAlignment="1">
      <alignment horizontal="left" vertical="center"/>
    </xf>
    <xf numFmtId="0" fontId="3" fillId="3" borderId="0" xfId="3" applyFont="1" applyFill="1" applyBorder="1" applyAlignment="1">
      <alignment horizontal="left" vertical="center"/>
    </xf>
    <xf numFmtId="2" fontId="3" fillId="7" borderId="1" xfId="14" applyNumberFormat="1" applyFont="1" applyFill="1" applyBorder="1" applyAlignment="1" applyProtection="1">
      <alignment horizontal="center" vertical="center" wrapText="1"/>
      <protection hidden="1"/>
    </xf>
    <xf numFmtId="0" fontId="3" fillId="4" borderId="0" xfId="3" applyFont="1" applyFill="1" applyBorder="1" applyAlignment="1">
      <alignment vertical="center"/>
    </xf>
    <xf numFmtId="0" fontId="3" fillId="3" borderId="13" xfId="3" applyFont="1" applyFill="1" applyBorder="1" applyAlignment="1">
      <alignment horizontal="left" vertical="center"/>
    </xf>
    <xf numFmtId="0" fontId="3" fillId="3" borderId="14" xfId="3" applyFont="1" applyFill="1" applyBorder="1" applyAlignment="1">
      <alignment horizontal="left" vertical="center"/>
    </xf>
    <xf numFmtId="0" fontId="3" fillId="0" borderId="1" xfId="3" applyFont="1" applyBorder="1" applyAlignment="1">
      <alignment vertical="center" wrapText="1"/>
    </xf>
    <xf numFmtId="0" fontId="3" fillId="0" borderId="2" xfId="3" applyFont="1" applyBorder="1" applyAlignment="1">
      <alignment vertical="center" wrapText="1"/>
    </xf>
    <xf numFmtId="0" fontId="3" fillId="0" borderId="2" xfId="3" applyFont="1" applyBorder="1" applyAlignment="1">
      <alignment horizontal="left" vertical="center" wrapText="1"/>
    </xf>
    <xf numFmtId="0" fontId="3" fillId="0" borderId="3" xfId="3" applyFont="1" applyBorder="1" applyAlignment="1">
      <alignment vertical="center" wrapText="1"/>
    </xf>
    <xf numFmtId="0" fontId="20" fillId="16" borderId="0" xfId="3" applyFont="1" applyFill="1" applyBorder="1" applyAlignment="1">
      <alignment horizontal="center" vertical="center"/>
    </xf>
    <xf numFmtId="0" fontId="20" fillId="16" borderId="0" xfId="3" applyFont="1" applyFill="1" applyBorder="1" applyAlignment="1">
      <alignment horizontal="left" vertical="center"/>
    </xf>
    <xf numFmtId="0" fontId="6" fillId="0" borderId="5" xfId="3" applyFont="1" applyBorder="1" applyAlignment="1">
      <alignment horizontal="center" vertical="center"/>
    </xf>
    <xf numFmtId="0" fontId="3" fillId="0" borderId="1" xfId="3" applyFont="1" applyBorder="1" applyAlignment="1">
      <alignment horizontal="left" vertical="center"/>
    </xf>
    <xf numFmtId="0" fontId="3" fillId="0" borderId="2" xfId="3" applyFont="1" applyBorder="1" applyAlignment="1">
      <alignment horizontal="left" vertical="center"/>
    </xf>
    <xf numFmtId="0" fontId="3" fillId="0" borderId="3" xfId="3" applyFont="1" applyBorder="1" applyAlignment="1">
      <alignment horizontal="left" vertical="center"/>
    </xf>
    <xf numFmtId="0" fontId="6" fillId="3" borderId="4" xfId="3" applyFont="1" applyFill="1" applyBorder="1" applyAlignment="1">
      <alignment horizontal="center" vertical="center"/>
    </xf>
    <xf numFmtId="9" fontId="12" fillId="0" borderId="0" xfId="3" applyNumberFormat="1" applyFont="1" applyBorder="1" applyAlignment="1">
      <alignment horizontal="center" vertical="center" wrapText="1"/>
    </xf>
    <xf numFmtId="0" fontId="20" fillId="0" borderId="0" xfId="3" applyFont="1" applyFill="1" applyBorder="1" applyAlignment="1">
      <alignment horizontal="left" vertical="center"/>
    </xf>
    <xf numFmtId="0" fontId="20" fillId="18" borderId="0" xfId="3" applyFont="1" applyFill="1" applyBorder="1" applyAlignment="1">
      <alignment horizontal="center" vertical="center"/>
    </xf>
    <xf numFmtId="0" fontId="20" fillId="18" borderId="0" xfId="3" applyFont="1" applyFill="1" applyBorder="1" applyAlignment="1">
      <alignment horizontal="left" vertical="center"/>
    </xf>
    <xf numFmtId="0" fontId="3" fillId="2" borderId="4" xfId="3" applyFont="1" applyFill="1" applyBorder="1" applyAlignment="1">
      <alignment horizontal="center" vertical="center" wrapText="1"/>
    </xf>
    <xf numFmtId="0" fontId="3" fillId="3" borderId="14" xfId="3" applyFont="1" applyFill="1" applyBorder="1" applyAlignment="1">
      <alignment horizontal="left" vertical="center" wrapText="1"/>
    </xf>
    <xf numFmtId="0" fontId="3" fillId="3" borderId="15" xfId="3" applyFont="1" applyFill="1" applyBorder="1" applyAlignment="1">
      <alignment horizontal="left" vertical="center" wrapText="1"/>
    </xf>
    <xf numFmtId="0" fontId="3" fillId="0" borderId="6" xfId="3" applyFont="1" applyBorder="1" applyAlignment="1">
      <alignment horizontal="center" vertical="center"/>
    </xf>
    <xf numFmtId="2" fontId="3" fillId="0" borderId="5" xfId="3" applyNumberFormat="1" applyFont="1" applyBorder="1" applyAlignment="1">
      <alignment horizontal="center" vertical="center"/>
    </xf>
    <xf numFmtId="9" fontId="3" fillId="0" borderId="5" xfId="3" applyNumberFormat="1" applyFont="1" applyBorder="1" applyAlignment="1">
      <alignment horizontal="center" vertical="center"/>
    </xf>
    <xf numFmtId="0" fontId="3" fillId="0" borderId="4" xfId="3" applyFont="1" applyFill="1" applyBorder="1" applyAlignment="1">
      <alignment horizontal="center" vertical="center"/>
    </xf>
    <xf numFmtId="2" fontId="3" fillId="0" borderId="4" xfId="3" applyNumberFormat="1" applyFont="1" applyFill="1" applyBorder="1" applyAlignment="1">
      <alignment horizontal="center" vertical="center"/>
    </xf>
    <xf numFmtId="9" fontId="3" fillId="0" borderId="3" xfId="3" applyNumberFormat="1" applyFont="1" applyFill="1" applyBorder="1" applyAlignment="1">
      <alignment horizontal="center" vertical="center"/>
    </xf>
    <xf numFmtId="2" fontId="3" fillId="0" borderId="5" xfId="3" applyNumberFormat="1" applyFont="1" applyFill="1" applyBorder="1" applyAlignment="1">
      <alignment horizontal="center" vertical="center" wrapText="1"/>
    </xf>
    <xf numFmtId="9" fontId="3" fillId="0" borderId="5" xfId="3" applyNumberFormat="1" applyFont="1" applyFill="1" applyBorder="1" applyAlignment="1">
      <alignment horizontal="center" vertical="center"/>
    </xf>
    <xf numFmtId="2" fontId="3" fillId="0" borderId="4" xfId="3" applyNumberFormat="1" applyFont="1" applyFill="1" applyBorder="1" applyAlignment="1">
      <alignment horizontal="center" vertical="center" wrapText="1"/>
    </xf>
    <xf numFmtId="9" fontId="3" fillId="0" borderId="4" xfId="3" applyNumberFormat="1" applyFont="1" applyFill="1" applyBorder="1" applyAlignment="1">
      <alignment horizontal="center" vertical="center"/>
    </xf>
    <xf numFmtId="0" fontId="3" fillId="0" borderId="1" xfId="3" applyFont="1" applyFill="1" applyBorder="1" applyAlignment="1">
      <alignment horizontal="center" vertical="center"/>
    </xf>
    <xf numFmtId="2" fontId="3" fillId="0" borderId="9" xfId="3" applyNumberFormat="1" applyFont="1" applyFill="1" applyBorder="1" applyAlignment="1">
      <alignment horizontal="center" vertical="center"/>
    </xf>
    <xf numFmtId="9" fontId="3" fillId="0" borderId="9" xfId="3" applyNumberFormat="1" applyFont="1" applyFill="1" applyBorder="1" applyAlignment="1">
      <alignment horizontal="center" vertical="center"/>
    </xf>
    <xf numFmtId="166" fontId="12" fillId="0" borderId="0" xfId="3" applyNumberFormat="1" applyFont="1" applyFill="1" applyBorder="1" applyAlignment="1">
      <alignment horizontal="center" vertical="center" wrapText="1"/>
    </xf>
    <xf numFmtId="0" fontId="6" fillId="0" borderId="0" xfId="3" applyFont="1" applyBorder="1" applyAlignment="1">
      <alignment horizontal="center" vertical="center" wrapText="1"/>
    </xf>
    <xf numFmtId="0" fontId="3" fillId="3" borderId="0" xfId="3" applyFont="1" applyFill="1" applyBorder="1" applyAlignment="1">
      <alignment horizontal="center" vertical="center"/>
    </xf>
    <xf numFmtId="0" fontId="3" fillId="17" borderId="0" xfId="3" applyFont="1" applyFill="1" applyBorder="1" applyAlignment="1">
      <alignment horizontal="center" vertical="center"/>
    </xf>
    <xf numFmtId="0" fontId="3" fillId="0" borderId="0" xfId="3" applyFill="1" applyAlignment="1">
      <alignment vertical="center"/>
    </xf>
    <xf numFmtId="0" fontId="3" fillId="0" borderId="4" xfId="3" applyFont="1" applyBorder="1" applyAlignment="1">
      <alignment horizontal="center" vertical="center" wrapText="1"/>
    </xf>
    <xf numFmtId="0" fontId="3" fillId="0" borderId="4" xfId="3" applyFont="1" applyFill="1" applyBorder="1" applyAlignment="1">
      <alignment horizontal="center" vertical="center" wrapText="1"/>
    </xf>
    <xf numFmtId="0" fontId="6" fillId="0" borderId="0" xfId="3" applyFont="1" applyFill="1" applyBorder="1" applyAlignment="1">
      <alignment horizontal="center" vertical="center"/>
    </xf>
    <xf numFmtId="0" fontId="3" fillId="17" borderId="0" xfId="3" applyFont="1" applyFill="1" applyBorder="1" applyAlignment="1">
      <alignment vertical="center"/>
    </xf>
    <xf numFmtId="0" fontId="30" fillId="0" borderId="0" xfId="3" applyFont="1" applyFill="1" applyBorder="1" applyAlignment="1">
      <alignment horizontal="center" vertical="center" wrapText="1"/>
    </xf>
    <xf numFmtId="0" fontId="30" fillId="0" borderId="0" xfId="3" applyFont="1" applyFill="1" applyBorder="1" applyAlignment="1">
      <alignment horizontal="left" vertical="center" wrapText="1"/>
    </xf>
    <xf numFmtId="4" fontId="30" fillId="0" borderId="0" xfId="3" applyNumberFormat="1" applyFont="1" applyFill="1" applyBorder="1" applyAlignment="1">
      <alignment horizontal="center" vertical="center" wrapText="1"/>
    </xf>
    <xf numFmtId="9" fontId="30" fillId="0" borderId="0" xfId="2" applyFont="1" applyFill="1" applyBorder="1" applyAlignment="1">
      <alignment horizontal="center" vertical="center" wrapText="1"/>
    </xf>
    <xf numFmtId="2" fontId="3" fillId="0" borderId="4" xfId="3" applyNumberFormat="1" applyFont="1" applyBorder="1" applyAlignment="1">
      <alignment horizontal="center" vertical="center"/>
    </xf>
    <xf numFmtId="0" fontId="3" fillId="14" borderId="0" xfId="3" applyFont="1" applyFill="1" applyAlignment="1">
      <alignment horizontal="center" vertical="center"/>
    </xf>
    <xf numFmtId="0" fontId="6" fillId="0" borderId="1" xfId="3" applyFont="1" applyFill="1" applyBorder="1" applyAlignment="1">
      <alignment vertical="center"/>
    </xf>
    <xf numFmtId="166" fontId="12" fillId="0" borderId="2" xfId="3" applyNumberFormat="1" applyFont="1" applyBorder="1" applyAlignment="1">
      <alignment horizontal="center" vertical="center" wrapText="1"/>
    </xf>
    <xf numFmtId="0" fontId="3" fillId="14" borderId="0" xfId="3" applyFont="1" applyFill="1" applyBorder="1" applyAlignment="1">
      <alignment horizontal="center" vertical="center"/>
    </xf>
    <xf numFmtId="0" fontId="6" fillId="0" borderId="6" xfId="3" applyFont="1" applyFill="1" applyBorder="1" applyAlignment="1">
      <alignment vertical="center"/>
    </xf>
    <xf numFmtId="0" fontId="3" fillId="0" borderId="7" xfId="3" applyFont="1" applyBorder="1" applyAlignment="1">
      <alignment horizontal="left" vertical="center" wrapText="1"/>
    </xf>
    <xf numFmtId="166" fontId="12" fillId="0" borderId="7" xfId="3" applyNumberFormat="1" applyFont="1" applyBorder="1" applyAlignment="1">
      <alignment horizontal="center" vertical="center" wrapText="1"/>
    </xf>
    <xf numFmtId="0" fontId="11" fillId="0" borderId="0" xfId="3" applyFont="1" applyAlignment="1">
      <alignment vertical="center"/>
    </xf>
    <xf numFmtId="2" fontId="3" fillId="0" borderId="10" xfId="3" applyNumberFormat="1" applyFont="1" applyBorder="1" applyAlignment="1">
      <alignment vertical="center"/>
    </xf>
    <xf numFmtId="2" fontId="3" fillId="0" borderId="0" xfId="3" applyNumberFormat="1" applyFont="1" applyBorder="1" applyAlignment="1">
      <alignment vertical="center"/>
    </xf>
    <xf numFmtId="0" fontId="3" fillId="19" borderId="0" xfId="3" applyFont="1" applyFill="1" applyAlignment="1">
      <alignment vertical="center"/>
    </xf>
    <xf numFmtId="170" fontId="23" fillId="0" borderId="0" xfId="3" applyNumberFormat="1" applyFont="1" applyBorder="1" applyAlignment="1">
      <alignment horizontal="center" vertical="center"/>
    </xf>
    <xf numFmtId="171" fontId="3" fillId="0" borderId="0" xfId="3" applyNumberFormat="1" applyFont="1" applyBorder="1" applyAlignment="1">
      <alignment horizontal="center" vertical="center"/>
    </xf>
    <xf numFmtId="166" fontId="3" fillId="0" borderId="0" xfId="3" applyNumberFormat="1" applyFont="1" applyBorder="1" applyAlignment="1">
      <alignment vertical="center"/>
    </xf>
    <xf numFmtId="0" fontId="11" fillId="2" borderId="1" xfId="3" applyFont="1" applyFill="1" applyBorder="1" applyAlignment="1">
      <alignment horizontal="center" vertical="center" wrapText="1"/>
    </xf>
    <xf numFmtId="0" fontId="6" fillId="0" borderId="1" xfId="3" applyFont="1" applyBorder="1" applyAlignment="1">
      <alignment horizontal="right" vertical="center"/>
    </xf>
    <xf numFmtId="9" fontId="6" fillId="0" borderId="2" xfId="3" applyNumberFormat="1" applyFont="1" applyBorder="1" applyAlignment="1">
      <alignment horizontal="left" vertical="center"/>
    </xf>
    <xf numFmtId="0" fontId="6" fillId="0" borderId="3" xfId="3" applyFont="1" applyBorder="1" applyAlignment="1">
      <alignment vertical="center"/>
    </xf>
    <xf numFmtId="0" fontId="3" fillId="7" borderId="1" xfId="3" applyFont="1" applyFill="1" applyBorder="1" applyAlignment="1">
      <alignment horizontal="center" vertical="center"/>
    </xf>
    <xf numFmtId="9" fontId="6" fillId="0" borderId="1" xfId="3" applyNumberFormat="1" applyFont="1" applyBorder="1" applyAlignment="1">
      <alignment vertical="center"/>
    </xf>
    <xf numFmtId="0" fontId="6" fillId="0" borderId="2" xfId="3" applyFont="1" applyBorder="1" applyAlignment="1">
      <alignment vertical="center"/>
    </xf>
    <xf numFmtId="0" fontId="3" fillId="7" borderId="1" xfId="3" applyFont="1" applyFill="1" applyBorder="1" applyAlignment="1">
      <alignment horizontal="right" vertical="center"/>
    </xf>
    <xf numFmtId="9" fontId="3" fillId="7" borderId="2" xfId="3" applyNumberFormat="1" applyFont="1" applyFill="1" applyBorder="1" applyAlignment="1">
      <alignment horizontal="center" vertical="center"/>
    </xf>
    <xf numFmtId="0" fontId="12" fillId="0" borderId="0" xfId="3" applyFont="1" applyBorder="1" applyAlignment="1">
      <alignment horizontal="center" vertical="center"/>
    </xf>
    <xf numFmtId="0" fontId="3" fillId="7" borderId="0" xfId="3" applyFont="1" applyFill="1" applyBorder="1" applyAlignment="1">
      <alignment horizontal="center" vertical="center"/>
    </xf>
    <xf numFmtId="166" fontId="3" fillId="7" borderId="0" xfId="3" applyNumberFormat="1" applyFont="1" applyFill="1" applyBorder="1" applyAlignment="1">
      <alignment horizontal="center" vertical="center"/>
    </xf>
    <xf numFmtId="0" fontId="11" fillId="0" borderId="6" xfId="3" applyFont="1" applyBorder="1" applyAlignment="1">
      <alignment vertical="center"/>
    </xf>
    <xf numFmtId="0" fontId="3" fillId="0" borderId="7" xfId="3" applyFont="1" applyBorder="1" applyAlignment="1">
      <alignment vertical="center"/>
    </xf>
    <xf numFmtId="0" fontId="3" fillId="0" borderId="7" xfId="3" applyFont="1" applyBorder="1" applyAlignment="1">
      <alignment horizontal="center" vertical="center"/>
    </xf>
    <xf numFmtId="166" fontId="3" fillId="0" borderId="7" xfId="3" applyNumberFormat="1" applyFont="1" applyBorder="1" applyAlignment="1">
      <alignment vertical="center"/>
    </xf>
    <xf numFmtId="0" fontId="12" fillId="0" borderId="10" xfId="3" applyFont="1" applyBorder="1" applyAlignment="1">
      <alignment vertical="center"/>
    </xf>
    <xf numFmtId="0" fontId="6" fillId="0" borderId="1" xfId="3" applyFont="1" applyBorder="1" applyAlignment="1">
      <alignment horizontal="center" vertical="center" wrapText="1"/>
    </xf>
    <xf numFmtId="0" fontId="6" fillId="0" borderId="2" xfId="3" applyFont="1" applyBorder="1" applyAlignment="1">
      <alignment horizontal="right" vertical="center"/>
    </xf>
    <xf numFmtId="0" fontId="6" fillId="0" borderId="2" xfId="3" applyFont="1" applyBorder="1" applyAlignment="1">
      <alignment horizontal="center" vertical="center" wrapText="1"/>
    </xf>
    <xf numFmtId="0" fontId="3" fillId="0" borderId="2" xfId="3" applyFont="1" applyBorder="1" applyAlignment="1">
      <alignment horizontal="center" vertical="center"/>
    </xf>
    <xf numFmtId="0" fontId="3" fillId="0" borderId="3" xfId="3" applyFont="1" applyBorder="1" applyAlignment="1">
      <alignment horizontal="center" vertical="center"/>
    </xf>
    <xf numFmtId="0" fontId="3" fillId="0" borderId="13" xfId="3" applyFont="1" applyBorder="1" applyAlignment="1">
      <alignment vertical="center"/>
    </xf>
    <xf numFmtId="0" fontId="3" fillId="0" borderId="14" xfId="3" applyFont="1" applyBorder="1" applyAlignment="1">
      <alignment vertical="center"/>
    </xf>
    <xf numFmtId="49" fontId="3" fillId="0" borderId="0" xfId="3" applyNumberFormat="1" applyFont="1" applyFill="1" applyBorder="1" applyAlignment="1">
      <alignment horizontal="right" vertical="center" wrapText="1"/>
    </xf>
    <xf numFmtId="0" fontId="3" fillId="3" borderId="0" xfId="5" applyFont="1" applyFill="1" applyBorder="1" applyAlignment="1">
      <alignment vertical="center"/>
    </xf>
    <xf numFmtId="0" fontId="3" fillId="0" borderId="0" xfId="5" applyFont="1" applyAlignment="1">
      <alignment vertical="center"/>
    </xf>
    <xf numFmtId="0" fontId="3" fillId="0" borderId="0" xfId="16" applyFont="1" applyFill="1" applyAlignment="1">
      <alignment horizontal="center" vertical="center"/>
    </xf>
    <xf numFmtId="0" fontId="11" fillId="0" borderId="0" xfId="3" applyFont="1" applyBorder="1" applyAlignment="1">
      <alignment horizontal="justify" vertical="center" wrapText="1"/>
    </xf>
    <xf numFmtId="0" fontId="3" fillId="0" borderId="0" xfId="3" applyFont="1" applyBorder="1" applyAlignment="1">
      <alignment horizontal="justify" vertical="center" wrapText="1"/>
    </xf>
    <xf numFmtId="0" fontId="6" fillId="7" borderId="0" xfId="3" applyFont="1" applyFill="1" applyBorder="1" applyAlignment="1">
      <alignment horizontal="left" vertical="center"/>
    </xf>
    <xf numFmtId="166" fontId="6" fillId="7" borderId="0" xfId="3" applyNumberFormat="1" applyFont="1" applyFill="1" applyBorder="1" applyAlignment="1">
      <alignment horizontal="left" vertical="center"/>
    </xf>
    <xf numFmtId="0" fontId="6" fillId="0" borderId="87" xfId="3" applyFont="1" applyFill="1" applyBorder="1" applyAlignment="1">
      <alignment horizontal="center" vertical="center" wrapText="1"/>
    </xf>
    <xf numFmtId="9" fontId="3" fillId="7" borderId="88" xfId="2" applyFont="1" applyFill="1" applyBorder="1" applyAlignment="1">
      <alignment horizontal="center" vertical="center" wrapText="1"/>
    </xf>
    <xf numFmtId="0" fontId="6" fillId="7" borderId="13" xfId="0" applyFont="1" applyFill="1" applyBorder="1" applyAlignment="1">
      <alignment horizontal="center" vertical="center" wrapText="1"/>
    </xf>
    <xf numFmtId="0" fontId="3" fillId="0" borderId="15" xfId="0" applyFont="1" applyBorder="1" applyAlignment="1">
      <alignment horizontal="left" vertical="center"/>
    </xf>
    <xf numFmtId="0" fontId="3" fillId="0" borderId="14" xfId="3" applyFont="1" applyBorder="1" applyAlignment="1">
      <alignment horizontal="left" vertical="center" wrapText="1"/>
    </xf>
    <xf numFmtId="0" fontId="3" fillId="0" borderId="0" xfId="3" applyFont="1" applyBorder="1" applyAlignment="1">
      <alignment horizontal="left" vertical="center"/>
    </xf>
    <xf numFmtId="0" fontId="3" fillId="3" borderId="0" xfId="3" applyFont="1" applyFill="1" applyBorder="1" applyAlignment="1">
      <alignment horizontal="center" vertical="center" wrapText="1"/>
    </xf>
    <xf numFmtId="0" fontId="3" fillId="3" borderId="0" xfId="3" applyFont="1" applyFill="1" applyBorder="1" applyAlignment="1">
      <alignment horizontal="justify" vertical="center"/>
    </xf>
    <xf numFmtId="166" fontId="12" fillId="3" borderId="0" xfId="3" applyNumberFormat="1" applyFont="1" applyFill="1" applyBorder="1" applyAlignment="1">
      <alignment horizontal="center" vertical="center" wrapText="1"/>
    </xf>
    <xf numFmtId="0" fontId="6" fillId="0" borderId="12" xfId="3" applyFont="1" applyBorder="1" applyAlignment="1">
      <alignment horizontal="center" vertical="center" wrapText="1"/>
    </xf>
    <xf numFmtId="4" fontId="3" fillId="0" borderId="12" xfId="3" applyNumberFormat="1" applyFont="1" applyBorder="1" applyAlignment="1">
      <alignment horizontal="center" vertical="center" wrapText="1"/>
    </xf>
    <xf numFmtId="0" fontId="3" fillId="0" borderId="14" xfId="3" applyFont="1" applyFill="1" applyBorder="1" applyAlignment="1">
      <alignment vertical="center" wrapText="1"/>
    </xf>
    <xf numFmtId="0" fontId="3" fillId="0" borderId="14" xfId="3" applyFont="1" applyFill="1" applyBorder="1" applyAlignment="1">
      <alignment horizontal="left" vertical="center" wrapText="1"/>
    </xf>
    <xf numFmtId="0" fontId="3" fillId="0" borderId="15" xfId="3" applyFont="1" applyFill="1" applyBorder="1" applyAlignment="1">
      <alignment horizontal="left" vertical="center" wrapText="1"/>
    </xf>
    <xf numFmtId="0" fontId="3" fillId="0" borderId="1" xfId="3" applyFont="1" applyBorder="1" applyAlignment="1">
      <alignment horizontal="center" vertical="center"/>
    </xf>
    <xf numFmtId="9" fontId="3" fillId="0" borderId="4" xfId="3" applyNumberFormat="1" applyFont="1" applyBorder="1" applyAlignment="1">
      <alignment horizontal="center" vertical="center"/>
    </xf>
    <xf numFmtId="164" fontId="3" fillId="7" borderId="0" xfId="14" applyFont="1" applyFill="1" applyBorder="1" applyAlignment="1" applyProtection="1">
      <alignment horizontal="left" vertical="center" wrapText="1"/>
      <protection hidden="1"/>
    </xf>
    <xf numFmtId="164" fontId="3" fillId="7" borderId="11" xfId="14" applyFont="1" applyFill="1" applyBorder="1" applyAlignment="1" applyProtection="1">
      <alignment horizontal="left" vertical="center" wrapText="1"/>
      <protection hidden="1"/>
    </xf>
    <xf numFmtId="164" fontId="3" fillId="3" borderId="14" xfId="15" applyFont="1" applyFill="1" applyBorder="1" applyAlignment="1">
      <alignment horizontal="left" vertical="center" wrapText="1"/>
    </xf>
    <xf numFmtId="0" fontId="9" fillId="0" borderId="0" xfId="3" applyFont="1" applyAlignment="1">
      <alignment horizontal="center" vertical="center"/>
    </xf>
    <xf numFmtId="0" fontId="3" fillId="0" borderId="14" xfId="3" applyFont="1" applyFill="1" applyBorder="1" applyAlignment="1" applyProtection="1">
      <alignment horizontal="left" vertical="center" wrapText="1"/>
      <protection hidden="1"/>
    </xf>
    <xf numFmtId="0" fontId="3" fillId="0" borderId="15" xfId="3" applyFont="1" applyFill="1" applyBorder="1" applyAlignment="1" applyProtection="1">
      <alignment horizontal="left" vertical="center" wrapText="1"/>
      <protection hidden="1"/>
    </xf>
    <xf numFmtId="172" fontId="3" fillId="0" borderId="0" xfId="21" applyFont="1" applyFill="1" applyAlignment="1">
      <alignment horizontal="center" vertical="center"/>
    </xf>
    <xf numFmtId="172" fontId="3" fillId="0" borderId="0" xfId="21" applyFont="1" applyFill="1" applyAlignment="1">
      <alignment vertical="center"/>
    </xf>
    <xf numFmtId="0" fontId="6" fillId="0" borderId="89" xfId="3" applyFont="1" applyFill="1" applyBorder="1" applyAlignment="1">
      <alignment horizontal="center" vertical="center" wrapText="1"/>
    </xf>
    <xf numFmtId="4" fontId="3" fillId="7" borderId="61" xfId="3" applyNumberFormat="1" applyFont="1" applyFill="1" applyBorder="1" applyAlignment="1">
      <alignment horizontal="center" vertical="center" wrapText="1"/>
    </xf>
    <xf numFmtId="9" fontId="3" fillId="7" borderId="62" xfId="2" applyFont="1" applyFill="1" applyBorder="1" applyAlignment="1">
      <alignment horizontal="center" vertical="center" wrapText="1"/>
    </xf>
    <xf numFmtId="0" fontId="6" fillId="7" borderId="27" xfId="3" applyFont="1" applyFill="1" applyBorder="1" applyAlignment="1">
      <alignment horizontal="center" vertical="center" wrapText="1"/>
    </xf>
    <xf numFmtId="0" fontId="3" fillId="7" borderId="85" xfId="4" applyFont="1" applyFill="1" applyBorder="1" applyAlignment="1">
      <alignment horizontal="left" vertical="center" wrapText="1"/>
    </xf>
    <xf numFmtId="0" fontId="3" fillId="7" borderId="86" xfId="4" applyFont="1" applyFill="1" applyBorder="1" applyAlignment="1">
      <alignment horizontal="left" vertical="center" wrapText="1"/>
    </xf>
    <xf numFmtId="4" fontId="3" fillId="7" borderId="28" xfId="3" applyNumberFormat="1" applyFont="1" applyFill="1" applyBorder="1" applyAlignment="1">
      <alignment horizontal="center" vertical="center" wrapText="1"/>
    </xf>
    <xf numFmtId="4" fontId="3" fillId="0" borderId="4" xfId="3" applyNumberFormat="1" applyFont="1" applyFill="1" applyBorder="1" applyAlignment="1">
      <alignment horizontal="center" vertical="center"/>
    </xf>
    <xf numFmtId="164" fontId="3" fillId="7" borderId="0" xfId="9" applyFont="1" applyFill="1" applyBorder="1" applyAlignment="1" applyProtection="1">
      <alignment vertical="center" wrapText="1"/>
      <protection hidden="1"/>
    </xf>
    <xf numFmtId="164" fontId="3" fillId="7" borderId="11" xfId="9" applyFont="1" applyFill="1" applyBorder="1" applyAlignment="1" applyProtection="1">
      <alignment vertical="center" wrapText="1"/>
      <protection hidden="1"/>
    </xf>
    <xf numFmtId="0" fontId="3" fillId="7" borderId="11" xfId="3" applyFont="1" applyFill="1" applyBorder="1" applyAlignment="1" applyProtection="1">
      <alignment horizontal="left" vertical="center" wrapText="1"/>
      <protection hidden="1"/>
    </xf>
    <xf numFmtId="166" fontId="12" fillId="2" borderId="5" xfId="3" applyNumberFormat="1" applyFont="1" applyFill="1" applyBorder="1" applyAlignment="1">
      <alignment horizontal="center" vertical="center" wrapText="1"/>
    </xf>
    <xf numFmtId="0" fontId="3" fillId="7" borderId="2" xfId="11" applyFont="1" applyFill="1" applyBorder="1" applyAlignment="1">
      <alignment vertical="center" wrapText="1"/>
    </xf>
    <xf numFmtId="0" fontId="3" fillId="7" borderId="3" xfId="11" applyFont="1" applyFill="1" applyBorder="1" applyAlignment="1">
      <alignment vertical="center" wrapText="1"/>
    </xf>
    <xf numFmtId="0" fontId="26" fillId="0" borderId="0" xfId="0" applyFont="1" applyFill="1" applyAlignment="1">
      <alignment horizontal="left" vertical="center"/>
    </xf>
    <xf numFmtId="0" fontId="26" fillId="0" borderId="0" xfId="0" applyFont="1" applyFill="1"/>
    <xf numFmtId="0" fontId="4" fillId="3" borderId="0" xfId="3" applyFont="1" applyFill="1" applyBorder="1" applyAlignment="1">
      <alignment vertical="center"/>
    </xf>
    <xf numFmtId="0" fontId="6" fillId="3" borderId="0" xfId="3" applyFont="1" applyFill="1" applyBorder="1" applyAlignment="1">
      <alignment vertical="center"/>
    </xf>
    <xf numFmtId="0" fontId="3" fillId="0" borderId="0" xfId="3" applyFont="1" applyFill="1" applyBorder="1" applyAlignment="1">
      <alignment horizontal="center" vertical="center" wrapText="1"/>
    </xf>
    <xf numFmtId="166" fontId="3" fillId="0" borderId="0" xfId="3" applyNumberFormat="1" applyFont="1" applyAlignment="1">
      <alignment horizontal="center" vertical="center"/>
    </xf>
    <xf numFmtId="0" fontId="9" fillId="3" borderId="0" xfId="3" applyFont="1" applyFill="1" applyBorder="1" applyAlignment="1">
      <alignment horizontal="center" vertical="center"/>
    </xf>
    <xf numFmtId="9" fontId="9" fillId="3" borderId="0" xfId="2" applyFont="1" applyFill="1" applyBorder="1" applyAlignment="1">
      <alignment horizontal="center" vertical="center"/>
    </xf>
    <xf numFmtId="9" fontId="6" fillId="3" borderId="0" xfId="2" applyFont="1" applyFill="1" applyBorder="1" applyAlignment="1">
      <alignment horizontal="center" vertical="center"/>
    </xf>
    <xf numFmtId="166" fontId="6" fillId="0" borderId="0" xfId="3" applyNumberFormat="1" applyFont="1" applyFill="1" applyBorder="1" applyAlignment="1">
      <alignment horizontal="center" vertical="center"/>
    </xf>
    <xf numFmtId="9" fontId="6" fillId="0" borderId="0" xfId="2" applyFont="1" applyFill="1" applyBorder="1" applyAlignment="1">
      <alignment horizontal="center" vertical="center"/>
    </xf>
    <xf numFmtId="0" fontId="6" fillId="0" borderId="61" xfId="3" applyFont="1" applyFill="1" applyBorder="1" applyAlignment="1">
      <alignment horizontal="center" vertical="center" wrapText="1"/>
    </xf>
    <xf numFmtId="9" fontId="3" fillId="7" borderId="61" xfId="2" applyFont="1" applyFill="1" applyBorder="1" applyAlignment="1">
      <alignment horizontal="center" vertical="center" wrapText="1"/>
    </xf>
    <xf numFmtId="0" fontId="6" fillId="7" borderId="9" xfId="3" applyFont="1" applyFill="1" applyBorder="1" applyAlignment="1">
      <alignment horizontal="center" vertical="center" wrapText="1"/>
    </xf>
    <xf numFmtId="4" fontId="3" fillId="7" borderId="9" xfId="3" applyNumberFormat="1" applyFont="1" applyFill="1" applyBorder="1" applyAlignment="1">
      <alignment horizontal="center" vertical="center" wrapText="1"/>
    </xf>
    <xf numFmtId="0" fontId="6" fillId="7" borderId="14" xfId="3" applyFont="1" applyFill="1" applyBorder="1" applyAlignment="1">
      <alignment horizontal="center" vertical="center" wrapText="1"/>
    </xf>
    <xf numFmtId="4" fontId="3" fillId="7" borderId="14" xfId="3" applyNumberFormat="1" applyFont="1" applyFill="1" applyBorder="1" applyAlignment="1">
      <alignment horizontal="center" vertical="center" wrapText="1"/>
    </xf>
    <xf numFmtId="9" fontId="3" fillId="7" borderId="14" xfId="2" applyFont="1" applyFill="1" applyBorder="1" applyAlignment="1">
      <alignment horizontal="center" vertical="center" wrapText="1"/>
    </xf>
    <xf numFmtId="0" fontId="12" fillId="2" borderId="5" xfId="0" applyFont="1" applyFill="1" applyBorder="1" applyAlignment="1">
      <alignment horizontal="center" vertical="center" wrapText="1"/>
    </xf>
    <xf numFmtId="2" fontId="3" fillId="0" borderId="4" xfId="3" applyNumberFormat="1" applyFont="1" applyBorder="1" applyAlignment="1">
      <alignment horizontal="center" vertical="center" wrapText="1"/>
    </xf>
    <xf numFmtId="2" fontId="3" fillId="0" borderId="5" xfId="3" applyNumberFormat="1" applyFont="1" applyBorder="1" applyAlignment="1">
      <alignment horizontal="center" vertical="center" wrapText="1"/>
    </xf>
    <xf numFmtId="0" fontId="3" fillId="7" borderId="0" xfId="3" applyFont="1" applyFill="1" applyBorder="1" applyAlignment="1">
      <alignment horizontal="center" vertical="center" wrapText="1"/>
    </xf>
    <xf numFmtId="164" fontId="3" fillId="7" borderId="0" xfId="9" applyFont="1" applyFill="1" applyBorder="1" applyAlignment="1" applyProtection="1">
      <alignment horizontal="left" vertical="center" wrapText="1"/>
      <protection hidden="1"/>
    </xf>
    <xf numFmtId="164" fontId="3" fillId="7" borderId="11" xfId="9" applyFont="1" applyFill="1" applyBorder="1" applyAlignment="1" applyProtection="1">
      <alignment horizontal="left" vertical="center" wrapText="1"/>
      <protection hidden="1"/>
    </xf>
    <xf numFmtId="0" fontId="12" fillId="2" borderId="5" xfId="3" applyFont="1" applyFill="1" applyBorder="1" applyAlignment="1">
      <alignment horizontal="center" vertical="center" wrapText="1"/>
    </xf>
    <xf numFmtId="9" fontId="3" fillId="0" borderId="0" xfId="2" applyFont="1" applyAlignment="1">
      <alignment horizontal="center" vertical="center"/>
    </xf>
    <xf numFmtId="0" fontId="3" fillId="0" borderId="0" xfId="7" applyFont="1" applyFill="1" applyBorder="1" applyAlignment="1">
      <alignment horizontal="left" vertical="center" wrapText="1"/>
    </xf>
    <xf numFmtId="2" fontId="3" fillId="0" borderId="0" xfId="3" applyNumberFormat="1" applyFont="1" applyFill="1" applyBorder="1" applyAlignment="1">
      <alignment horizontal="center" vertical="center"/>
    </xf>
    <xf numFmtId="9" fontId="0" fillId="0" borderId="4" xfId="0" applyNumberFormat="1" applyFont="1" applyBorder="1" applyAlignment="1">
      <alignment horizontal="center" vertical="center"/>
    </xf>
    <xf numFmtId="2" fontId="3" fillId="0" borderId="0" xfId="3" applyNumberFormat="1" applyFont="1" applyBorder="1" applyAlignment="1">
      <alignment horizontal="center" vertical="center"/>
    </xf>
    <xf numFmtId="166" fontId="3" fillId="0" borderId="0" xfId="3" applyNumberFormat="1" applyFont="1" applyBorder="1" applyAlignment="1">
      <alignment horizontal="center" vertical="center"/>
    </xf>
    <xf numFmtId="9" fontId="3" fillId="7" borderId="3" xfId="2" applyFont="1" applyFill="1" applyBorder="1" applyAlignment="1">
      <alignment horizontal="center" vertical="center"/>
    </xf>
    <xf numFmtId="166" fontId="3" fillId="0" borderId="7" xfId="3" applyNumberFormat="1" applyFont="1" applyBorder="1" applyAlignment="1">
      <alignment horizontal="center" vertical="center"/>
    </xf>
    <xf numFmtId="9" fontId="3" fillId="0" borderId="8" xfId="2" applyFont="1" applyBorder="1" applyAlignment="1">
      <alignment horizontal="center" vertical="center"/>
    </xf>
    <xf numFmtId="9" fontId="3" fillId="0" borderId="11" xfId="2" applyFont="1" applyBorder="1" applyAlignment="1">
      <alignment horizontal="center" vertical="center"/>
    </xf>
    <xf numFmtId="166" fontId="6" fillId="7" borderId="0" xfId="3" applyNumberFormat="1" applyFont="1" applyFill="1" applyBorder="1" applyAlignment="1">
      <alignment horizontal="center" vertical="center"/>
    </xf>
    <xf numFmtId="9" fontId="6" fillId="7" borderId="0" xfId="2" applyFont="1" applyFill="1" applyBorder="1" applyAlignment="1">
      <alignment horizontal="center" vertic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6" fillId="2" borderId="3" xfId="0" applyFont="1" applyFill="1" applyBorder="1" applyAlignment="1">
      <alignment horizontal="left" vertical="center"/>
    </xf>
    <xf numFmtId="0" fontId="3" fillId="7" borderId="6" xfId="0" applyFont="1" applyFill="1" applyBorder="1" applyAlignment="1">
      <alignment horizontal="left" vertical="center"/>
    </xf>
    <xf numFmtId="0" fontId="3" fillId="7" borderId="7" xfId="0" applyFont="1" applyFill="1" applyBorder="1" applyAlignment="1">
      <alignment horizontal="left" vertical="center"/>
    </xf>
    <xf numFmtId="0" fontId="3" fillId="7" borderId="8" xfId="0" applyFont="1" applyFill="1" applyBorder="1" applyAlignment="1">
      <alignment horizontal="left" vertical="center"/>
    </xf>
    <xf numFmtId="0" fontId="3" fillId="7" borderId="13" xfId="0" applyFont="1" applyFill="1" applyBorder="1" applyAlignment="1">
      <alignment horizontal="left" vertical="center" wrapText="1"/>
    </xf>
    <xf numFmtId="0" fontId="3" fillId="7" borderId="14" xfId="0" applyFont="1" applyFill="1" applyBorder="1" applyAlignment="1">
      <alignment horizontal="left" vertical="center" wrapText="1"/>
    </xf>
    <xf numFmtId="0" fontId="3" fillId="7" borderId="15" xfId="0" applyFont="1" applyFill="1" applyBorder="1" applyAlignment="1">
      <alignment horizontal="left" vertical="center" wrapText="1"/>
    </xf>
    <xf numFmtId="0" fontId="3" fillId="0" borderId="1" xfId="0" applyFont="1" applyFill="1" applyBorder="1" applyAlignment="1">
      <alignment horizontal="left" vertical="center"/>
    </xf>
    <xf numFmtId="0" fontId="3" fillId="0" borderId="2" xfId="0" applyFont="1" applyFill="1" applyBorder="1" applyAlignment="1">
      <alignment horizontal="left" vertical="center"/>
    </xf>
    <xf numFmtId="0" fontId="3" fillId="0" borderId="3" xfId="0" applyFont="1" applyFill="1" applyBorder="1" applyAlignment="1">
      <alignment horizontal="left" vertical="center"/>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14" xfId="0" applyFont="1" applyBorder="1" applyAlignment="1">
      <alignment horizontal="left" vertical="center" wrapText="1"/>
    </xf>
    <xf numFmtId="0" fontId="3" fillId="0" borderId="15" xfId="0" applyFont="1" applyBorder="1" applyAlignment="1">
      <alignment horizontal="left" vertical="center" wrapText="1"/>
    </xf>
    <xf numFmtId="0" fontId="6" fillId="0" borderId="1" xfId="0" applyFont="1" applyBorder="1" applyAlignment="1">
      <alignment horizontal="justify" vertical="center" wrapText="1"/>
    </xf>
    <xf numFmtId="0" fontId="6" fillId="0" borderId="2" xfId="0" applyFont="1" applyBorder="1" applyAlignment="1">
      <alignment horizontal="justify" vertical="center" wrapText="1"/>
    </xf>
    <xf numFmtId="0" fontId="6" fillId="0" borderId="3" xfId="0" applyFont="1" applyBorder="1" applyAlignment="1">
      <alignment horizontal="justify" vertical="center" wrapText="1"/>
    </xf>
    <xf numFmtId="0" fontId="3" fillId="0" borderId="1" xfId="0" applyFont="1" applyBorder="1" applyAlignment="1">
      <alignment horizontal="justify" vertical="center" wrapText="1"/>
    </xf>
    <xf numFmtId="0" fontId="3" fillId="0" borderId="2" xfId="0" applyFont="1" applyBorder="1" applyAlignment="1">
      <alignment horizontal="justify" vertical="center" wrapText="1"/>
    </xf>
    <xf numFmtId="0" fontId="3" fillId="0" borderId="3" xfId="0" applyFont="1" applyBorder="1" applyAlignment="1">
      <alignment horizontal="justify" vertical="center" wrapText="1"/>
    </xf>
    <xf numFmtId="0" fontId="3" fillId="7" borderId="4" xfId="0" applyFont="1" applyFill="1" applyBorder="1" applyAlignment="1">
      <alignment horizontal="center" vertical="center"/>
    </xf>
    <xf numFmtId="0" fontId="6" fillId="0" borderId="4" xfId="0" applyFont="1" applyBorder="1" applyAlignment="1">
      <alignment horizontal="center" vertical="center"/>
    </xf>
    <xf numFmtId="0" fontId="3" fillId="0" borderId="2" xfId="0" applyFont="1" applyBorder="1" applyAlignment="1">
      <alignment horizontal="center" vertical="center"/>
    </xf>
    <xf numFmtId="0" fontId="11" fillId="2" borderId="4"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1" fillId="2" borderId="2"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3" fillId="7" borderId="9" xfId="0" applyFont="1" applyFill="1" applyBorder="1" applyAlignment="1">
      <alignment horizontal="center" vertical="center"/>
    </xf>
    <xf numFmtId="0" fontId="3" fillId="7" borderId="1" xfId="0" applyFont="1" applyFill="1" applyBorder="1" applyAlignment="1">
      <alignment horizontal="center" vertical="center"/>
    </xf>
    <xf numFmtId="0" fontId="3" fillId="7" borderId="2" xfId="0" applyFont="1" applyFill="1" applyBorder="1" applyAlignment="1">
      <alignment horizontal="center" vertical="center"/>
    </xf>
    <xf numFmtId="0" fontId="3" fillId="7" borderId="3" xfId="0" applyFont="1" applyFill="1" applyBorder="1" applyAlignment="1">
      <alignment horizontal="center" vertical="center"/>
    </xf>
    <xf numFmtId="0" fontId="3" fillId="0" borderId="10" xfId="0" applyFont="1" applyBorder="1" applyAlignment="1">
      <alignment horizontal="left" vertical="center"/>
    </xf>
    <xf numFmtId="0" fontId="3" fillId="0" borderId="0" xfId="0" applyFont="1" applyBorder="1" applyAlignment="1">
      <alignment horizontal="left" vertical="center"/>
    </xf>
    <xf numFmtId="169" fontId="3" fillId="0" borderId="10" xfId="0" applyNumberFormat="1" applyFont="1" applyBorder="1" applyAlignment="1">
      <alignment horizontal="center" vertical="center"/>
    </xf>
    <xf numFmtId="169" fontId="3" fillId="0" borderId="11" xfId="0" applyNumberFormat="1" applyFont="1" applyBorder="1" applyAlignment="1">
      <alignment horizontal="center" vertical="center"/>
    </xf>
    <xf numFmtId="2" fontId="3" fillId="0" borderId="0" xfId="0" applyNumberFormat="1" applyFont="1" applyBorder="1" applyAlignment="1">
      <alignment horizontal="center" vertical="center"/>
    </xf>
    <xf numFmtId="0" fontId="3" fillId="0" borderId="13" xfId="0" applyFont="1" applyBorder="1" applyAlignment="1">
      <alignment horizontal="left" vertical="center"/>
    </xf>
    <xf numFmtId="0" fontId="3" fillId="0" borderId="14" xfId="0" applyFont="1" applyBorder="1" applyAlignment="1">
      <alignment horizontal="left" vertical="center"/>
    </xf>
    <xf numFmtId="0" fontId="3" fillId="0" borderId="15" xfId="0" applyFont="1" applyBorder="1" applyAlignment="1">
      <alignment horizontal="left" vertical="center"/>
    </xf>
    <xf numFmtId="169" fontId="3" fillId="0" borderId="13" xfId="0" applyNumberFormat="1" applyFont="1" applyBorder="1" applyAlignment="1">
      <alignment horizontal="center" vertical="center"/>
    </xf>
    <xf numFmtId="169" fontId="3" fillId="0" borderId="15" xfId="0" applyNumberFormat="1" applyFont="1" applyBorder="1" applyAlignment="1">
      <alignment horizontal="center" vertical="center"/>
    </xf>
    <xf numFmtId="169" fontId="3" fillId="0" borderId="6" xfId="0" applyNumberFormat="1" applyFont="1" applyBorder="1" applyAlignment="1">
      <alignment horizontal="center" vertical="center"/>
    </xf>
    <xf numFmtId="169" fontId="3" fillId="0" borderId="8" xfId="0" applyNumberFormat="1" applyFont="1" applyBorder="1" applyAlignment="1">
      <alignment horizontal="center" vertical="center"/>
    </xf>
    <xf numFmtId="0" fontId="3" fillId="0" borderId="1" xfId="0" applyFont="1" applyFill="1" applyBorder="1" applyAlignment="1">
      <alignment horizontal="left" vertical="center"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6" fillId="2" borderId="1"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2" borderId="8"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15" xfId="0" applyFont="1" applyFill="1" applyBorder="1" applyAlignment="1">
      <alignment horizontal="center" vertical="center"/>
    </xf>
    <xf numFmtId="0" fontId="11" fillId="2" borderId="13"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1" fillId="0" borderId="0" xfId="0" applyFont="1" applyFill="1" applyBorder="1" applyAlignment="1">
      <alignment horizontal="center" vertical="center" wrapText="1"/>
    </xf>
    <xf numFmtId="9" fontId="3" fillId="0" borderId="5" xfId="2" applyFont="1" applyBorder="1" applyAlignment="1">
      <alignment horizontal="center" vertical="center" wrapText="1"/>
    </xf>
    <xf numFmtId="9" fontId="3" fillId="0" borderId="9" xfId="2" applyFont="1" applyBorder="1" applyAlignment="1">
      <alignment horizontal="center" vertical="center" wrapText="1"/>
    </xf>
    <xf numFmtId="0" fontId="3" fillId="3" borderId="13" xfId="3" applyFont="1" applyFill="1" applyBorder="1" applyAlignment="1">
      <alignment horizontal="left" vertical="center"/>
    </xf>
    <xf numFmtId="0" fontId="3" fillId="3" borderId="14" xfId="3" applyFont="1" applyFill="1" applyBorder="1" applyAlignment="1">
      <alignment horizontal="left" vertical="center"/>
    </xf>
    <xf numFmtId="0" fontId="3" fillId="0" borderId="4" xfId="7" applyFont="1" applyFill="1" applyBorder="1" applyAlignment="1">
      <alignment horizontal="left" vertical="center" wrapText="1"/>
    </xf>
    <xf numFmtId="0" fontId="3" fillId="0" borderId="13" xfId="0" applyFont="1" applyBorder="1" applyAlignment="1">
      <alignment horizontal="justify" vertical="center" wrapText="1"/>
    </xf>
    <xf numFmtId="0" fontId="3" fillId="0" borderId="14" xfId="0" applyFont="1" applyBorder="1" applyAlignment="1">
      <alignment horizontal="justify" vertical="center" wrapText="1"/>
    </xf>
    <xf numFmtId="0" fontId="3" fillId="0" borderId="15" xfId="0" applyFont="1" applyBorder="1" applyAlignment="1">
      <alignment horizontal="justify" vertical="center" wrapText="1"/>
    </xf>
    <xf numFmtId="0" fontId="3" fillId="0" borderId="9" xfId="7" applyFont="1" applyFill="1" applyBorder="1" applyAlignment="1">
      <alignment horizontal="left" vertical="center" wrapText="1"/>
    </xf>
    <xf numFmtId="0" fontId="6" fillId="0" borderId="1" xfId="0" applyFont="1" applyBorder="1" applyAlignment="1">
      <alignment horizontal="left" vertical="center"/>
    </xf>
    <xf numFmtId="0" fontId="6" fillId="0" borderId="2" xfId="0" applyFont="1" applyBorder="1" applyAlignment="1">
      <alignment horizontal="left" vertical="center"/>
    </xf>
    <xf numFmtId="0" fontId="6" fillId="0" borderId="3" xfId="0" applyFont="1" applyBorder="1" applyAlignment="1">
      <alignment horizontal="left" vertical="center"/>
    </xf>
    <xf numFmtId="0" fontId="3" fillId="3" borderId="6" xfId="0" applyFont="1" applyFill="1" applyBorder="1" applyAlignment="1">
      <alignment horizontal="left" vertical="center"/>
    </xf>
    <xf numFmtId="0" fontId="3" fillId="3" borderId="7" xfId="0" applyFont="1" applyFill="1" applyBorder="1" applyAlignment="1">
      <alignment horizontal="left" vertical="center"/>
    </xf>
    <xf numFmtId="0" fontId="3" fillId="3" borderId="8" xfId="0" applyFont="1" applyFill="1" applyBorder="1" applyAlignment="1">
      <alignment horizontal="left" vertical="center"/>
    </xf>
    <xf numFmtId="0" fontId="3" fillId="0" borderId="5" xfId="3" applyFont="1" applyBorder="1" applyAlignment="1">
      <alignment horizontal="center" vertical="center" wrapText="1"/>
    </xf>
    <xf numFmtId="0" fontId="3" fillId="0" borderId="9" xfId="3" applyFont="1" applyBorder="1" applyAlignment="1">
      <alignment horizontal="center" vertical="center" wrapText="1"/>
    </xf>
    <xf numFmtId="0" fontId="3" fillId="3" borderId="6" xfId="3" applyFont="1" applyFill="1" applyBorder="1" applyAlignment="1">
      <alignment horizontal="left" vertical="center" wrapText="1"/>
    </xf>
    <xf numFmtId="0" fontId="3" fillId="3" borderId="7" xfId="3" applyFont="1" applyFill="1" applyBorder="1" applyAlignment="1">
      <alignment horizontal="left" vertical="center" wrapText="1"/>
    </xf>
    <xf numFmtId="0" fontId="3" fillId="3" borderId="8" xfId="3" applyFont="1" applyFill="1" applyBorder="1" applyAlignment="1">
      <alignment horizontal="left" vertical="center" wrapText="1"/>
    </xf>
    <xf numFmtId="2" fontId="3" fillId="0" borderId="5" xfId="0" applyNumberFormat="1" applyFont="1" applyBorder="1" applyAlignment="1">
      <alignment horizontal="center" vertical="center" wrapText="1"/>
    </xf>
    <xf numFmtId="2" fontId="3" fillId="0" borderId="9" xfId="0" applyNumberFormat="1" applyFont="1" applyBorder="1" applyAlignment="1">
      <alignment horizontal="center" vertical="center" wrapText="1"/>
    </xf>
    <xf numFmtId="2" fontId="3" fillId="0" borderId="5" xfId="0" applyNumberFormat="1" applyFont="1" applyBorder="1" applyAlignment="1">
      <alignment horizontal="center" vertical="center"/>
    </xf>
    <xf numFmtId="2" fontId="3" fillId="0" borderId="9" xfId="0" applyNumberFormat="1" applyFont="1" applyBorder="1" applyAlignment="1">
      <alignment horizontal="center" vertical="center"/>
    </xf>
    <xf numFmtId="9" fontId="3" fillId="0" borderId="5" xfId="2" applyFont="1" applyBorder="1" applyAlignment="1">
      <alignment horizontal="center" vertical="center"/>
    </xf>
    <xf numFmtId="9" fontId="3" fillId="0" borderId="9" xfId="2" applyFont="1" applyBorder="1" applyAlignment="1">
      <alignment horizontal="center" vertic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3" xfId="0" applyFont="1" applyBorder="1" applyAlignment="1">
      <alignment horizontal="left" vertical="center" wrapText="1"/>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6" fillId="3" borderId="1" xfId="0" applyFont="1" applyFill="1" applyBorder="1" applyAlignment="1">
      <alignment horizontal="left" vertical="center" wrapText="1"/>
    </xf>
    <xf numFmtId="0" fontId="6" fillId="3" borderId="2" xfId="0" applyFont="1" applyFill="1" applyBorder="1" applyAlignment="1">
      <alignment horizontal="left" vertical="center" wrapText="1"/>
    </xf>
    <xf numFmtId="0" fontId="6" fillId="3" borderId="3" xfId="0" applyFont="1" applyFill="1" applyBorder="1" applyAlignment="1">
      <alignment horizontal="left" vertical="center" wrapText="1"/>
    </xf>
    <xf numFmtId="0" fontId="6" fillId="0" borderId="1" xfId="0" applyFont="1" applyFill="1" applyBorder="1" applyAlignment="1">
      <alignment horizontal="left" vertical="center" wrapText="1"/>
    </xf>
    <xf numFmtId="0" fontId="6" fillId="0" borderId="2" xfId="0" applyFont="1" applyFill="1" applyBorder="1" applyAlignment="1">
      <alignment horizontal="left" vertical="center" wrapText="1"/>
    </xf>
    <xf numFmtId="0" fontId="6" fillId="0" borderId="3" xfId="0" applyFont="1" applyFill="1" applyBorder="1" applyAlignment="1">
      <alignment horizontal="left" vertical="center" wrapText="1"/>
    </xf>
    <xf numFmtId="0" fontId="6" fillId="3" borderId="5"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3" fillId="3" borderId="10" xfId="0" applyFont="1" applyFill="1" applyBorder="1" applyAlignment="1">
      <alignment horizontal="left" vertical="center"/>
    </xf>
    <xf numFmtId="0" fontId="3" fillId="3" borderId="0" xfId="0" applyFont="1" applyFill="1" applyBorder="1" applyAlignment="1">
      <alignment horizontal="left" vertical="center"/>
    </xf>
    <xf numFmtId="0" fontId="3" fillId="3" borderId="0" xfId="0" applyFont="1" applyFill="1" applyBorder="1" applyAlignment="1">
      <alignment horizontal="left" vertical="center" wrapText="1"/>
    </xf>
    <xf numFmtId="0" fontId="3" fillId="3" borderId="11" xfId="0" applyFont="1" applyFill="1" applyBorder="1" applyAlignment="1">
      <alignment horizontal="left" vertical="center" wrapText="1"/>
    </xf>
    <xf numFmtId="2" fontId="3" fillId="0" borderId="5" xfId="7" applyNumberFormat="1" applyFont="1" applyFill="1" applyBorder="1" applyAlignment="1">
      <alignment horizontal="center" vertical="center" wrapText="1"/>
    </xf>
    <xf numFmtId="2" fontId="3" fillId="0" borderId="12" xfId="7" applyNumberFormat="1" applyFont="1" applyFill="1" applyBorder="1" applyAlignment="1">
      <alignment horizontal="center" vertical="center" wrapText="1"/>
    </xf>
    <xf numFmtId="2" fontId="3" fillId="0" borderId="9" xfId="7" applyNumberFormat="1" applyFont="1" applyFill="1" applyBorder="1" applyAlignment="1">
      <alignment horizontal="center" vertical="center" wrapText="1"/>
    </xf>
    <xf numFmtId="9" fontId="3" fillId="0" borderId="5" xfId="2" applyFont="1" applyFill="1" applyBorder="1" applyAlignment="1">
      <alignment horizontal="center" vertical="center" wrapText="1"/>
    </xf>
    <xf numFmtId="9" fontId="3" fillId="0" borderId="12" xfId="2" applyFont="1" applyFill="1" applyBorder="1" applyAlignment="1">
      <alignment horizontal="center" vertical="center" wrapText="1"/>
    </xf>
    <xf numFmtId="9" fontId="3" fillId="0" borderId="9" xfId="2" applyFont="1" applyFill="1" applyBorder="1" applyAlignment="1">
      <alignment horizontal="center" vertical="center" wrapText="1"/>
    </xf>
    <xf numFmtId="0" fontId="3" fillId="3" borderId="10" xfId="0" applyFont="1" applyFill="1" applyBorder="1" applyAlignment="1">
      <alignment horizontal="left" vertical="center" wrapText="1"/>
    </xf>
    <xf numFmtId="0" fontId="3" fillId="3" borderId="13" xfId="0" applyFont="1" applyFill="1" applyBorder="1" applyAlignment="1">
      <alignment horizontal="left" vertical="center"/>
    </xf>
    <xf numFmtId="0" fontId="3" fillId="3" borderId="14" xfId="0" applyFont="1" applyFill="1" applyBorder="1" applyAlignment="1">
      <alignment horizontal="left" vertical="center"/>
    </xf>
    <xf numFmtId="0" fontId="3" fillId="7" borderId="10" xfId="0" applyFont="1" applyFill="1" applyBorder="1" applyAlignment="1">
      <alignment horizontal="left" vertical="center" wrapText="1"/>
    </xf>
    <xf numFmtId="0" fontId="3" fillId="7" borderId="0" xfId="0" applyFont="1" applyFill="1" applyBorder="1" applyAlignment="1">
      <alignment horizontal="left" vertical="center" wrapText="1"/>
    </xf>
    <xf numFmtId="0" fontId="3" fillId="3" borderId="11" xfId="0" applyFont="1" applyFill="1" applyBorder="1" applyAlignment="1">
      <alignment horizontal="left" vertical="center"/>
    </xf>
    <xf numFmtId="0" fontId="3" fillId="3" borderId="13" xfId="0" applyFont="1" applyFill="1" applyBorder="1" applyAlignment="1">
      <alignment horizontal="left" vertical="center" wrapText="1"/>
    </xf>
    <xf numFmtId="0" fontId="6" fillId="2" borderId="1" xfId="0" applyFont="1" applyFill="1" applyBorder="1" applyAlignment="1">
      <alignment vertical="center"/>
    </xf>
    <xf numFmtId="0" fontId="6" fillId="2" borderId="2" xfId="0" applyFont="1" applyFill="1" applyBorder="1" applyAlignment="1">
      <alignment vertical="center"/>
    </xf>
    <xf numFmtId="0" fontId="6" fillId="2" borderId="3" xfId="0" applyFont="1" applyFill="1" applyBorder="1" applyAlignment="1">
      <alignment vertical="center"/>
    </xf>
    <xf numFmtId="0" fontId="3" fillId="2" borderId="2" xfId="0" applyFont="1" applyFill="1" applyBorder="1" applyAlignment="1">
      <alignment vertical="center"/>
    </xf>
    <xf numFmtId="0" fontId="6" fillId="0" borderId="1" xfId="7" applyFont="1" applyFill="1" applyBorder="1" applyAlignment="1">
      <alignment horizontal="left" vertical="center" wrapText="1"/>
    </xf>
    <xf numFmtId="0" fontId="6" fillId="0" borderId="2" xfId="7" applyFont="1" applyFill="1" applyBorder="1" applyAlignment="1">
      <alignment horizontal="left" vertical="center" wrapText="1"/>
    </xf>
    <xf numFmtId="0" fontId="6" fillId="0" borderId="3" xfId="7" applyFont="1" applyFill="1" applyBorder="1" applyAlignment="1">
      <alignment horizontal="left" vertical="center" wrapText="1"/>
    </xf>
    <xf numFmtId="0" fontId="6" fillId="0" borderId="1" xfId="0" applyFont="1" applyFill="1" applyBorder="1" applyAlignment="1">
      <alignment horizontal="justify" vertical="center" wrapText="1"/>
    </xf>
    <xf numFmtId="0" fontId="6" fillId="0" borderId="2" xfId="0" applyFont="1" applyFill="1" applyBorder="1" applyAlignment="1">
      <alignment horizontal="justify" vertical="center" wrapText="1"/>
    </xf>
    <xf numFmtId="0" fontId="6" fillId="0" borderId="3" xfId="0" applyFont="1" applyFill="1" applyBorder="1" applyAlignment="1">
      <alignment horizontal="justify" vertical="center" wrapText="1"/>
    </xf>
    <xf numFmtId="0" fontId="6" fillId="3" borderId="6"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3" xfId="0" applyFont="1" applyFill="1" applyBorder="1" applyAlignment="1">
      <alignment horizontal="center" vertical="center" wrapText="1"/>
    </xf>
    <xf numFmtId="0" fontId="3" fillId="3" borderId="6" xfId="0" applyFont="1" applyFill="1" applyBorder="1" applyAlignment="1">
      <alignment horizontal="left" vertical="center" wrapText="1"/>
    </xf>
    <xf numFmtId="0" fontId="3" fillId="3" borderId="7" xfId="0" applyFont="1" applyFill="1" applyBorder="1" applyAlignment="1">
      <alignment horizontal="left" vertical="center" wrapText="1"/>
    </xf>
    <xf numFmtId="0" fontId="3" fillId="3" borderId="8" xfId="0" applyFont="1" applyFill="1" applyBorder="1" applyAlignment="1">
      <alignment horizontal="left" vertical="center" wrapText="1"/>
    </xf>
    <xf numFmtId="2" fontId="3" fillId="0" borderId="8" xfId="0" applyNumberFormat="1" applyFont="1" applyFill="1" applyBorder="1" applyAlignment="1">
      <alignment horizontal="center" vertical="center" wrapText="1"/>
    </xf>
    <xf numFmtId="2" fontId="3" fillId="0" borderId="11" xfId="0" applyNumberFormat="1" applyFont="1" applyFill="1" applyBorder="1" applyAlignment="1">
      <alignment horizontal="center" vertical="center" wrapText="1"/>
    </xf>
    <xf numFmtId="2" fontId="3" fillId="0" borderId="15" xfId="0" applyNumberFormat="1" applyFont="1" applyFill="1" applyBorder="1" applyAlignment="1">
      <alignment horizontal="center" vertical="center" wrapText="1"/>
    </xf>
    <xf numFmtId="0" fontId="18" fillId="0" borderId="1" xfId="0" applyFont="1" applyFill="1" applyBorder="1" applyAlignment="1">
      <alignment horizontal="left" vertical="center" wrapText="1"/>
    </xf>
    <xf numFmtId="0" fontId="18" fillId="0" borderId="2" xfId="0" applyFont="1" applyFill="1" applyBorder="1" applyAlignment="1">
      <alignment horizontal="left" vertical="center" wrapText="1"/>
    </xf>
    <xf numFmtId="0" fontId="18" fillId="0" borderId="3" xfId="0" applyFont="1" applyFill="1" applyBorder="1" applyAlignment="1">
      <alignment horizontal="left" vertical="center" wrapText="1"/>
    </xf>
    <xf numFmtId="0" fontId="18" fillId="0" borderId="4" xfId="0" applyFont="1" applyFill="1" applyBorder="1" applyAlignment="1">
      <alignment horizontal="center" vertical="center" wrapText="1"/>
    </xf>
    <xf numFmtId="0" fontId="6" fillId="2" borderId="1" xfId="4" applyFont="1" applyFill="1" applyBorder="1" applyAlignment="1">
      <alignment vertical="center"/>
    </xf>
    <xf numFmtId="0" fontId="6" fillId="2" borderId="2" xfId="4" applyFont="1" applyFill="1" applyBorder="1" applyAlignment="1">
      <alignment vertical="center"/>
    </xf>
    <xf numFmtId="0" fontId="6" fillId="2" borderId="3" xfId="4" applyFont="1" applyFill="1" applyBorder="1" applyAlignment="1">
      <alignment vertical="center"/>
    </xf>
    <xf numFmtId="0" fontId="3" fillId="0" borderId="1" xfId="4" applyFont="1" applyFill="1" applyBorder="1" applyAlignment="1">
      <alignment horizontal="left" vertical="center" wrapText="1"/>
    </xf>
    <xf numFmtId="0" fontId="3" fillId="0" borderId="2" xfId="4" applyFont="1" applyFill="1" applyBorder="1" applyAlignment="1">
      <alignment horizontal="left" vertical="center" wrapText="1"/>
    </xf>
    <xf numFmtId="0" fontId="3" fillId="0" borderId="3" xfId="4" applyFont="1" applyFill="1" applyBorder="1" applyAlignment="1">
      <alignment horizontal="left" vertical="center" wrapText="1"/>
    </xf>
    <xf numFmtId="0" fontId="6" fillId="2" borderId="1" xfId="4" applyFont="1" applyFill="1" applyBorder="1" applyAlignment="1">
      <alignment vertical="center" wrapText="1"/>
    </xf>
    <xf numFmtId="0" fontId="6" fillId="2" borderId="7" xfId="4" applyFont="1" applyFill="1" applyBorder="1" applyAlignment="1">
      <alignment vertical="center" wrapText="1"/>
    </xf>
    <xf numFmtId="0" fontId="6" fillId="2" borderId="8" xfId="4" applyFont="1" applyFill="1" applyBorder="1" applyAlignment="1">
      <alignment vertical="center" wrapText="1"/>
    </xf>
    <xf numFmtId="0" fontId="6" fillId="0" borderId="6" xfId="0" applyFont="1" applyBorder="1" applyAlignment="1">
      <alignment horizontal="center" vertical="center" wrapText="1"/>
    </xf>
    <xf numFmtId="0" fontId="6" fillId="0" borderId="13" xfId="0" applyFont="1" applyBorder="1" applyAlignment="1">
      <alignment horizontal="center" vertical="center" wrapText="1"/>
    </xf>
    <xf numFmtId="0" fontId="3" fillId="0" borderId="6" xfId="4" applyFont="1" applyFill="1" applyBorder="1" applyAlignment="1">
      <alignment horizontal="left" vertical="center" wrapText="1"/>
    </xf>
    <xf numFmtId="0" fontId="3" fillId="0" borderId="7" xfId="4" applyFont="1" applyFill="1" applyBorder="1" applyAlignment="1">
      <alignment horizontal="left" vertical="center" wrapText="1"/>
    </xf>
    <xf numFmtId="0" fontId="3" fillId="0" borderId="8" xfId="4" applyFont="1" applyFill="1" applyBorder="1" applyAlignment="1">
      <alignment horizontal="left" vertical="center" wrapText="1"/>
    </xf>
    <xf numFmtId="166" fontId="3" fillId="0" borderId="5" xfId="4" applyNumberFormat="1" applyFont="1" applyBorder="1" applyAlignment="1">
      <alignment horizontal="center" vertical="center" wrapText="1"/>
    </xf>
    <xf numFmtId="166" fontId="3" fillId="0" borderId="9" xfId="4" applyNumberFormat="1" applyFont="1" applyBorder="1" applyAlignment="1">
      <alignment horizontal="center" vertical="center" wrapText="1"/>
    </xf>
    <xf numFmtId="0" fontId="3" fillId="0" borderId="13" xfId="4" applyFont="1" applyFill="1" applyBorder="1" applyAlignment="1">
      <alignment horizontal="left" vertical="center" wrapText="1"/>
    </xf>
    <xf numFmtId="0" fontId="3" fillId="0" borderId="14" xfId="4" applyFont="1" applyFill="1" applyBorder="1" applyAlignment="1">
      <alignment horizontal="left" vertical="center" wrapText="1"/>
    </xf>
    <xf numFmtId="0" fontId="3" fillId="0" borderId="15" xfId="4" applyFont="1" applyFill="1" applyBorder="1" applyAlignment="1">
      <alignment horizontal="left" vertical="center" wrapText="1"/>
    </xf>
    <xf numFmtId="0" fontId="3" fillId="0" borderId="6" xfId="0" applyFont="1" applyFill="1" applyBorder="1" applyAlignment="1">
      <alignment horizontal="left" vertical="center"/>
    </xf>
    <xf numFmtId="0" fontId="3" fillId="0" borderId="7" xfId="0" applyFont="1" applyFill="1" applyBorder="1" applyAlignment="1">
      <alignment horizontal="left" vertical="center"/>
    </xf>
    <xf numFmtId="0" fontId="3" fillId="0" borderId="7" xfId="0" applyFont="1" applyFill="1" applyBorder="1" applyAlignment="1">
      <alignment horizontal="left" vertical="center" wrapText="1"/>
    </xf>
    <xf numFmtId="4" fontId="3" fillId="0" borderId="8" xfId="7" applyNumberFormat="1" applyFont="1" applyFill="1" applyBorder="1" applyAlignment="1">
      <alignment horizontal="center" vertical="center" wrapText="1"/>
    </xf>
    <xf numFmtId="4" fontId="3" fillId="0" borderId="11" xfId="7" applyNumberFormat="1" applyFont="1" applyFill="1" applyBorder="1" applyAlignment="1">
      <alignment horizontal="center" vertical="center" wrapText="1"/>
    </xf>
    <xf numFmtId="4" fontId="3" fillId="0" borderId="15" xfId="7" applyNumberFormat="1" applyFont="1" applyFill="1" applyBorder="1" applyAlignment="1">
      <alignment horizontal="center" vertical="center" wrapText="1"/>
    </xf>
    <xf numFmtId="0" fontId="3" fillId="7" borderId="10" xfId="7" applyFont="1" applyFill="1" applyBorder="1" applyAlignment="1">
      <alignment horizontal="left" vertical="center" wrapText="1"/>
    </xf>
    <xf numFmtId="0" fontId="3" fillId="7" borderId="0" xfId="7" applyFont="1" applyFill="1" applyBorder="1" applyAlignment="1">
      <alignment horizontal="left" vertical="center" wrapText="1"/>
    </xf>
    <xf numFmtId="0" fontId="3" fillId="0" borderId="0" xfId="0" applyFont="1" applyFill="1" applyBorder="1" applyAlignment="1">
      <alignment horizontal="left" vertical="center" wrapText="1"/>
    </xf>
    <xf numFmtId="0" fontId="3" fillId="3" borderId="1" xfId="0" applyFont="1" applyFill="1" applyBorder="1" applyAlignment="1">
      <alignment horizontal="left" vertical="center" wrapText="1"/>
    </xf>
    <xf numFmtId="0" fontId="3" fillId="3" borderId="2" xfId="0" applyFont="1" applyFill="1" applyBorder="1" applyAlignment="1">
      <alignment horizontal="left" vertical="center" wrapText="1"/>
    </xf>
    <xf numFmtId="0" fontId="3" fillId="3" borderId="3" xfId="0" applyFont="1" applyFill="1" applyBorder="1" applyAlignment="1">
      <alignment horizontal="left" vertical="center" wrapText="1"/>
    </xf>
    <xf numFmtId="0" fontId="3" fillId="7" borderId="6" xfId="7" applyFont="1" applyFill="1" applyBorder="1" applyAlignment="1">
      <alignment horizontal="left" vertical="center" wrapText="1"/>
    </xf>
    <xf numFmtId="0" fontId="3" fillId="7" borderId="7" xfId="7" applyFont="1" applyFill="1" applyBorder="1" applyAlignment="1">
      <alignment horizontal="left" vertical="center" wrapText="1"/>
    </xf>
    <xf numFmtId="0" fontId="3" fillId="0" borderId="11" xfId="0" applyFont="1" applyFill="1" applyBorder="1" applyAlignment="1">
      <alignment horizontal="left" vertical="center" wrapText="1"/>
    </xf>
    <xf numFmtId="0" fontId="3" fillId="0" borderId="10" xfId="0" applyFont="1" applyFill="1" applyBorder="1" applyAlignment="1">
      <alignment vertical="center" wrapText="1"/>
    </xf>
    <xf numFmtId="0" fontId="3" fillId="0" borderId="0" xfId="0" applyFont="1" applyFill="1" applyBorder="1" applyAlignment="1">
      <alignment vertical="center" wrapText="1"/>
    </xf>
    <xf numFmtId="0" fontId="20" fillId="0" borderId="0" xfId="0" applyFont="1" applyFill="1" applyBorder="1" applyAlignment="1">
      <alignment horizontal="left" vertical="center"/>
    </xf>
    <xf numFmtId="0" fontId="3" fillId="0" borderId="13" xfId="0" applyFont="1" applyFill="1" applyBorder="1" applyAlignment="1">
      <alignment vertical="center" wrapText="1"/>
    </xf>
    <xf numFmtId="0" fontId="3" fillId="0" borderId="14" xfId="0" applyFont="1" applyFill="1" applyBorder="1" applyAlignment="1">
      <alignment vertical="center" wrapText="1"/>
    </xf>
    <xf numFmtId="0" fontId="3" fillId="0" borderId="14" xfId="0" applyFont="1" applyFill="1" applyBorder="1" applyAlignment="1">
      <alignment horizontal="left" vertical="center" wrapText="1"/>
    </xf>
    <xf numFmtId="0" fontId="3" fillId="0" borderId="15" xfId="0" applyFont="1" applyFill="1" applyBorder="1" applyAlignment="1">
      <alignment horizontal="left" vertical="center" wrapText="1"/>
    </xf>
    <xf numFmtId="0" fontId="3" fillId="0" borderId="1" xfId="5" applyFont="1" applyBorder="1" applyAlignment="1">
      <alignment horizontal="left" vertical="center" wrapText="1"/>
    </xf>
    <xf numFmtId="0" fontId="3" fillId="0" borderId="2" xfId="5" applyFont="1" applyBorder="1" applyAlignment="1">
      <alignment horizontal="left" vertical="center" wrapText="1"/>
    </xf>
    <xf numFmtId="0" fontId="3" fillId="0" borderId="3" xfId="5" applyFont="1" applyBorder="1" applyAlignment="1">
      <alignment horizontal="left" vertical="center" wrapText="1"/>
    </xf>
    <xf numFmtId="0" fontId="6" fillId="0" borderId="10" xfId="0" applyFont="1" applyBorder="1" applyAlignment="1">
      <alignment horizontal="center" vertical="center" wrapText="1"/>
    </xf>
    <xf numFmtId="0" fontId="3" fillId="0" borderId="6" xfId="0" applyFont="1" applyFill="1" applyBorder="1" applyAlignment="1">
      <alignment vertical="center" wrapText="1"/>
    </xf>
    <xf numFmtId="0" fontId="3" fillId="0" borderId="7" xfId="0" applyFont="1" applyFill="1" applyBorder="1" applyAlignment="1">
      <alignment vertical="center" wrapText="1"/>
    </xf>
    <xf numFmtId="4" fontId="3" fillId="0" borderId="8" xfId="0" applyNumberFormat="1" applyFont="1" applyBorder="1" applyAlignment="1">
      <alignment horizontal="center" vertical="center" wrapText="1"/>
    </xf>
    <xf numFmtId="4" fontId="3" fillId="0" borderId="11" xfId="0" applyNumberFormat="1" applyFont="1" applyBorder="1" applyAlignment="1">
      <alignment horizontal="center" vertical="center" wrapText="1"/>
    </xf>
    <xf numFmtId="4" fontId="3" fillId="0" borderId="15" xfId="0" applyNumberFormat="1" applyFont="1" applyBorder="1" applyAlignment="1">
      <alignment horizontal="center" vertical="center" wrapText="1"/>
    </xf>
    <xf numFmtId="9" fontId="3" fillId="0" borderId="12" xfId="2" applyFont="1" applyBorder="1" applyAlignment="1">
      <alignment horizontal="center" vertical="center" wrapText="1"/>
    </xf>
    <xf numFmtId="0" fontId="3" fillId="0" borderId="10" xfId="0" applyFont="1" applyFill="1" applyBorder="1" applyAlignment="1">
      <alignment horizontal="left" vertical="center" wrapText="1"/>
    </xf>
    <xf numFmtId="0" fontId="6" fillId="0" borderId="5" xfId="0" applyFont="1" applyBorder="1" applyAlignment="1">
      <alignment horizontal="center" vertical="center" wrapText="1"/>
    </xf>
    <xf numFmtId="0" fontId="6" fillId="0" borderId="9" xfId="0" applyFont="1" applyBorder="1" applyAlignment="1">
      <alignment horizontal="center" vertical="center" wrapText="1"/>
    </xf>
    <xf numFmtId="0" fontId="6" fillId="0" borderId="4" xfId="0" applyFont="1" applyBorder="1" applyAlignment="1">
      <alignment horizontal="center" vertical="center" wrapText="1"/>
    </xf>
    <xf numFmtId="0" fontId="3" fillId="0" borderId="4" xfId="0" applyFont="1" applyBorder="1" applyAlignment="1">
      <alignment horizontal="left" vertical="center" wrapText="1"/>
    </xf>
    <xf numFmtId="0" fontId="3" fillId="0" borderId="4" xfId="0" applyFont="1" applyBorder="1" applyAlignment="1">
      <alignment horizontal="left" vertical="center"/>
    </xf>
    <xf numFmtId="0" fontId="6" fillId="0" borderId="12" xfId="0" applyFont="1" applyBorder="1" applyAlignment="1">
      <alignment horizontal="center" vertical="center"/>
    </xf>
    <xf numFmtId="0" fontId="6" fillId="0" borderId="9" xfId="0" applyFont="1" applyBorder="1" applyAlignment="1">
      <alignment horizontal="center" vertical="center"/>
    </xf>
    <xf numFmtId="0" fontId="6" fillId="3" borderId="1" xfId="0" applyFont="1" applyFill="1" applyBorder="1" applyAlignment="1">
      <alignment horizontal="left" vertical="center"/>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3" fillId="0" borderId="1" xfId="0" applyFont="1" applyBorder="1" applyAlignment="1">
      <alignment horizontal="left"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6" fillId="3" borderId="1" xfId="0" applyFont="1" applyFill="1" applyBorder="1" applyAlignment="1">
      <alignment vertical="center"/>
    </xf>
    <xf numFmtId="0" fontId="6" fillId="3" borderId="2" xfId="0" applyFont="1" applyFill="1" applyBorder="1" applyAlignment="1">
      <alignment vertical="center"/>
    </xf>
    <xf numFmtId="0" fontId="6" fillId="3" borderId="3" xfId="0" applyFont="1" applyFill="1" applyBorder="1" applyAlignment="1">
      <alignment vertical="center"/>
    </xf>
    <xf numFmtId="0" fontId="3" fillId="0" borderId="4" xfId="0" applyFont="1" applyFill="1" applyBorder="1" applyAlignment="1">
      <alignment horizontal="left" vertical="center" wrapText="1"/>
    </xf>
    <xf numFmtId="0" fontId="3" fillId="0" borderId="4" xfId="0" applyFont="1" applyFill="1" applyBorder="1" applyAlignment="1">
      <alignment horizontal="left" vertical="center"/>
    </xf>
    <xf numFmtId="0" fontId="3" fillId="3" borderId="4" xfId="0" applyFont="1" applyFill="1" applyBorder="1" applyAlignment="1">
      <alignment horizontal="left" vertical="center" wrapText="1"/>
    </xf>
    <xf numFmtId="0" fontId="3" fillId="3" borderId="4" xfId="0" applyFont="1" applyFill="1" applyBorder="1" applyAlignment="1">
      <alignment horizontal="left" vertical="center"/>
    </xf>
    <xf numFmtId="0" fontId="3" fillId="3" borderId="1" xfId="7" applyFont="1" applyFill="1" applyBorder="1" applyAlignment="1">
      <alignment horizontal="left" vertical="center" wrapText="1"/>
    </xf>
    <xf numFmtId="0" fontId="3" fillId="3" borderId="2" xfId="7" applyFont="1" applyFill="1" applyBorder="1" applyAlignment="1">
      <alignment horizontal="left" vertical="center" wrapText="1"/>
    </xf>
    <xf numFmtId="0" fontId="3" fillId="3" borderId="3" xfId="7" applyFont="1" applyFill="1" applyBorder="1" applyAlignment="1">
      <alignment horizontal="left" vertical="center" wrapText="1"/>
    </xf>
    <xf numFmtId="0" fontId="6" fillId="12" borderId="4" xfId="0" applyFont="1" applyFill="1" applyBorder="1" applyAlignment="1">
      <alignment horizontal="left" vertical="center" wrapText="1"/>
    </xf>
    <xf numFmtId="9" fontId="3" fillId="0" borderId="5" xfId="2" applyFont="1" applyFill="1" applyBorder="1" applyAlignment="1" applyProtection="1">
      <alignment horizontal="center" vertical="center" wrapText="1"/>
      <protection hidden="1"/>
    </xf>
    <xf numFmtId="9" fontId="3" fillId="0" borderId="12" xfId="2" applyFont="1" applyFill="1" applyBorder="1" applyAlignment="1" applyProtection="1">
      <alignment horizontal="center" vertical="center" wrapText="1"/>
      <protection hidden="1"/>
    </xf>
    <xf numFmtId="0" fontId="6" fillId="0" borderId="1" xfId="7" applyFont="1" applyBorder="1" applyAlignment="1">
      <alignment horizontal="left" vertical="center" wrapText="1"/>
    </xf>
    <xf numFmtId="0" fontId="6" fillId="0" borderId="2" xfId="7" applyFont="1" applyBorder="1" applyAlignment="1">
      <alignment horizontal="left" vertical="center" wrapText="1"/>
    </xf>
    <xf numFmtId="0" fontId="6" fillId="0" borderId="3" xfId="7" applyFont="1" applyBorder="1" applyAlignment="1">
      <alignment horizontal="left" vertical="center" wrapText="1"/>
    </xf>
    <xf numFmtId="0" fontId="3" fillId="3" borderId="1" xfId="7" applyFont="1" applyFill="1" applyBorder="1" applyAlignment="1" applyProtection="1">
      <alignment horizontal="left" vertical="center" wrapText="1"/>
      <protection hidden="1"/>
    </xf>
    <xf numFmtId="0" fontId="3" fillId="3" borderId="2" xfId="7" applyFont="1" applyFill="1" applyBorder="1" applyAlignment="1" applyProtection="1">
      <alignment horizontal="left" vertical="center" wrapText="1"/>
      <protection hidden="1"/>
    </xf>
    <xf numFmtId="0" fontId="3" fillId="3" borderId="3" xfId="7" applyFont="1" applyFill="1" applyBorder="1" applyAlignment="1" applyProtection="1">
      <alignment horizontal="left" vertical="center" wrapText="1"/>
      <protection hidden="1"/>
    </xf>
    <xf numFmtId="0" fontId="3" fillId="0" borderId="5" xfId="7" applyFont="1" applyFill="1" applyBorder="1" applyAlignment="1" applyProtection="1">
      <alignment horizontal="center" vertical="center" wrapText="1"/>
      <protection hidden="1"/>
    </xf>
    <xf numFmtId="0" fontId="3" fillId="0" borderId="12" xfId="7" applyFont="1" applyFill="1" applyBorder="1" applyAlignment="1" applyProtection="1">
      <alignment horizontal="center" vertical="center" wrapText="1"/>
      <protection hidden="1"/>
    </xf>
    <xf numFmtId="0" fontId="6" fillId="3" borderId="5" xfId="7" applyFont="1" applyFill="1" applyBorder="1" applyAlignment="1">
      <alignment horizontal="center" vertical="center" wrapText="1"/>
    </xf>
    <xf numFmtId="0" fontId="6" fillId="3" borderId="12" xfId="7" applyFont="1" applyFill="1" applyBorder="1" applyAlignment="1">
      <alignment horizontal="center" vertical="center" wrapText="1"/>
    </xf>
    <xf numFmtId="4" fontId="3" fillId="0" borderId="5" xfId="7" applyNumberFormat="1" applyFont="1" applyFill="1" applyBorder="1" applyAlignment="1">
      <alignment horizontal="center" vertical="center" wrapText="1"/>
    </xf>
    <xf numFmtId="4" fontId="3" fillId="0" borderId="12" xfId="7" applyNumberFormat="1" applyFont="1" applyFill="1" applyBorder="1" applyAlignment="1">
      <alignment horizontal="center" vertical="center" wrapText="1"/>
    </xf>
    <xf numFmtId="4" fontId="3" fillId="0" borderId="9" xfId="7" applyNumberFormat="1" applyFont="1" applyFill="1" applyBorder="1" applyAlignment="1">
      <alignment horizontal="center" vertical="center" wrapText="1"/>
    </xf>
    <xf numFmtId="0" fontId="3" fillId="0" borderId="4" xfId="7" applyFont="1" applyBorder="1" applyAlignment="1">
      <alignment horizontal="left" vertical="center" wrapText="1"/>
    </xf>
    <xf numFmtId="0" fontId="6" fillId="2" borderId="1" xfId="7" applyFont="1" applyFill="1" applyBorder="1" applyAlignment="1">
      <alignment horizontal="left" vertical="center" wrapText="1"/>
    </xf>
    <xf numFmtId="0" fontId="6" fillId="2" borderId="2" xfId="7" applyFont="1" applyFill="1" applyBorder="1" applyAlignment="1">
      <alignment horizontal="left" vertical="center" wrapText="1"/>
    </xf>
    <xf numFmtId="0" fontId="3" fillId="0" borderId="1" xfId="7" applyFont="1" applyFill="1" applyBorder="1" applyAlignment="1">
      <alignment horizontal="justify" vertical="center" wrapText="1"/>
    </xf>
    <xf numFmtId="0" fontId="3" fillId="0" borderId="2" xfId="7" applyFont="1" applyFill="1" applyBorder="1" applyAlignment="1">
      <alignment horizontal="justify" vertical="center" wrapText="1"/>
    </xf>
    <xf numFmtId="0" fontId="3" fillId="0" borderId="3" xfId="7" applyFont="1" applyFill="1" applyBorder="1" applyAlignment="1">
      <alignment horizontal="justify" vertical="center" wrapText="1"/>
    </xf>
    <xf numFmtId="9" fontId="3" fillId="0" borderId="4" xfId="2" applyFont="1" applyFill="1" applyBorder="1" applyAlignment="1">
      <alignment horizontal="center" vertical="center" wrapText="1"/>
    </xf>
    <xf numFmtId="4" fontId="3" fillId="0" borderId="4" xfId="7" applyNumberFormat="1" applyFont="1" applyFill="1" applyBorder="1" applyAlignment="1">
      <alignment horizontal="center" vertical="center" wrapText="1"/>
    </xf>
    <xf numFmtId="0" fontId="3" fillId="3" borderId="13" xfId="7" applyFont="1" applyFill="1" applyBorder="1" applyAlignment="1">
      <alignment horizontal="left" vertical="center" wrapText="1"/>
    </xf>
    <xf numFmtId="0" fontId="3" fillId="3" borderId="14" xfId="7" applyFont="1" applyFill="1" applyBorder="1" applyAlignment="1">
      <alignment horizontal="left" vertical="center" wrapText="1"/>
    </xf>
    <xf numFmtId="0" fontId="3" fillId="3" borderId="15" xfId="7" applyFont="1" applyFill="1" applyBorder="1" applyAlignment="1">
      <alignment horizontal="left" vertical="center" wrapText="1"/>
    </xf>
    <xf numFmtId="0" fontId="3" fillId="3" borderId="1" xfId="7" applyFont="1" applyFill="1" applyBorder="1" applyAlignment="1" applyProtection="1">
      <alignment vertical="center" wrapText="1"/>
      <protection hidden="1"/>
    </xf>
    <xf numFmtId="0" fontId="3" fillId="3" borderId="2" xfId="7" applyFont="1" applyFill="1" applyBorder="1" applyAlignment="1" applyProtection="1">
      <alignment vertical="center" wrapText="1"/>
      <protection hidden="1"/>
    </xf>
    <xf numFmtId="0" fontId="6" fillId="3" borderId="9" xfId="7" applyFont="1" applyFill="1" applyBorder="1" applyAlignment="1">
      <alignment horizontal="center" vertical="center" wrapText="1"/>
    </xf>
    <xf numFmtId="0" fontId="3" fillId="3" borderId="6" xfId="7" applyFont="1" applyFill="1" applyBorder="1" applyAlignment="1">
      <alignment horizontal="left" vertical="center" wrapText="1"/>
    </xf>
    <xf numFmtId="0" fontId="3" fillId="3" borderId="7" xfId="7" applyFont="1" applyFill="1" applyBorder="1" applyAlignment="1">
      <alignment horizontal="left" vertical="center" wrapText="1"/>
    </xf>
    <xf numFmtId="0" fontId="3" fillId="3" borderId="8" xfId="7" applyFont="1" applyFill="1" applyBorder="1" applyAlignment="1">
      <alignment horizontal="left" vertical="center" wrapText="1"/>
    </xf>
    <xf numFmtId="0" fontId="3" fillId="0" borderId="1" xfId="7" applyFont="1" applyBorder="1" applyAlignment="1">
      <alignment horizontal="left" vertical="center" wrapText="1"/>
    </xf>
    <xf numFmtId="0" fontId="3" fillId="0" borderId="2" xfId="7" applyFont="1" applyBorder="1" applyAlignment="1">
      <alignment horizontal="left" vertical="center" wrapText="1"/>
    </xf>
    <xf numFmtId="0" fontId="3" fillId="0" borderId="1" xfId="7" applyFont="1" applyFill="1" applyBorder="1" applyAlignment="1">
      <alignment horizontal="left" vertical="center" wrapText="1"/>
    </xf>
    <xf numFmtId="0" fontId="3" fillId="0" borderId="2" xfId="7" applyFont="1" applyFill="1" applyBorder="1" applyAlignment="1">
      <alignment horizontal="left" vertical="center" wrapText="1"/>
    </xf>
    <xf numFmtId="0" fontId="3" fillId="0" borderId="3" xfId="7" applyFont="1" applyFill="1" applyBorder="1" applyAlignment="1">
      <alignment horizontal="left" vertical="center" wrapText="1"/>
    </xf>
    <xf numFmtId="0" fontId="3" fillId="0" borderId="0" xfId="0" applyFont="1" applyFill="1" applyBorder="1" applyAlignment="1">
      <alignment horizontal="left" vertical="center"/>
    </xf>
    <xf numFmtId="0" fontId="6" fillId="0" borderId="12" xfId="0" applyFont="1" applyBorder="1" applyAlignment="1">
      <alignment horizontal="center" vertical="center" wrapText="1"/>
    </xf>
    <xf numFmtId="4" fontId="3" fillId="0" borderId="5" xfId="0" applyNumberFormat="1" applyFont="1" applyBorder="1" applyAlignment="1">
      <alignment horizontal="center" vertical="center" wrapText="1"/>
    </xf>
    <xf numFmtId="4" fontId="3" fillId="0" borderId="12" xfId="0" applyNumberFormat="1" applyFont="1" applyBorder="1" applyAlignment="1">
      <alignment horizontal="center" vertical="center" wrapText="1"/>
    </xf>
    <xf numFmtId="4" fontId="3" fillId="0" borderId="9" xfId="0" applyNumberFormat="1" applyFont="1" applyBorder="1" applyAlignment="1">
      <alignment horizontal="center" vertical="center" wrapText="1"/>
    </xf>
    <xf numFmtId="0" fontId="18" fillId="0" borderId="1" xfId="0" applyFont="1" applyBorder="1" applyAlignment="1">
      <alignment horizontal="left" vertical="center"/>
    </xf>
    <xf numFmtId="0" fontId="18" fillId="0" borderId="2" xfId="0" applyFont="1" applyBorder="1" applyAlignment="1">
      <alignment horizontal="left" vertical="center"/>
    </xf>
    <xf numFmtId="0" fontId="18" fillId="0" borderId="3" xfId="0" applyFont="1" applyBorder="1" applyAlignment="1">
      <alignment horizontal="left" vertical="center"/>
    </xf>
    <xf numFmtId="0" fontId="3" fillId="0" borderId="13" xfId="0" applyFont="1" applyFill="1" applyBorder="1" applyAlignment="1">
      <alignment horizontal="left" vertical="center" wrapText="1"/>
    </xf>
    <xf numFmtId="0" fontId="3" fillId="0" borderId="0" xfId="0" applyFont="1" applyBorder="1" applyAlignment="1">
      <alignment horizontal="center" vertical="center"/>
    </xf>
    <xf numFmtId="0" fontId="3" fillId="0" borderId="11" xfId="0" applyFont="1" applyBorder="1" applyAlignment="1">
      <alignment horizontal="center" vertical="center"/>
    </xf>
    <xf numFmtId="0" fontId="3" fillId="0" borderId="13" xfId="0" applyFont="1" applyBorder="1" applyAlignment="1">
      <alignment horizontal="left" vertical="center" wrapText="1"/>
    </xf>
    <xf numFmtId="0" fontId="6" fillId="0" borderId="6" xfId="0" applyFont="1" applyFill="1" applyBorder="1" applyAlignment="1">
      <alignment horizontal="center" vertical="center" wrapText="1"/>
    </xf>
    <xf numFmtId="0" fontId="6" fillId="0" borderId="10"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3" fillId="3" borderId="6" xfId="0" applyNumberFormat="1" applyFont="1" applyFill="1" applyBorder="1" applyAlignment="1">
      <alignment horizontal="left" vertical="center" wrapText="1"/>
    </xf>
    <xf numFmtId="0" fontId="3" fillId="3" borderId="7" xfId="0" applyNumberFormat="1" applyFont="1" applyFill="1" applyBorder="1" applyAlignment="1">
      <alignment horizontal="left" vertical="center" wrapText="1"/>
    </xf>
    <xf numFmtId="0" fontId="3" fillId="0" borderId="8" xfId="0" applyFont="1" applyFill="1" applyBorder="1" applyAlignment="1">
      <alignment horizontal="left" vertical="center" wrapText="1"/>
    </xf>
    <xf numFmtId="4" fontId="3" fillId="0" borderId="8" xfId="0" applyNumberFormat="1" applyFont="1" applyFill="1" applyBorder="1" applyAlignment="1">
      <alignment horizontal="center" vertical="center" wrapText="1"/>
    </xf>
    <xf numFmtId="4" fontId="3" fillId="0" borderId="11" xfId="0" applyNumberFormat="1" applyFont="1" applyFill="1" applyBorder="1" applyAlignment="1">
      <alignment horizontal="center" vertical="center" wrapText="1"/>
    </xf>
    <xf numFmtId="4" fontId="3" fillId="0" borderId="15" xfId="0" applyNumberFormat="1" applyFont="1" applyFill="1" applyBorder="1" applyAlignment="1">
      <alignment horizontal="center" vertical="center" wrapText="1"/>
    </xf>
    <xf numFmtId="0" fontId="3" fillId="0" borderId="6" xfId="0" applyFont="1" applyBorder="1" applyAlignment="1">
      <alignment horizontal="left" vertical="center" wrapText="1"/>
    </xf>
    <xf numFmtId="0" fontId="3" fillId="0" borderId="7" xfId="0" applyFont="1" applyBorder="1" applyAlignment="1">
      <alignment horizontal="left" vertical="center" wrapText="1"/>
    </xf>
    <xf numFmtId="0" fontId="3" fillId="0" borderId="8" xfId="0" applyFont="1" applyBorder="1" applyAlignment="1">
      <alignment horizontal="left" vertical="center" wrapText="1"/>
    </xf>
    <xf numFmtId="0" fontId="3" fillId="0" borderId="0" xfId="0" applyFont="1" applyBorder="1" applyAlignment="1">
      <alignment horizontal="left" vertical="center" wrapText="1"/>
    </xf>
    <xf numFmtId="0" fontId="3" fillId="0" borderId="10" xfId="0" applyFont="1" applyBorder="1" applyAlignment="1">
      <alignment horizontal="left" vertical="center" wrapText="1"/>
    </xf>
    <xf numFmtId="0" fontId="3" fillId="0" borderId="11" xfId="0" applyFont="1" applyBorder="1" applyAlignment="1">
      <alignment horizontal="left" vertical="center" wrapText="1"/>
    </xf>
    <xf numFmtId="0" fontId="6" fillId="12" borderId="1" xfId="0" applyFont="1" applyFill="1" applyBorder="1" applyAlignment="1">
      <alignment horizontal="left" vertical="center" wrapText="1"/>
    </xf>
    <xf numFmtId="0" fontId="6" fillId="12" borderId="2" xfId="0" applyFont="1" applyFill="1" applyBorder="1" applyAlignment="1">
      <alignment horizontal="left" vertical="center" wrapText="1"/>
    </xf>
    <xf numFmtId="0" fontId="6" fillId="12" borderId="3" xfId="0" applyFont="1" applyFill="1" applyBorder="1" applyAlignment="1">
      <alignment horizontal="left" vertical="center" wrapText="1"/>
    </xf>
    <xf numFmtId="2" fontId="3" fillId="3" borderId="5" xfId="0" applyNumberFormat="1" applyFont="1" applyFill="1" applyBorder="1" applyAlignment="1">
      <alignment horizontal="center" vertical="center"/>
    </xf>
    <xf numFmtId="2" fontId="3" fillId="3" borderId="12" xfId="0" applyNumberFormat="1" applyFont="1" applyFill="1" applyBorder="1" applyAlignment="1">
      <alignment horizontal="center" vertical="center"/>
    </xf>
    <xf numFmtId="2" fontId="3" fillId="3" borderId="9" xfId="0" applyNumberFormat="1" applyFont="1" applyFill="1" applyBorder="1" applyAlignment="1">
      <alignment horizontal="center" vertical="center"/>
    </xf>
    <xf numFmtId="9" fontId="3" fillId="3" borderId="5" xfId="2" applyFont="1" applyFill="1" applyBorder="1" applyAlignment="1">
      <alignment horizontal="center" vertical="center"/>
    </xf>
    <xf numFmtId="9" fontId="3" fillId="3" borderId="12" xfId="2" applyFont="1" applyFill="1" applyBorder="1" applyAlignment="1">
      <alignment horizontal="center" vertical="center"/>
    </xf>
    <xf numFmtId="9" fontId="3" fillId="3" borderId="9" xfId="2" applyFont="1" applyFill="1" applyBorder="1" applyAlignment="1">
      <alignment horizontal="center" vertical="center"/>
    </xf>
    <xf numFmtId="0" fontId="3" fillId="3" borderId="10" xfId="0" applyFont="1" applyFill="1" applyBorder="1" applyAlignment="1" applyProtection="1">
      <alignment horizontal="left" vertical="center" wrapText="1"/>
      <protection hidden="1"/>
    </xf>
    <xf numFmtId="0" fontId="3" fillId="3" borderId="0" xfId="0" applyFont="1" applyFill="1" applyBorder="1" applyAlignment="1" applyProtection="1">
      <alignment horizontal="left" vertical="center" wrapText="1"/>
      <protection hidden="1"/>
    </xf>
    <xf numFmtId="0" fontId="3" fillId="3" borderId="11" xfId="0" applyFont="1" applyFill="1" applyBorder="1" applyAlignment="1" applyProtection="1">
      <alignment horizontal="left" vertical="center" wrapText="1"/>
      <protection hidden="1"/>
    </xf>
    <xf numFmtId="0" fontId="3" fillId="3" borderId="13" xfId="0" applyFont="1" applyFill="1" applyBorder="1" applyAlignment="1" applyProtection="1">
      <alignment horizontal="left" vertical="center" wrapText="1"/>
      <protection hidden="1"/>
    </xf>
    <xf numFmtId="0" fontId="3" fillId="3" borderId="14" xfId="0" applyFont="1" applyFill="1" applyBorder="1" applyAlignment="1" applyProtection="1">
      <alignment horizontal="left" vertical="center" wrapText="1"/>
      <protection hidden="1"/>
    </xf>
    <xf numFmtId="0" fontId="3" fillId="3" borderId="7" xfId="0" applyFont="1" applyFill="1" applyBorder="1" applyAlignment="1" applyProtection="1">
      <alignment horizontal="left" vertical="center" wrapText="1"/>
      <protection hidden="1"/>
    </xf>
    <xf numFmtId="0" fontId="3" fillId="3" borderId="6" xfId="0" applyFont="1" applyFill="1" applyBorder="1" applyAlignment="1" applyProtection="1">
      <alignment horizontal="left" vertical="center" wrapText="1"/>
      <protection hidden="1"/>
    </xf>
    <xf numFmtId="0" fontId="3" fillId="3" borderId="8" xfId="0" applyFont="1" applyFill="1" applyBorder="1" applyAlignment="1" applyProtection="1">
      <alignment horizontal="left" vertical="center" wrapText="1"/>
      <protection hidden="1"/>
    </xf>
    <xf numFmtId="0" fontId="3" fillId="3" borderId="15" xfId="0" applyFont="1" applyFill="1" applyBorder="1" applyAlignment="1" applyProtection="1">
      <alignment horizontal="left" vertical="center" wrapText="1"/>
      <protection hidden="1"/>
    </xf>
    <xf numFmtId="2" fontId="3" fillId="3" borderId="5" xfId="0" applyNumberFormat="1" applyFont="1" applyFill="1" applyBorder="1" applyAlignment="1">
      <alignment horizontal="center" vertical="center" wrapText="1"/>
    </xf>
    <xf numFmtId="2" fontId="3" fillId="3" borderId="12" xfId="0" applyNumberFormat="1" applyFont="1" applyFill="1" applyBorder="1" applyAlignment="1">
      <alignment horizontal="center" vertical="center" wrapText="1"/>
    </xf>
    <xf numFmtId="2" fontId="3" fillId="3" borderId="9" xfId="0" applyNumberFormat="1" applyFont="1" applyFill="1" applyBorder="1" applyAlignment="1">
      <alignment horizontal="center" vertical="center" wrapText="1"/>
    </xf>
    <xf numFmtId="9" fontId="3" fillId="3" borderId="5" xfId="2" applyFont="1" applyFill="1" applyBorder="1" applyAlignment="1">
      <alignment horizontal="center" vertical="center" wrapText="1"/>
    </xf>
    <xf numFmtId="9" fontId="3" fillId="3" borderId="12" xfId="2" applyFont="1" applyFill="1" applyBorder="1" applyAlignment="1">
      <alignment horizontal="center" vertical="center" wrapText="1"/>
    </xf>
    <xf numFmtId="9" fontId="3" fillId="3" borderId="9" xfId="2" applyFont="1" applyFill="1" applyBorder="1" applyAlignment="1">
      <alignment horizontal="center" vertical="center" wrapText="1"/>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0" borderId="1" xfId="3" applyFont="1" applyFill="1" applyBorder="1" applyAlignment="1">
      <alignment horizontal="left" vertical="center" wrapText="1"/>
    </xf>
    <xf numFmtId="0" fontId="6" fillId="0" borderId="2" xfId="3" applyFont="1" applyFill="1" applyBorder="1" applyAlignment="1">
      <alignment horizontal="left" vertical="center" wrapText="1"/>
    </xf>
    <xf numFmtId="0" fontId="6" fillId="0" borderId="3" xfId="3" applyFont="1" applyFill="1" applyBorder="1" applyAlignment="1">
      <alignment horizontal="left" vertical="center" wrapText="1"/>
    </xf>
    <xf numFmtId="0" fontId="6" fillId="3" borderId="5" xfId="3" applyFont="1" applyFill="1" applyBorder="1" applyAlignment="1">
      <alignment horizontal="center" vertical="center" wrapText="1"/>
    </xf>
    <xf numFmtId="0" fontId="6" fillId="3" borderId="9" xfId="3" applyFont="1" applyFill="1" applyBorder="1" applyAlignment="1">
      <alignment horizontal="center" vertical="center" wrapText="1"/>
    </xf>
    <xf numFmtId="0" fontId="3" fillId="3" borderId="1" xfId="3" applyFont="1" applyFill="1" applyBorder="1" applyAlignment="1">
      <alignment horizontal="left" vertical="center" wrapText="1"/>
    </xf>
    <xf numFmtId="0" fontId="3" fillId="3" borderId="2" xfId="3" applyFont="1" applyFill="1" applyBorder="1" applyAlignment="1">
      <alignment horizontal="left" vertical="center" wrapText="1"/>
    </xf>
    <xf numFmtId="0" fontId="3" fillId="3" borderId="3" xfId="3" applyFont="1" applyFill="1" applyBorder="1" applyAlignment="1">
      <alignment horizontal="left" vertical="center" wrapText="1"/>
    </xf>
    <xf numFmtId="0" fontId="3" fillId="0" borderId="1" xfId="3" applyFont="1" applyFill="1" applyBorder="1" applyAlignment="1">
      <alignment horizontal="left" vertical="center" wrapText="1"/>
    </xf>
    <xf numFmtId="0" fontId="3" fillId="0" borderId="2" xfId="3" applyFont="1" applyFill="1" applyBorder="1" applyAlignment="1">
      <alignment horizontal="left" vertical="center" wrapText="1"/>
    </xf>
    <xf numFmtId="0" fontId="3" fillId="0" borderId="3" xfId="3" applyFont="1" applyFill="1" applyBorder="1" applyAlignment="1">
      <alignment horizontal="left" vertical="center" wrapText="1"/>
    </xf>
    <xf numFmtId="0" fontId="6" fillId="3" borderId="5"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9" xfId="0" applyFont="1" applyFill="1" applyBorder="1" applyAlignment="1">
      <alignment horizontal="center" vertical="center"/>
    </xf>
    <xf numFmtId="9" fontId="3" fillId="0" borderId="5" xfId="0" applyNumberFormat="1" applyFont="1" applyBorder="1" applyAlignment="1">
      <alignment horizontal="center" vertical="center" wrapText="1"/>
    </xf>
    <xf numFmtId="9" fontId="3" fillId="0" borderId="9" xfId="0" applyNumberFormat="1" applyFont="1" applyBorder="1" applyAlignment="1">
      <alignment horizontal="center" vertical="center" wrapText="1"/>
    </xf>
    <xf numFmtId="0" fontId="3" fillId="0" borderId="14" xfId="0" applyFont="1" applyFill="1" applyBorder="1" applyAlignment="1">
      <alignment horizontal="left" vertical="center"/>
    </xf>
    <xf numFmtId="0" fontId="3" fillId="0" borderId="15" xfId="0" applyFont="1" applyFill="1" applyBorder="1" applyAlignment="1">
      <alignment horizontal="left" vertical="center"/>
    </xf>
    <xf numFmtId="9" fontId="3" fillId="0" borderId="12" xfId="0" applyNumberFormat="1" applyFont="1" applyBorder="1" applyAlignment="1">
      <alignment horizontal="center" vertical="center" wrapText="1"/>
    </xf>
    <xf numFmtId="0" fontId="3" fillId="0" borderId="0" xfId="0" applyFont="1" applyFill="1" applyBorder="1" applyAlignment="1" applyProtection="1">
      <alignment horizontal="left" vertical="center" wrapText="1"/>
      <protection hidden="1"/>
    </xf>
    <xf numFmtId="0" fontId="3" fillId="0" borderId="13" xfId="0" applyFont="1" applyFill="1" applyBorder="1" applyAlignment="1" applyProtection="1">
      <alignment horizontal="left" vertical="center" wrapText="1"/>
      <protection hidden="1"/>
    </xf>
    <xf numFmtId="0" fontId="3" fillId="0" borderId="14" xfId="0" applyFont="1" applyFill="1" applyBorder="1" applyAlignment="1" applyProtection="1">
      <alignment horizontal="left" vertical="center" wrapText="1"/>
      <protection hidden="1"/>
    </xf>
    <xf numFmtId="0" fontId="3" fillId="0" borderId="15" xfId="0" applyFont="1" applyFill="1" applyBorder="1" applyAlignment="1" applyProtection="1">
      <alignment horizontal="left" vertical="center" wrapText="1"/>
      <protection hidden="1"/>
    </xf>
    <xf numFmtId="0" fontId="3"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 fillId="0" borderId="6" xfId="0" applyFont="1" applyFill="1" applyBorder="1" applyAlignment="1" applyProtection="1">
      <alignment horizontal="left" vertical="center" wrapText="1"/>
      <protection hidden="1"/>
    </xf>
    <xf numFmtId="0" fontId="3" fillId="0" borderId="7" xfId="0" applyFont="1" applyFill="1" applyBorder="1" applyAlignment="1" applyProtection="1">
      <alignment horizontal="left" vertical="center" wrapText="1"/>
      <protection hidden="1"/>
    </xf>
    <xf numFmtId="0" fontId="3" fillId="0" borderId="8" xfId="0" applyFont="1" applyFill="1" applyBorder="1" applyAlignment="1" applyProtection="1">
      <alignment horizontal="left" vertical="center" wrapText="1"/>
      <protection hidden="1"/>
    </xf>
    <xf numFmtId="0" fontId="3" fillId="7" borderId="0" xfId="0" applyFont="1" applyFill="1" applyBorder="1" applyAlignment="1" applyProtection="1">
      <alignment horizontal="left" vertical="center" wrapText="1"/>
      <protection hidden="1"/>
    </xf>
    <xf numFmtId="0" fontId="3" fillId="0" borderId="0" xfId="5" applyFont="1" applyBorder="1" applyAlignment="1">
      <alignment horizontal="left" vertical="center" wrapText="1"/>
    </xf>
    <xf numFmtId="0" fontId="3" fillId="7" borderId="0" xfId="4" applyFont="1" applyFill="1" applyBorder="1" applyAlignment="1">
      <alignment horizontal="left" vertical="center" wrapText="1"/>
    </xf>
    <xf numFmtId="0" fontId="3" fillId="7" borderId="11" xfId="0" applyFont="1" applyFill="1" applyBorder="1" applyAlignment="1">
      <alignment horizontal="left" vertical="center" wrapText="1"/>
    </xf>
    <xf numFmtId="0" fontId="3" fillId="0" borderId="13" xfId="0" applyFont="1" applyFill="1" applyBorder="1" applyAlignment="1">
      <alignment horizontal="left" vertical="center"/>
    </xf>
    <xf numFmtId="0" fontId="3" fillId="7" borderId="7" xfId="0" applyFont="1" applyFill="1" applyBorder="1" applyAlignment="1" applyProtection="1">
      <alignment horizontal="left" vertical="center" wrapText="1"/>
      <protection hidden="1"/>
    </xf>
    <xf numFmtId="0" fontId="3" fillId="0" borderId="7" xfId="5" applyFont="1" applyBorder="1" applyAlignment="1">
      <alignment horizontal="left" vertical="center" wrapText="1"/>
    </xf>
    <xf numFmtId="9" fontId="3" fillId="0" borderId="13" xfId="3" applyNumberFormat="1" applyFont="1" applyFill="1" applyBorder="1" applyAlignment="1">
      <alignment horizontal="left" vertical="center" wrapText="1"/>
    </xf>
    <xf numFmtId="9" fontId="3" fillId="0" borderId="14" xfId="3" applyNumberFormat="1" applyFont="1" applyFill="1" applyBorder="1" applyAlignment="1">
      <alignment horizontal="left" vertical="center" wrapText="1"/>
    </xf>
    <xf numFmtId="9" fontId="3" fillId="0" borderId="15" xfId="3" applyNumberFormat="1" applyFont="1" applyFill="1" applyBorder="1" applyAlignment="1">
      <alignment horizontal="left" vertical="center" wrapText="1"/>
    </xf>
    <xf numFmtId="0" fontId="6" fillId="0" borderId="6" xfId="0" applyFont="1" applyBorder="1" applyAlignment="1">
      <alignment horizontal="center" vertical="center"/>
    </xf>
    <xf numFmtId="0" fontId="6" fillId="0" borderId="10" xfId="0" applyFont="1" applyBorder="1" applyAlignment="1">
      <alignment horizontal="center" vertical="center"/>
    </xf>
    <xf numFmtId="0" fontId="6" fillId="0" borderId="13" xfId="0" applyFont="1" applyBorder="1" applyAlignment="1">
      <alignment horizontal="center" vertical="center"/>
    </xf>
    <xf numFmtId="0" fontId="3" fillId="7" borderId="6" xfId="0" applyFont="1" applyFill="1" applyBorder="1" applyAlignment="1">
      <alignment horizontal="left" vertical="center" wrapText="1"/>
    </xf>
    <xf numFmtId="0" fontId="3" fillId="7" borderId="7" xfId="0" applyFont="1" applyFill="1" applyBorder="1" applyAlignment="1">
      <alignment horizontal="left" vertical="center" wrapText="1"/>
    </xf>
    <xf numFmtId="0" fontId="3" fillId="7" borderId="8" xfId="0" applyFont="1" applyFill="1" applyBorder="1" applyAlignment="1">
      <alignment horizontal="left" vertical="center" wrapText="1"/>
    </xf>
    <xf numFmtId="0" fontId="3" fillId="7" borderId="13" xfId="0" applyFont="1" applyFill="1" applyBorder="1" applyAlignment="1" applyProtection="1">
      <alignment horizontal="left" vertical="center" wrapText="1"/>
      <protection hidden="1"/>
    </xf>
    <xf numFmtId="0" fontId="3" fillId="7" borderId="14" xfId="0" applyFont="1" applyFill="1" applyBorder="1" applyAlignment="1" applyProtection="1">
      <alignment horizontal="left" vertical="center" wrapText="1"/>
      <protection hidden="1"/>
    </xf>
    <xf numFmtId="0" fontId="3" fillId="7" borderId="1" xfId="0" applyFont="1" applyFill="1" applyBorder="1" applyAlignment="1" applyProtection="1">
      <alignment horizontal="left" vertical="center" wrapText="1"/>
      <protection hidden="1"/>
    </xf>
    <xf numFmtId="0" fontId="3" fillId="7" borderId="2" xfId="0" applyFont="1" applyFill="1" applyBorder="1" applyAlignment="1" applyProtection="1">
      <alignment horizontal="left" vertical="center" wrapText="1"/>
      <protection hidden="1"/>
    </xf>
    <xf numFmtId="0" fontId="3" fillId="7" borderId="3" xfId="0" applyFont="1" applyFill="1" applyBorder="1" applyAlignment="1" applyProtection="1">
      <alignment horizontal="left" vertical="center" wrapText="1"/>
      <protection hidden="1"/>
    </xf>
    <xf numFmtId="0" fontId="3" fillId="7" borderId="10" xfId="0" applyFont="1" applyFill="1" applyBorder="1" applyAlignment="1" applyProtection="1">
      <alignment horizontal="left" vertical="center" wrapText="1"/>
      <protection hidden="1"/>
    </xf>
    <xf numFmtId="0" fontId="3" fillId="7" borderId="11" xfId="0" applyFont="1" applyFill="1" applyBorder="1" applyAlignment="1" applyProtection="1">
      <alignment horizontal="left" vertical="center" wrapText="1"/>
      <protection hidden="1"/>
    </xf>
    <xf numFmtId="0" fontId="3" fillId="7" borderId="14" xfId="4" applyFont="1" applyFill="1" applyBorder="1" applyAlignment="1">
      <alignment horizontal="left" vertical="center" wrapText="1"/>
    </xf>
    <xf numFmtId="0" fontId="3" fillId="7" borderId="6" xfId="0" applyFont="1" applyFill="1" applyBorder="1" applyAlignment="1" applyProtection="1">
      <alignment horizontal="left" vertical="center" wrapText="1"/>
      <protection hidden="1"/>
    </xf>
    <xf numFmtId="0" fontId="3" fillId="7" borderId="11" xfId="4" applyFont="1" applyFill="1" applyBorder="1" applyAlignment="1">
      <alignment horizontal="left" vertical="center" wrapText="1"/>
    </xf>
    <xf numFmtId="0" fontId="3" fillId="0" borderId="10" xfId="0" applyFont="1" applyFill="1" applyBorder="1" applyAlignment="1">
      <alignment horizontal="left" vertical="center"/>
    </xf>
    <xf numFmtId="0" fontId="3" fillId="0" borderId="6" xfId="0" applyFont="1" applyFill="1" applyBorder="1" applyAlignment="1">
      <alignment horizontal="left" vertical="center" wrapText="1"/>
    </xf>
    <xf numFmtId="0" fontId="3" fillId="0" borderId="10" xfId="0" applyFont="1" applyFill="1" applyBorder="1" applyAlignment="1" applyProtection="1">
      <alignment horizontal="left" vertical="center" wrapText="1"/>
      <protection hidden="1"/>
    </xf>
    <xf numFmtId="0" fontId="3" fillId="3" borderId="0" xfId="4" applyFont="1" applyFill="1" applyBorder="1" applyAlignment="1">
      <alignment horizontal="left" vertical="center" wrapText="1"/>
    </xf>
    <xf numFmtId="0" fontId="3" fillId="3" borderId="11" xfId="4" applyFont="1" applyFill="1" applyBorder="1" applyAlignment="1">
      <alignment horizontal="left" vertical="center" wrapText="1"/>
    </xf>
    <xf numFmtId="0" fontId="3" fillId="0" borderId="11" xfId="5" applyFont="1" applyBorder="1" applyAlignment="1">
      <alignment horizontal="left" vertical="center" wrapText="1"/>
    </xf>
    <xf numFmtId="0" fontId="3" fillId="7" borderId="15" xfId="0" applyFont="1" applyFill="1" applyBorder="1" applyAlignment="1" applyProtection="1">
      <alignment horizontal="left" vertical="center" wrapText="1"/>
      <protection hidden="1"/>
    </xf>
    <xf numFmtId="0" fontId="6" fillId="2" borderId="4" xfId="0" applyFont="1" applyFill="1" applyBorder="1" applyAlignment="1">
      <alignment horizontal="left" vertical="center" wrapText="1"/>
    </xf>
    <xf numFmtId="4" fontId="3" fillId="0" borderId="4" xfId="0" applyNumberFormat="1" applyFont="1" applyBorder="1" applyAlignment="1">
      <alignment horizontal="center" vertical="center" wrapText="1"/>
    </xf>
    <xf numFmtId="9" fontId="3" fillId="0" borderId="4" xfId="2" applyFont="1" applyBorder="1" applyAlignment="1">
      <alignment horizontal="center" vertical="center" wrapText="1"/>
    </xf>
    <xf numFmtId="0" fontId="3" fillId="7" borderId="8" xfId="0" applyFont="1" applyFill="1" applyBorder="1" applyAlignment="1" applyProtection="1">
      <alignment horizontal="left" vertical="center" wrapText="1"/>
      <protection hidden="1"/>
    </xf>
    <xf numFmtId="0" fontId="3" fillId="0" borderId="11" xfId="0" applyFont="1" applyFill="1" applyBorder="1" applyAlignment="1" applyProtection="1">
      <alignment horizontal="left" vertical="center" wrapText="1"/>
      <protection hidden="1"/>
    </xf>
    <xf numFmtId="4" fontId="3" fillId="0" borderId="5" xfId="0" applyNumberFormat="1" applyFont="1" applyFill="1" applyBorder="1" applyAlignment="1">
      <alignment horizontal="center" vertical="center" wrapText="1"/>
    </xf>
    <xf numFmtId="4" fontId="3" fillId="0" borderId="12" xfId="0" applyNumberFormat="1" applyFont="1" applyFill="1" applyBorder="1" applyAlignment="1">
      <alignment horizontal="center" vertical="center" wrapText="1"/>
    </xf>
    <xf numFmtId="4" fontId="3" fillId="0" borderId="9" xfId="0" applyNumberFormat="1" applyFont="1" applyFill="1" applyBorder="1" applyAlignment="1">
      <alignment horizontal="center" vertical="center" wrapText="1"/>
    </xf>
    <xf numFmtId="0" fontId="6" fillId="0" borderId="5" xfId="0" applyFont="1" applyBorder="1" applyAlignment="1">
      <alignment horizontal="center" vertical="center"/>
    </xf>
    <xf numFmtId="0" fontId="3" fillId="7" borderId="1" xfId="0" applyFont="1" applyFill="1" applyBorder="1" applyAlignment="1">
      <alignment horizontal="left" vertical="center" wrapText="1"/>
    </xf>
    <xf numFmtId="0" fontId="3" fillId="7" borderId="2" xfId="0" applyFont="1" applyFill="1" applyBorder="1" applyAlignment="1">
      <alignment horizontal="left" vertical="center" wrapText="1"/>
    </xf>
    <xf numFmtId="0" fontId="3" fillId="7" borderId="3" xfId="0" applyFont="1" applyFill="1" applyBorder="1" applyAlignment="1">
      <alignment horizontal="left" vertical="center" wrapText="1"/>
    </xf>
    <xf numFmtId="2" fontId="3" fillId="0" borderId="12" xfId="0" applyNumberFormat="1" applyFont="1" applyBorder="1" applyAlignment="1">
      <alignment horizontal="center" vertical="center" wrapText="1"/>
    </xf>
    <xf numFmtId="0" fontId="6" fillId="7" borderId="5"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7" borderId="9" xfId="0" applyFont="1" applyFill="1" applyBorder="1" applyAlignment="1">
      <alignment horizontal="center" vertical="center" wrapText="1"/>
    </xf>
    <xf numFmtId="2" fontId="3" fillId="7" borderId="5" xfId="0" applyNumberFormat="1" applyFont="1" applyFill="1" applyBorder="1" applyAlignment="1">
      <alignment horizontal="center" vertical="center"/>
    </xf>
    <xf numFmtId="2" fontId="3" fillId="7" borderId="12" xfId="0" applyNumberFormat="1" applyFont="1" applyFill="1" applyBorder="1" applyAlignment="1">
      <alignment horizontal="center" vertical="center"/>
    </xf>
    <xf numFmtId="9" fontId="3" fillId="7" borderId="5" xfId="2" applyFont="1" applyFill="1" applyBorder="1" applyAlignment="1">
      <alignment horizontal="center" vertical="center"/>
    </xf>
    <xf numFmtId="9" fontId="3" fillId="7" borderId="12" xfId="2" applyFont="1" applyFill="1" applyBorder="1" applyAlignment="1">
      <alignment horizontal="center" vertical="center"/>
    </xf>
    <xf numFmtId="9" fontId="3" fillId="7" borderId="9" xfId="2" applyFont="1" applyFill="1" applyBorder="1" applyAlignment="1">
      <alignment horizontal="center" vertical="center"/>
    </xf>
    <xf numFmtId="0" fontId="18" fillId="0" borderId="1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18" fillId="0" borderId="11" xfId="0" applyFont="1" applyFill="1" applyBorder="1" applyAlignment="1">
      <alignment horizontal="left" vertical="center" wrapText="1"/>
    </xf>
    <xf numFmtId="0" fontId="3" fillId="0" borderId="10" xfId="4" applyFont="1" applyFill="1" applyBorder="1" applyAlignment="1">
      <alignment horizontal="left" vertical="center" wrapText="1"/>
    </xf>
    <xf numFmtId="0" fontId="3" fillId="0" borderId="0" xfId="4" applyFont="1" applyFill="1" applyBorder="1" applyAlignment="1">
      <alignment horizontal="left" vertical="center" wrapText="1"/>
    </xf>
    <xf numFmtId="2" fontId="3" fillId="7" borderId="9" xfId="0" applyNumberFormat="1" applyFont="1" applyFill="1" applyBorder="1" applyAlignment="1">
      <alignment horizontal="center" vertical="center"/>
    </xf>
    <xf numFmtId="0" fontId="3" fillId="0" borderId="6" xfId="0" applyNumberFormat="1" applyFont="1" applyFill="1" applyBorder="1" applyAlignment="1">
      <alignment horizontal="left" vertical="center" wrapText="1"/>
    </xf>
    <xf numFmtId="0" fontId="3" fillId="0" borderId="7" xfId="0" applyNumberFormat="1" applyFont="1" applyFill="1" applyBorder="1" applyAlignment="1">
      <alignment horizontal="left" vertical="center" wrapText="1"/>
    </xf>
    <xf numFmtId="0" fontId="3" fillId="0" borderId="4" xfId="3" applyFont="1" applyFill="1" applyBorder="1" applyAlignment="1">
      <alignment horizontal="left" vertical="center" wrapText="1"/>
    </xf>
    <xf numFmtId="2" fontId="3" fillId="0" borderId="8" xfId="0" applyNumberFormat="1" applyFont="1" applyBorder="1" applyAlignment="1">
      <alignment horizontal="center" vertical="center" wrapText="1"/>
    </xf>
    <xf numFmtId="2" fontId="3" fillId="0" borderId="11" xfId="0" applyNumberFormat="1" applyFont="1" applyBorder="1" applyAlignment="1">
      <alignment horizontal="center" vertical="center" wrapText="1"/>
    </xf>
    <xf numFmtId="9" fontId="3" fillId="0" borderId="8" xfId="2" applyFont="1" applyBorder="1" applyAlignment="1">
      <alignment horizontal="center" vertical="center" wrapText="1"/>
    </xf>
    <xf numFmtId="9" fontId="3" fillId="0" borderId="11" xfId="2" applyFont="1" applyBorder="1" applyAlignment="1">
      <alignment horizontal="center" vertical="center" wrapText="1"/>
    </xf>
    <xf numFmtId="0" fontId="3" fillId="0" borderId="10" xfId="0" applyNumberFormat="1" applyFont="1" applyFill="1" applyBorder="1" applyAlignment="1">
      <alignment horizontal="left" vertical="center" wrapText="1"/>
    </xf>
    <xf numFmtId="0" fontId="3" fillId="0" borderId="0" xfId="0" applyNumberFormat="1" applyFont="1" applyFill="1" applyBorder="1" applyAlignment="1">
      <alignment horizontal="left" vertical="center" wrapText="1"/>
    </xf>
    <xf numFmtId="0" fontId="3" fillId="0" borderId="11" xfId="0" applyNumberFormat="1" applyFont="1" applyFill="1" applyBorder="1" applyAlignment="1">
      <alignment horizontal="left" vertical="center" wrapText="1"/>
    </xf>
    <xf numFmtId="0" fontId="3" fillId="0" borderId="10" xfId="0" applyFont="1" applyFill="1" applyBorder="1" applyAlignment="1">
      <alignment vertical="center"/>
    </xf>
    <xf numFmtId="0" fontId="3" fillId="0" borderId="0" xfId="0" applyFont="1" applyFill="1" applyBorder="1" applyAlignment="1">
      <alignment vertical="center"/>
    </xf>
    <xf numFmtId="0" fontId="3" fillId="0" borderId="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13" xfId="0" applyNumberFormat="1" applyFont="1" applyFill="1" applyBorder="1" applyAlignment="1">
      <alignment horizontal="left" vertical="center" wrapText="1"/>
    </xf>
    <xf numFmtId="0" fontId="3" fillId="0" borderId="14" xfId="0" applyNumberFormat="1" applyFont="1" applyFill="1" applyBorder="1" applyAlignment="1">
      <alignment horizontal="left" vertical="center" wrapText="1"/>
    </xf>
    <xf numFmtId="0" fontId="3" fillId="0" borderId="15" xfId="0" applyNumberFormat="1" applyFont="1" applyFill="1" applyBorder="1" applyAlignment="1">
      <alignment horizontal="left" vertical="center" wrapText="1"/>
    </xf>
    <xf numFmtId="0" fontId="3" fillId="0" borderId="8" xfId="0" applyNumberFormat="1" applyFont="1" applyFill="1" applyBorder="1" applyAlignment="1">
      <alignment horizontal="left" vertical="center" wrapText="1"/>
    </xf>
    <xf numFmtId="0" fontId="6" fillId="3" borderId="4" xfId="0" applyFont="1" applyFill="1" applyBorder="1" applyAlignment="1">
      <alignment horizontal="left" vertical="center" wrapText="1"/>
    </xf>
    <xf numFmtId="0" fontId="6" fillId="0" borderId="1" xfId="0" applyFont="1" applyFill="1" applyBorder="1" applyAlignment="1">
      <alignment horizontal="center" vertical="center" wrapText="1"/>
    </xf>
    <xf numFmtId="2" fontId="3" fillId="0" borderId="3" xfId="0" applyNumberFormat="1" applyFont="1" applyFill="1" applyBorder="1" applyAlignment="1">
      <alignment horizontal="center" vertical="center" wrapText="1"/>
    </xf>
    <xf numFmtId="0" fontId="6" fillId="2" borderId="8" xfId="0" applyFont="1" applyFill="1" applyBorder="1" applyAlignment="1">
      <alignment horizontal="left" vertical="center" wrapText="1"/>
    </xf>
    <xf numFmtId="2" fontId="3" fillId="0" borderId="8" xfId="0" applyNumberFormat="1" applyFont="1" applyFill="1" applyBorder="1" applyAlignment="1">
      <alignment horizontal="center" vertical="center"/>
    </xf>
    <xf numFmtId="2" fontId="3" fillId="0" borderId="15" xfId="0" applyNumberFormat="1" applyFont="1" applyFill="1" applyBorder="1" applyAlignment="1">
      <alignment horizontal="center" vertical="center"/>
    </xf>
    <xf numFmtId="0" fontId="6" fillId="0" borderId="7" xfId="0" applyFont="1" applyBorder="1"/>
    <xf numFmtId="0" fontId="6" fillId="0" borderId="8" xfId="0" applyFont="1" applyBorder="1"/>
    <xf numFmtId="0" fontId="3" fillId="0" borderId="19" xfId="0" applyFont="1" applyFill="1" applyBorder="1" applyAlignment="1">
      <alignment horizontal="left" vertical="center" wrapText="1"/>
    </xf>
    <xf numFmtId="0" fontId="3" fillId="0" borderId="20" xfId="0" applyFont="1" applyFill="1" applyBorder="1" applyAlignment="1">
      <alignment horizontal="left" vertical="center" wrapText="1"/>
    </xf>
    <xf numFmtId="0" fontId="3" fillId="0" borderId="21" xfId="0" applyFont="1" applyFill="1" applyBorder="1" applyAlignment="1">
      <alignment horizontal="left" vertical="center" wrapText="1"/>
    </xf>
    <xf numFmtId="0" fontId="6" fillId="0" borderId="5" xfId="0" applyFont="1" applyFill="1" applyBorder="1" applyAlignment="1">
      <alignment horizontal="center" vertical="center" wrapText="1"/>
    </xf>
    <xf numFmtId="0" fontId="6" fillId="0" borderId="9" xfId="0" applyFont="1" applyFill="1" applyBorder="1" applyAlignment="1">
      <alignment horizontal="center" vertical="center" wrapText="1"/>
    </xf>
    <xf numFmtId="4" fontId="3" fillId="0" borderId="6" xfId="0" applyNumberFormat="1" applyFont="1" applyBorder="1" applyAlignment="1">
      <alignment horizontal="center" vertical="center" wrapText="1"/>
    </xf>
    <xf numFmtId="4" fontId="3" fillId="0" borderId="13" xfId="0" applyNumberFormat="1" applyFont="1" applyBorder="1" applyAlignment="1">
      <alignment horizontal="center" vertical="center" wrapText="1"/>
    </xf>
    <xf numFmtId="0" fontId="3" fillId="0" borderId="14" xfId="3" applyFont="1" applyFill="1" applyBorder="1" applyAlignment="1">
      <alignment horizontal="left" vertical="center" wrapText="1"/>
    </xf>
    <xf numFmtId="0" fontId="6" fillId="0" borderId="12" xfId="0" applyFont="1" applyFill="1" applyBorder="1" applyAlignment="1">
      <alignment horizontal="center" vertical="center" wrapText="1"/>
    </xf>
    <xf numFmtId="0" fontId="3" fillId="0" borderId="1" xfId="0" applyNumberFormat="1" applyFont="1" applyFill="1" applyBorder="1" applyAlignment="1">
      <alignment horizontal="left" vertical="center" wrapText="1"/>
    </xf>
    <xf numFmtId="0" fontId="3" fillId="0" borderId="2" xfId="0" applyNumberFormat="1" applyFont="1" applyFill="1" applyBorder="1" applyAlignment="1">
      <alignment horizontal="left" vertical="center" wrapText="1"/>
    </xf>
    <xf numFmtId="0" fontId="3" fillId="0" borderId="3" xfId="0" applyNumberFormat="1" applyFont="1" applyFill="1" applyBorder="1" applyAlignment="1">
      <alignment horizontal="left" vertical="center" wrapText="1"/>
    </xf>
    <xf numFmtId="0" fontId="6" fillId="0" borderId="2" xfId="0" applyFont="1" applyBorder="1"/>
    <xf numFmtId="0" fontId="6" fillId="0" borderId="3" xfId="0" applyFont="1" applyBorder="1"/>
    <xf numFmtId="0" fontId="6" fillId="2" borderId="14" xfId="0" applyFont="1" applyFill="1" applyBorder="1" applyAlignment="1">
      <alignment horizontal="left" vertical="center" wrapText="1"/>
    </xf>
    <xf numFmtId="0" fontId="6" fillId="2" borderId="15" xfId="0" applyFont="1" applyFill="1" applyBorder="1" applyAlignment="1">
      <alignment horizontal="left" vertical="center" wrapText="1"/>
    </xf>
    <xf numFmtId="0" fontId="3" fillId="0" borderId="4" xfId="5" applyFont="1" applyFill="1" applyBorder="1" applyAlignment="1">
      <alignment horizontal="left" vertical="center" wrapText="1"/>
    </xf>
    <xf numFmtId="49" fontId="3" fillId="0" borderId="4" xfId="0" applyNumberFormat="1" applyFont="1" applyBorder="1" applyAlignment="1">
      <alignment horizontal="left" vertical="center" wrapText="1"/>
    </xf>
    <xf numFmtId="49" fontId="3" fillId="0" borderId="1" xfId="0" applyNumberFormat="1" applyFont="1" applyBorder="1" applyAlignment="1">
      <alignment horizontal="left" vertical="center" wrapText="1"/>
    </xf>
    <xf numFmtId="49" fontId="3" fillId="0" borderId="2" xfId="0" applyNumberFormat="1" applyFont="1" applyBorder="1" applyAlignment="1">
      <alignment horizontal="left" vertical="center" wrapText="1"/>
    </xf>
    <xf numFmtId="49" fontId="3" fillId="0" borderId="3" xfId="0" applyNumberFormat="1" applyFont="1" applyBorder="1" applyAlignment="1">
      <alignment horizontal="left" vertical="center" wrapText="1"/>
    </xf>
    <xf numFmtId="0" fontId="3" fillId="0" borderId="16" xfId="0" applyFont="1" applyFill="1" applyBorder="1" applyAlignment="1">
      <alignment horizontal="left" vertical="center" wrapText="1"/>
    </xf>
    <xf numFmtId="0" fontId="3" fillId="0" borderId="17" xfId="0" applyFont="1" applyFill="1" applyBorder="1" applyAlignment="1">
      <alignment horizontal="left" vertical="center" wrapText="1"/>
    </xf>
    <xf numFmtId="0" fontId="3" fillId="0" borderId="18" xfId="0" applyFont="1" applyFill="1" applyBorder="1" applyAlignment="1">
      <alignment horizontal="left" vertical="center" wrapText="1"/>
    </xf>
    <xf numFmtId="0" fontId="3" fillId="0" borderId="0" xfId="0" applyFont="1" applyBorder="1" applyAlignment="1">
      <alignment horizontal="center" vertical="center" wrapText="1"/>
    </xf>
    <xf numFmtId="0" fontId="3" fillId="0" borderId="7" xfId="0" applyNumberFormat="1" applyFont="1" applyFill="1" applyBorder="1" applyAlignment="1">
      <alignment horizontal="left" vertical="center"/>
    </xf>
    <xf numFmtId="0" fontId="3" fillId="0" borderId="8" xfId="0" applyNumberFormat="1" applyFont="1" applyFill="1" applyBorder="1" applyAlignment="1">
      <alignment horizontal="left" vertical="center"/>
    </xf>
    <xf numFmtId="0" fontId="3" fillId="0" borderId="13" xfId="0" applyNumberFormat="1" applyFont="1" applyBorder="1" applyAlignment="1">
      <alignment horizontal="left" vertical="center" wrapText="1"/>
    </xf>
    <xf numFmtId="0" fontId="3" fillId="0" borderId="14" xfId="0" applyNumberFormat="1" applyFont="1" applyBorder="1" applyAlignment="1">
      <alignment horizontal="left" vertical="center" wrapText="1"/>
    </xf>
    <xf numFmtId="0" fontId="3" fillId="0" borderId="15" xfId="0" applyNumberFormat="1" applyFont="1" applyBorder="1" applyAlignment="1">
      <alignment horizontal="left" vertical="center" wrapText="1"/>
    </xf>
    <xf numFmtId="0" fontId="3" fillId="0" borderId="13" xfId="4" applyFont="1" applyFill="1" applyBorder="1" applyAlignment="1">
      <alignment horizontal="left" vertical="center"/>
    </xf>
    <xf numFmtId="0" fontId="3" fillId="0" borderId="14" xfId="4" applyFont="1" applyFill="1" applyBorder="1" applyAlignment="1">
      <alignment horizontal="left" vertical="center"/>
    </xf>
    <xf numFmtId="0" fontId="3" fillId="0" borderId="15" xfId="4" applyFont="1" applyFill="1" applyBorder="1" applyAlignment="1">
      <alignment horizontal="left" vertical="center"/>
    </xf>
    <xf numFmtId="0" fontId="6" fillId="7" borderId="6" xfId="0" applyFont="1" applyFill="1" applyBorder="1" applyAlignment="1">
      <alignment horizontal="center" vertical="center" wrapText="1"/>
    </xf>
    <xf numFmtId="0" fontId="6" fillId="7" borderId="10" xfId="0" applyFont="1" applyFill="1" applyBorder="1" applyAlignment="1">
      <alignment horizontal="center" vertical="center" wrapText="1"/>
    </xf>
    <xf numFmtId="0" fontId="6" fillId="7" borderId="13" xfId="0" applyFont="1" applyFill="1" applyBorder="1" applyAlignment="1">
      <alignment horizontal="center" vertical="center" wrapText="1"/>
    </xf>
    <xf numFmtId="2" fontId="3" fillId="7" borderId="8" xfId="0" applyNumberFormat="1" applyFont="1" applyFill="1" applyBorder="1" applyAlignment="1">
      <alignment horizontal="center" vertical="center"/>
    </xf>
    <xf numFmtId="2" fontId="3" fillId="7" borderId="11" xfId="0" applyNumberFormat="1" applyFont="1" applyFill="1" applyBorder="1" applyAlignment="1">
      <alignment horizontal="center" vertical="center"/>
    </xf>
    <xf numFmtId="2" fontId="3" fillId="7" borderId="15" xfId="0" applyNumberFormat="1" applyFont="1" applyFill="1" applyBorder="1" applyAlignment="1">
      <alignment horizontal="center" vertical="center"/>
    </xf>
    <xf numFmtId="167" fontId="6" fillId="3" borderId="2" xfId="0" applyNumberFormat="1" applyFont="1" applyFill="1" applyBorder="1" applyAlignment="1">
      <alignment horizontal="center" vertical="center"/>
    </xf>
    <xf numFmtId="167" fontId="6" fillId="3" borderId="3" xfId="0" applyNumberFormat="1" applyFont="1" applyFill="1" applyBorder="1" applyAlignment="1">
      <alignment horizontal="center" vertical="center"/>
    </xf>
    <xf numFmtId="0" fontId="6" fillId="7" borderId="6" xfId="0" applyFont="1" applyFill="1" applyBorder="1" applyAlignment="1">
      <alignment horizontal="center" vertical="center"/>
    </xf>
    <xf numFmtId="0" fontId="6" fillId="7" borderId="10" xfId="0" applyFont="1" applyFill="1" applyBorder="1" applyAlignment="1">
      <alignment horizontal="center" vertical="center"/>
    </xf>
    <xf numFmtId="0" fontId="6" fillId="7" borderId="13" xfId="0" applyFont="1" applyFill="1" applyBorder="1" applyAlignment="1">
      <alignment horizontal="center" vertical="center"/>
    </xf>
    <xf numFmtId="0" fontId="3" fillId="3" borderId="1" xfId="0" applyFont="1" applyFill="1" applyBorder="1" applyAlignment="1">
      <alignment vertical="center" wrapText="1"/>
    </xf>
    <xf numFmtId="0" fontId="3" fillId="3" borderId="2" xfId="0" applyFont="1" applyFill="1" applyBorder="1" applyAlignment="1">
      <alignment vertical="center" wrapText="1"/>
    </xf>
    <xf numFmtId="0" fontId="3" fillId="3" borderId="3" xfId="0" applyFont="1" applyFill="1" applyBorder="1" applyAlignment="1">
      <alignment vertical="center" wrapText="1"/>
    </xf>
    <xf numFmtId="166" fontId="6" fillId="3" borderId="2" xfId="0" applyNumberFormat="1" applyFont="1" applyFill="1" applyBorder="1" applyAlignment="1">
      <alignment horizontal="center" vertical="center"/>
    </xf>
    <xf numFmtId="166" fontId="6" fillId="3" borderId="3" xfId="0" applyNumberFormat="1" applyFont="1" applyFill="1" applyBorder="1" applyAlignment="1">
      <alignment horizontal="center" vertical="center"/>
    </xf>
    <xf numFmtId="0" fontId="6" fillId="0" borderId="0" xfId="0" applyFont="1" applyAlignment="1">
      <alignment horizontal="left" vertical="center"/>
    </xf>
    <xf numFmtId="15" fontId="3" fillId="0" borderId="0" xfId="0" applyNumberFormat="1" applyFont="1" applyAlignment="1">
      <alignment horizontal="left" vertical="center"/>
    </xf>
    <xf numFmtId="0" fontId="3" fillId="0" borderId="0" xfId="0" applyFont="1" applyAlignment="1">
      <alignment horizontal="left" vertical="center"/>
    </xf>
    <xf numFmtId="15" fontId="7" fillId="0" borderId="0" xfId="0" applyNumberFormat="1" applyFont="1" applyAlignment="1">
      <alignment vertical="center"/>
    </xf>
    <xf numFmtId="15" fontId="8" fillId="0" borderId="0" xfId="0" applyNumberFormat="1" applyFont="1" applyAlignment="1">
      <alignment horizontal="center" vertical="center"/>
    </xf>
    <xf numFmtId="0" fontId="9" fillId="0" borderId="0" xfId="0" applyFont="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xf>
    <xf numFmtId="0" fontId="3" fillId="0" borderId="0" xfId="0" applyFont="1" applyAlignment="1">
      <alignment horizontal="left" vertical="center" wrapText="1"/>
    </xf>
    <xf numFmtId="167" fontId="3" fillId="0" borderId="13" xfId="0" applyNumberFormat="1" applyFont="1" applyBorder="1" applyAlignment="1">
      <alignment horizontal="center" vertical="center"/>
    </xf>
    <xf numFmtId="167" fontId="3" fillId="0" borderId="15" xfId="0" applyNumberFormat="1" applyFont="1" applyBorder="1" applyAlignment="1">
      <alignment horizontal="center" vertical="center"/>
    </xf>
    <xf numFmtId="167" fontId="3" fillId="0" borderId="10" xfId="0" applyNumberFormat="1" applyFont="1" applyBorder="1" applyAlignment="1">
      <alignment horizontal="center" vertical="center"/>
    </xf>
    <xf numFmtId="167" fontId="3" fillId="0" borderId="11" xfId="0" applyNumberFormat="1" applyFont="1" applyBorder="1" applyAlignment="1">
      <alignment horizontal="center" vertical="center"/>
    </xf>
    <xf numFmtId="167" fontId="3" fillId="0" borderId="6" xfId="0" applyNumberFormat="1" applyFont="1" applyBorder="1" applyAlignment="1">
      <alignment horizontal="center" vertical="center"/>
    </xf>
    <xf numFmtId="167" fontId="3" fillId="0" borderId="8" xfId="0" applyNumberFormat="1" applyFont="1" applyBorder="1" applyAlignment="1">
      <alignment horizontal="center" vertical="center"/>
    </xf>
    <xf numFmtId="0" fontId="3" fillId="2" borderId="3" xfId="0" applyFont="1" applyFill="1" applyBorder="1" applyAlignment="1">
      <alignment vertical="center"/>
    </xf>
    <xf numFmtId="0" fontId="6" fillId="12" borderId="1" xfId="0" applyFont="1" applyFill="1" applyBorder="1" applyAlignment="1">
      <alignment vertical="center"/>
    </xf>
    <xf numFmtId="0" fontId="6" fillId="12" borderId="2" xfId="0" applyFont="1" applyFill="1" applyBorder="1" applyAlignment="1">
      <alignment vertical="center"/>
    </xf>
    <xf numFmtId="0" fontId="6" fillId="12" borderId="3" xfId="0" applyFont="1" applyFill="1" applyBorder="1" applyAlignment="1">
      <alignment vertical="center"/>
    </xf>
    <xf numFmtId="0" fontId="3" fillId="3" borderId="0" xfId="0" applyFont="1" applyFill="1" applyBorder="1" applyAlignment="1">
      <alignment horizontal="center" vertical="center" wrapText="1"/>
    </xf>
    <xf numFmtId="0" fontId="3" fillId="7" borderId="1" xfId="3" applyFont="1" applyFill="1" applyBorder="1" applyAlignment="1">
      <alignment horizontal="left" vertical="center" wrapText="1"/>
    </xf>
    <xf numFmtId="0" fontId="3" fillId="7" borderId="2" xfId="3" applyFont="1" applyFill="1" applyBorder="1" applyAlignment="1">
      <alignment horizontal="left" vertical="center" wrapText="1"/>
    </xf>
    <xf numFmtId="0" fontId="3" fillId="7" borderId="3" xfId="3" applyFont="1" applyFill="1" applyBorder="1" applyAlignment="1">
      <alignment horizontal="left" vertical="center" wrapText="1"/>
    </xf>
    <xf numFmtId="0" fontId="3" fillId="0" borderId="6" xfId="0" applyFont="1" applyFill="1" applyBorder="1" applyAlignment="1">
      <alignment horizontal="center" vertical="center" wrapText="1"/>
    </xf>
    <xf numFmtId="0" fontId="3" fillId="0" borderId="13" xfId="0" applyFont="1" applyFill="1" applyBorder="1" applyAlignment="1">
      <alignment horizontal="center" vertical="center" wrapText="1"/>
    </xf>
    <xf numFmtId="9" fontId="3" fillId="0" borderId="5" xfId="2" applyFont="1" applyFill="1" applyBorder="1" applyAlignment="1">
      <alignment horizontal="center" vertical="center"/>
    </xf>
    <xf numFmtId="9" fontId="3" fillId="0" borderId="9" xfId="2" applyFont="1" applyFill="1" applyBorder="1" applyAlignment="1">
      <alignment horizontal="center" vertical="center"/>
    </xf>
    <xf numFmtId="0" fontId="3" fillId="0" borderId="1" xfId="5" applyFont="1" applyFill="1" applyBorder="1" applyAlignment="1">
      <alignment horizontal="left" vertical="center" wrapText="1"/>
    </xf>
    <xf numFmtId="0" fontId="3" fillId="0" borderId="2" xfId="5" applyFont="1" applyFill="1" applyBorder="1" applyAlignment="1">
      <alignment horizontal="left" vertical="center" wrapText="1"/>
    </xf>
    <xf numFmtId="0" fontId="3" fillId="0" borderId="3" xfId="5" applyFont="1" applyFill="1" applyBorder="1" applyAlignment="1">
      <alignment horizontal="left" vertical="center" wrapText="1"/>
    </xf>
    <xf numFmtId="0" fontId="6" fillId="2" borderId="1" xfId="3" applyFont="1" applyFill="1" applyBorder="1" applyAlignment="1">
      <alignment vertical="center"/>
    </xf>
    <xf numFmtId="0" fontId="6" fillId="2" borderId="2" xfId="3" applyFont="1" applyFill="1" applyBorder="1" applyAlignment="1">
      <alignment vertical="center"/>
    </xf>
    <xf numFmtId="0" fontId="6" fillId="2" borderId="3" xfId="3" applyFont="1" applyFill="1" applyBorder="1" applyAlignment="1">
      <alignment vertical="center"/>
    </xf>
    <xf numFmtId="0" fontId="6" fillId="0" borderId="1" xfId="3" applyFont="1" applyFill="1" applyBorder="1" applyAlignment="1">
      <alignment horizontal="left" vertical="center"/>
    </xf>
    <xf numFmtId="0" fontId="6" fillId="0" borderId="2" xfId="3" applyFont="1" applyFill="1" applyBorder="1" applyAlignment="1">
      <alignment horizontal="left" vertical="center"/>
    </xf>
    <xf numFmtId="0" fontId="6" fillId="0" borderId="3" xfId="3" applyFont="1" applyFill="1" applyBorder="1" applyAlignment="1">
      <alignment horizontal="left" vertical="center"/>
    </xf>
    <xf numFmtId="0" fontId="3" fillId="7" borderId="1" xfId="3" applyFont="1" applyFill="1" applyBorder="1" applyAlignment="1">
      <alignment horizontal="justify" vertical="center" wrapText="1"/>
    </xf>
    <xf numFmtId="0" fontId="3" fillId="7" borderId="2" xfId="3" applyFont="1" applyFill="1" applyBorder="1" applyAlignment="1">
      <alignment horizontal="justify" vertical="center" wrapText="1"/>
    </xf>
    <xf numFmtId="0" fontId="3" fillId="7" borderId="3" xfId="3" applyFont="1" applyFill="1" applyBorder="1" applyAlignment="1">
      <alignment horizontal="justify" vertical="center" wrapText="1"/>
    </xf>
    <xf numFmtId="2" fontId="3" fillId="0" borderId="1" xfId="0" applyNumberFormat="1" applyFont="1" applyFill="1" applyBorder="1" applyAlignment="1">
      <alignment horizontal="center" vertical="center" wrapText="1"/>
    </xf>
    <xf numFmtId="0" fontId="3" fillId="3" borderId="5" xfId="5" applyFont="1" applyFill="1" applyBorder="1" applyAlignment="1">
      <alignment horizontal="center" vertical="center" wrapText="1"/>
    </xf>
    <xf numFmtId="0" fontId="3" fillId="3" borderId="12" xfId="5" applyFont="1" applyFill="1" applyBorder="1" applyAlignment="1">
      <alignment horizontal="center" vertical="center" wrapText="1"/>
    </xf>
    <xf numFmtId="0" fontId="3" fillId="3" borderId="9" xfId="5" applyFont="1" applyFill="1" applyBorder="1" applyAlignment="1">
      <alignment horizontal="center" vertical="center" wrapText="1"/>
    </xf>
    <xf numFmtId="166" fontId="12" fillId="2" borderId="1" xfId="0" applyNumberFormat="1" applyFont="1" applyFill="1" applyBorder="1" applyAlignment="1">
      <alignment horizontal="center" vertical="center" wrapText="1"/>
    </xf>
    <xf numFmtId="166" fontId="12" fillId="2" borderId="3" xfId="0" applyNumberFormat="1" applyFont="1" applyFill="1" applyBorder="1" applyAlignment="1">
      <alignment horizontal="center" vertical="center" wrapText="1"/>
    </xf>
    <xf numFmtId="0" fontId="6" fillId="0" borderId="1" xfId="0" applyFont="1" applyFill="1" applyBorder="1" applyAlignment="1">
      <alignment horizontal="left" vertical="center"/>
    </xf>
    <xf numFmtId="0" fontId="6" fillId="0" borderId="2" xfId="0" applyFont="1" applyFill="1" applyBorder="1" applyAlignment="1">
      <alignment horizontal="left" vertical="center"/>
    </xf>
    <xf numFmtId="0" fontId="6" fillId="0" borderId="3" xfId="0" applyFont="1" applyFill="1" applyBorder="1" applyAlignment="1">
      <alignment horizontal="left" vertical="center"/>
    </xf>
    <xf numFmtId="0" fontId="6" fillId="0" borderId="5" xfId="0" applyFont="1" applyFill="1" applyBorder="1" applyAlignment="1">
      <alignment horizontal="center" vertical="center"/>
    </xf>
    <xf numFmtId="0" fontId="6" fillId="0" borderId="12" xfId="0" applyFont="1" applyFill="1" applyBorder="1" applyAlignment="1">
      <alignment horizontal="center" vertical="center"/>
    </xf>
    <xf numFmtId="0" fontId="6" fillId="0" borderId="9" xfId="0" applyFont="1" applyFill="1" applyBorder="1" applyAlignment="1">
      <alignment horizontal="center" vertical="center"/>
    </xf>
    <xf numFmtId="0" fontId="3" fillId="0" borderId="53" xfId="0" applyFont="1" applyFill="1" applyBorder="1" applyAlignment="1">
      <alignment horizontal="left" vertical="center" wrapText="1"/>
    </xf>
    <xf numFmtId="0" fontId="3" fillId="0" borderId="54" xfId="0" applyFont="1" applyFill="1" applyBorder="1" applyAlignment="1">
      <alignment horizontal="left" vertical="center" wrapText="1"/>
    </xf>
    <xf numFmtId="0" fontId="3" fillId="0" borderId="55" xfId="0" applyFont="1" applyFill="1" applyBorder="1" applyAlignment="1">
      <alignment horizontal="left" vertical="center" wrapText="1"/>
    </xf>
    <xf numFmtId="168" fontId="3" fillId="0" borderId="56" xfId="0" applyNumberFormat="1" applyFont="1" applyFill="1" applyBorder="1" applyAlignment="1">
      <alignment horizontal="center" vertical="center" wrapText="1"/>
    </xf>
    <xf numFmtId="168" fontId="3" fillId="0" borderId="57" xfId="0" applyNumberFormat="1" applyFont="1" applyFill="1" applyBorder="1" applyAlignment="1">
      <alignment horizontal="center" vertical="center" wrapText="1"/>
    </xf>
    <xf numFmtId="0" fontId="27" fillId="21" borderId="1" xfId="0" applyFont="1" applyFill="1" applyBorder="1" applyAlignment="1">
      <alignment horizontal="left" vertical="center" wrapText="1"/>
    </xf>
    <xf numFmtId="0" fontId="27" fillId="21" borderId="2" xfId="0" applyFont="1" applyFill="1" applyBorder="1" applyAlignment="1">
      <alignment horizontal="left" vertical="center" wrapText="1"/>
    </xf>
    <xf numFmtId="0" fontId="27" fillId="21" borderId="3" xfId="0" applyFont="1" applyFill="1" applyBorder="1" applyAlignment="1">
      <alignment horizontal="left" vertical="center" wrapText="1"/>
    </xf>
    <xf numFmtId="0" fontId="27" fillId="0" borderId="1" xfId="0" applyFont="1" applyBorder="1" applyAlignment="1">
      <alignment horizontal="center" vertical="center" wrapText="1"/>
    </xf>
    <xf numFmtId="0" fontId="27" fillId="0" borderId="3" xfId="0" applyFont="1" applyBorder="1" applyAlignment="1">
      <alignment horizontal="center" vertical="center" wrapText="1"/>
    </xf>
    <xf numFmtId="0" fontId="3" fillId="0" borderId="3" xfId="7" applyFont="1" applyBorder="1" applyAlignment="1">
      <alignment horizontal="left" vertical="center" wrapText="1"/>
    </xf>
    <xf numFmtId="0" fontId="0" fillId="0" borderId="14" xfId="0" applyBorder="1"/>
    <xf numFmtId="0" fontId="3" fillId="7" borderId="14" xfId="0" applyFont="1" applyFill="1" applyBorder="1" applyAlignment="1">
      <alignment horizontal="left" vertical="center"/>
    </xf>
    <xf numFmtId="0" fontId="0" fillId="0" borderId="15" xfId="0" applyBorder="1"/>
    <xf numFmtId="0" fontId="6" fillId="2" borderId="3" xfId="7" applyFont="1" applyFill="1" applyBorder="1" applyAlignment="1">
      <alignment horizontal="left" vertical="center" wrapText="1"/>
    </xf>
    <xf numFmtId="0" fontId="0" fillId="0" borderId="7" xfId="0" applyBorder="1"/>
    <xf numFmtId="0" fontId="0" fillId="0" borderId="8" xfId="0" applyBorder="1"/>
    <xf numFmtId="2" fontId="3" fillId="0" borderId="5" xfId="0" applyNumberFormat="1" applyFont="1" applyFill="1" applyBorder="1" applyAlignment="1">
      <alignment horizontal="center" vertical="center"/>
    </xf>
    <xf numFmtId="2" fontId="3" fillId="0" borderId="9" xfId="0" applyNumberFormat="1" applyFont="1" applyFill="1" applyBorder="1" applyAlignment="1">
      <alignment horizontal="center" vertical="center"/>
    </xf>
    <xf numFmtId="0" fontId="6" fillId="0" borderId="4" xfId="0" applyFont="1" applyFill="1" applyBorder="1" applyAlignment="1">
      <alignment horizontal="left" vertical="center" wrapText="1"/>
    </xf>
    <xf numFmtId="0" fontId="6" fillId="0" borderId="4" xfId="0" applyFont="1" applyBorder="1" applyAlignment="1">
      <alignment horizontal="left" vertical="center"/>
    </xf>
    <xf numFmtId="4" fontId="3" fillId="0" borderId="5" xfId="5" applyNumberFormat="1" applyFont="1" applyBorder="1" applyAlignment="1">
      <alignment horizontal="center" vertical="center" wrapText="1"/>
    </xf>
    <xf numFmtId="4" fontId="3" fillId="0" borderId="9" xfId="5" applyNumberFormat="1" applyFont="1" applyBorder="1" applyAlignment="1">
      <alignment horizontal="center" vertical="center" wrapText="1"/>
    </xf>
    <xf numFmtId="164" fontId="3" fillId="7" borderId="13" xfId="9" applyFont="1" applyFill="1" applyBorder="1" applyAlignment="1" applyProtection="1">
      <alignment horizontal="left" vertical="center" wrapText="1"/>
      <protection hidden="1"/>
    </xf>
    <xf numFmtId="164" fontId="3" fillId="7" borderId="14" xfId="9" applyFont="1" applyFill="1" applyBorder="1" applyAlignment="1" applyProtection="1">
      <alignment horizontal="left" vertical="center" wrapText="1"/>
      <protection hidden="1"/>
    </xf>
    <xf numFmtId="0" fontId="3" fillId="7" borderId="1" xfId="11" applyFont="1" applyFill="1" applyBorder="1" applyAlignment="1">
      <alignment horizontal="left" vertical="center" wrapText="1"/>
    </xf>
    <xf numFmtId="0" fontId="3" fillId="7" borderId="2" xfId="11" applyFont="1" applyFill="1" applyBorder="1" applyAlignment="1">
      <alignment horizontal="left" vertical="center" wrapText="1"/>
    </xf>
    <xf numFmtId="0" fontId="3" fillId="7" borderId="3" xfId="11" applyFont="1" applyFill="1" applyBorder="1" applyAlignment="1">
      <alignment horizontal="left" vertical="center" wrapText="1"/>
    </xf>
    <xf numFmtId="0" fontId="3" fillId="3" borderId="1" xfId="11" applyFont="1" applyFill="1" applyBorder="1" applyAlignment="1">
      <alignment horizontal="left" vertical="center" wrapText="1"/>
    </xf>
    <xf numFmtId="0" fontId="3" fillId="3" borderId="2" xfId="11" applyFont="1" applyFill="1" applyBorder="1" applyAlignment="1">
      <alignment horizontal="left" vertical="center" wrapText="1"/>
    </xf>
    <xf numFmtId="164" fontId="3" fillId="7" borderId="2" xfId="10" applyFont="1" applyFill="1" applyBorder="1" applyAlignment="1" applyProtection="1">
      <alignment horizontal="left" vertical="center" wrapText="1"/>
      <protection hidden="1"/>
    </xf>
    <xf numFmtId="164" fontId="3" fillId="7" borderId="3" xfId="10" applyFont="1" applyFill="1" applyBorder="1" applyAlignment="1" applyProtection="1">
      <alignment horizontal="left" vertical="center" wrapText="1"/>
      <protection hidden="1"/>
    </xf>
    <xf numFmtId="0" fontId="6" fillId="7" borderId="5" xfId="0" applyFont="1" applyFill="1" applyBorder="1" applyAlignment="1">
      <alignment horizontal="center" vertical="center"/>
    </xf>
    <xf numFmtId="0" fontId="6" fillId="7" borderId="9" xfId="0" applyFont="1" applyFill="1" applyBorder="1" applyAlignment="1">
      <alignment horizontal="center" vertical="center"/>
    </xf>
    <xf numFmtId="164" fontId="3" fillId="7" borderId="6" xfId="9" applyFont="1" applyFill="1" applyBorder="1" applyAlignment="1" applyProtection="1">
      <alignment horizontal="left" vertical="center" wrapText="1"/>
      <protection hidden="1"/>
    </xf>
    <xf numFmtId="164" fontId="3" fillId="7" borderId="7" xfId="9" applyFont="1" applyFill="1" applyBorder="1" applyAlignment="1" applyProtection="1">
      <alignment horizontal="left" vertical="center" wrapText="1"/>
      <protection hidden="1"/>
    </xf>
    <xf numFmtId="0" fontId="3" fillId="0" borderId="7" xfId="0" applyFont="1" applyBorder="1" applyAlignment="1">
      <alignment horizontal="left" vertical="center"/>
    </xf>
    <xf numFmtId="0" fontId="3" fillId="0" borderId="8" xfId="0" applyFont="1" applyBorder="1" applyAlignment="1">
      <alignment horizontal="left" vertical="center"/>
    </xf>
    <xf numFmtId="2" fontId="3" fillId="3" borderId="8" xfId="0" applyNumberFormat="1" applyFont="1" applyFill="1" applyBorder="1" applyAlignment="1">
      <alignment horizontal="center" vertical="center"/>
    </xf>
    <xf numFmtId="2" fontId="3" fillId="3" borderId="11" xfId="0" applyNumberFormat="1" applyFont="1" applyFill="1" applyBorder="1" applyAlignment="1">
      <alignment horizontal="center" vertical="center"/>
    </xf>
    <xf numFmtId="164" fontId="3" fillId="3" borderId="6" xfId="10" applyFont="1" applyFill="1" applyBorder="1" applyAlignment="1" applyProtection="1">
      <alignment horizontal="left" vertical="center" wrapText="1"/>
      <protection hidden="1"/>
    </xf>
    <xf numFmtId="164" fontId="3" fillId="3" borderId="7" xfId="10" applyFont="1" applyFill="1" applyBorder="1" applyAlignment="1" applyProtection="1">
      <alignment horizontal="left" vertical="center" wrapText="1"/>
      <protection hidden="1"/>
    </xf>
    <xf numFmtId="164" fontId="3" fillId="3" borderId="7" xfId="10" applyFont="1" applyFill="1" applyBorder="1" applyAlignment="1">
      <alignment horizontal="left" vertical="center"/>
    </xf>
    <xf numFmtId="2" fontId="3" fillId="3" borderId="15" xfId="0" applyNumberFormat="1" applyFont="1" applyFill="1" applyBorder="1" applyAlignment="1">
      <alignment horizontal="center" vertical="center"/>
    </xf>
    <xf numFmtId="164" fontId="3" fillId="3" borderId="10" xfId="10" applyFont="1" applyFill="1" applyBorder="1" applyAlignment="1" applyProtection="1">
      <alignment horizontal="left" vertical="center" wrapText="1"/>
      <protection hidden="1"/>
    </xf>
    <xf numFmtId="164" fontId="3" fillId="3" borderId="0" xfId="10" applyFont="1" applyFill="1" applyBorder="1" applyAlignment="1" applyProtection="1">
      <alignment horizontal="left" vertical="center" wrapText="1"/>
      <protection hidden="1"/>
    </xf>
    <xf numFmtId="4" fontId="3" fillId="3" borderId="43" xfId="0" applyNumberFormat="1" applyFont="1" applyFill="1" applyBorder="1" applyAlignment="1">
      <alignment horizontal="center" vertical="center" wrapText="1"/>
    </xf>
    <xf numFmtId="4" fontId="3" fillId="3" borderId="47" xfId="0" applyNumberFormat="1" applyFont="1" applyFill="1" applyBorder="1" applyAlignment="1">
      <alignment horizontal="center" vertical="center" wrapText="1"/>
    </xf>
    <xf numFmtId="4" fontId="3" fillId="3" borderId="52" xfId="0" applyNumberFormat="1" applyFont="1" applyFill="1" applyBorder="1" applyAlignment="1">
      <alignment horizontal="center" vertical="center" wrapText="1"/>
    </xf>
    <xf numFmtId="9" fontId="3" fillId="3" borderId="5" xfId="0" applyNumberFormat="1" applyFont="1" applyFill="1" applyBorder="1" applyAlignment="1">
      <alignment horizontal="center" vertical="center" wrapText="1"/>
    </xf>
    <xf numFmtId="9" fontId="3" fillId="3" borderId="12" xfId="0" applyNumberFormat="1" applyFont="1" applyFill="1" applyBorder="1" applyAlignment="1">
      <alignment horizontal="center" vertical="center" wrapText="1"/>
    </xf>
    <xf numFmtId="9" fontId="3" fillId="3" borderId="9" xfId="0" applyNumberFormat="1" applyFont="1" applyFill="1" applyBorder="1" applyAlignment="1">
      <alignment horizontal="center" vertical="center" wrapText="1"/>
    </xf>
    <xf numFmtId="0" fontId="3" fillId="7" borderId="45" xfId="4" applyFont="1" applyFill="1" applyBorder="1" applyAlignment="1">
      <alignment horizontal="left" vertical="center" wrapText="1"/>
    </xf>
    <xf numFmtId="0" fontId="3" fillId="7" borderId="49" xfId="4" applyFont="1" applyFill="1" applyBorder="1" applyAlignment="1">
      <alignment horizontal="left" vertical="center" wrapText="1"/>
    </xf>
    <xf numFmtId="0" fontId="3" fillId="7" borderId="50" xfId="4" applyFont="1" applyFill="1" applyBorder="1" applyAlignment="1">
      <alignment horizontal="left" vertical="center" wrapText="1"/>
    </xf>
    <xf numFmtId="0" fontId="3" fillId="7" borderId="51" xfId="4" applyFont="1" applyFill="1" applyBorder="1" applyAlignment="1">
      <alignment horizontal="left" vertical="center" wrapText="1"/>
    </xf>
    <xf numFmtId="0" fontId="3" fillId="7" borderId="1" xfId="4" applyFont="1" applyFill="1" applyBorder="1" applyAlignment="1">
      <alignment horizontal="left" vertical="center" wrapText="1"/>
    </xf>
    <xf numFmtId="0" fontId="3" fillId="7" borderId="2" xfId="4" applyFont="1" applyFill="1" applyBorder="1" applyAlignment="1">
      <alignment horizontal="left" vertical="center" wrapText="1"/>
    </xf>
    <xf numFmtId="0" fontId="3" fillId="7" borderId="36" xfId="4" applyFont="1" applyFill="1" applyBorder="1" applyAlignment="1">
      <alignment horizontal="left" vertical="center" wrapText="1"/>
    </xf>
    <xf numFmtId="0" fontId="3" fillId="7" borderId="37" xfId="4" applyFont="1" applyFill="1" applyBorder="1" applyAlignment="1">
      <alignment horizontal="left" vertical="center" wrapText="1"/>
    </xf>
    <xf numFmtId="0" fontId="3" fillId="7" borderId="38" xfId="4" applyFont="1" applyFill="1" applyBorder="1" applyAlignment="1">
      <alignment horizontal="left" vertical="center" wrapText="1"/>
    </xf>
    <xf numFmtId="0" fontId="6" fillId="3" borderId="39" xfId="0" applyFont="1" applyFill="1" applyBorder="1" applyAlignment="1">
      <alignment horizontal="center" vertical="center" wrapText="1"/>
    </xf>
    <xf numFmtId="0" fontId="6" fillId="3" borderId="44" xfId="0" applyFont="1" applyFill="1" applyBorder="1" applyAlignment="1">
      <alignment horizontal="center" vertical="center" wrapText="1"/>
    </xf>
    <xf numFmtId="0" fontId="6" fillId="3" borderId="48" xfId="0" applyFont="1" applyFill="1" applyBorder="1" applyAlignment="1">
      <alignment horizontal="center" vertical="center" wrapText="1"/>
    </xf>
    <xf numFmtId="164" fontId="3" fillId="7" borderId="40" xfId="9" applyFont="1" applyFill="1" applyBorder="1" applyAlignment="1" applyProtection="1">
      <alignment horizontal="left" vertical="center" wrapText="1"/>
      <protection hidden="1"/>
    </xf>
    <xf numFmtId="164" fontId="3" fillId="7" borderId="41" xfId="9" applyFont="1" applyFill="1" applyBorder="1" applyAlignment="1" applyProtection="1">
      <alignment horizontal="left" vertical="center" wrapText="1"/>
      <protection hidden="1"/>
    </xf>
    <xf numFmtId="0" fontId="3" fillId="7" borderId="41" xfId="4" applyFont="1" applyFill="1" applyBorder="1" applyAlignment="1">
      <alignment horizontal="left" vertical="center" wrapText="1"/>
    </xf>
    <xf numFmtId="0" fontId="3" fillId="7" borderId="41" xfId="0" applyFont="1" applyFill="1" applyBorder="1" applyAlignment="1" applyProtection="1">
      <alignment horizontal="left" vertical="center" wrapText="1"/>
      <protection hidden="1"/>
    </xf>
    <xf numFmtId="0" fontId="3" fillId="7" borderId="42" xfId="0" applyFont="1" applyFill="1" applyBorder="1" applyAlignment="1" applyProtection="1">
      <alignment horizontal="left" vertical="center" wrapText="1"/>
      <protection hidden="1"/>
    </xf>
    <xf numFmtId="0" fontId="3" fillId="0" borderId="10" xfId="5" applyFont="1" applyBorder="1" applyAlignment="1">
      <alignment horizontal="left" vertical="center" wrapText="1"/>
    </xf>
    <xf numFmtId="4" fontId="3" fillId="7" borderId="5" xfId="0" applyNumberFormat="1" applyFont="1" applyFill="1" applyBorder="1" applyAlignment="1">
      <alignment horizontal="center" vertical="center" wrapText="1"/>
    </xf>
    <xf numFmtId="4" fontId="3" fillId="7" borderId="12" xfId="0" applyNumberFormat="1" applyFont="1" applyFill="1" applyBorder="1" applyAlignment="1">
      <alignment horizontal="center" vertical="center" wrapText="1"/>
    </xf>
    <xf numFmtId="4" fontId="3" fillId="7" borderId="9" xfId="0" applyNumberFormat="1" applyFont="1" applyFill="1" applyBorder="1" applyAlignment="1">
      <alignment horizontal="center" vertical="center" wrapText="1"/>
    </xf>
    <xf numFmtId="9" fontId="3" fillId="7" borderId="5" xfId="2" applyFont="1" applyFill="1" applyBorder="1" applyAlignment="1">
      <alignment horizontal="center" vertical="center" wrapText="1"/>
    </xf>
    <xf numFmtId="9" fontId="3" fillId="7" borderId="12" xfId="2" applyFont="1" applyFill="1" applyBorder="1" applyAlignment="1">
      <alignment horizontal="center" vertical="center" wrapText="1"/>
    </xf>
    <xf numFmtId="9" fontId="3" fillId="7" borderId="9" xfId="2" applyFont="1" applyFill="1" applyBorder="1" applyAlignment="1">
      <alignment horizontal="center" vertical="center" wrapText="1"/>
    </xf>
    <xf numFmtId="0" fontId="3" fillId="7" borderId="10" xfId="4" applyFont="1" applyFill="1" applyBorder="1" applyAlignment="1">
      <alignment horizontal="left" vertical="center" wrapText="1"/>
    </xf>
    <xf numFmtId="0" fontId="3" fillId="7" borderId="13" xfId="4" applyFont="1" applyFill="1" applyBorder="1" applyAlignment="1">
      <alignment horizontal="left" vertical="center" wrapText="1"/>
    </xf>
    <xf numFmtId="0" fontId="3" fillId="7" borderId="15" xfId="4" applyFont="1" applyFill="1" applyBorder="1" applyAlignment="1">
      <alignment horizontal="left" vertical="center" wrapText="1"/>
    </xf>
    <xf numFmtId="4" fontId="3" fillId="3" borderId="5" xfId="0" applyNumberFormat="1" applyFont="1" applyFill="1" applyBorder="1" applyAlignment="1">
      <alignment horizontal="center" vertical="center" wrapText="1"/>
    </xf>
    <xf numFmtId="4" fontId="3" fillId="3" borderId="12" xfId="0" applyNumberFormat="1" applyFont="1" applyFill="1" applyBorder="1" applyAlignment="1">
      <alignment horizontal="center" vertical="center" wrapText="1"/>
    </xf>
    <xf numFmtId="0" fontId="3" fillId="3" borderId="10" xfId="4" applyFont="1" applyFill="1" applyBorder="1" applyAlignment="1">
      <alignment horizontal="left" vertical="center" wrapText="1"/>
    </xf>
    <xf numFmtId="164" fontId="3" fillId="7" borderId="1" xfId="9" applyFont="1" applyFill="1" applyBorder="1" applyAlignment="1" applyProtection="1">
      <alignment horizontal="left" vertical="center" wrapText="1"/>
      <protection hidden="1"/>
    </xf>
    <xf numFmtId="164" fontId="3" fillId="7" borderId="2" xfId="9" applyFont="1" applyFill="1" applyBorder="1" applyAlignment="1" applyProtection="1">
      <alignment horizontal="left" vertical="center" wrapText="1"/>
      <protection hidden="1"/>
    </xf>
    <xf numFmtId="164" fontId="3" fillId="7" borderId="3" xfId="9" applyFont="1" applyFill="1" applyBorder="1" applyAlignment="1" applyProtection="1">
      <alignment horizontal="left" vertical="center" wrapText="1"/>
      <protection hidden="1"/>
    </xf>
    <xf numFmtId="0" fontId="3" fillId="7" borderId="6" xfId="4" applyFont="1" applyFill="1" applyBorder="1" applyAlignment="1">
      <alignment horizontal="left" vertical="center" wrapText="1"/>
    </xf>
    <xf numFmtId="0" fontId="3" fillId="7" borderId="7" xfId="4" applyFont="1" applyFill="1" applyBorder="1" applyAlignment="1">
      <alignment horizontal="left" vertical="center" wrapText="1"/>
    </xf>
    <xf numFmtId="0" fontId="3" fillId="7" borderId="8" xfId="4" applyFont="1" applyFill="1" applyBorder="1" applyAlignment="1">
      <alignment horizontal="left" vertical="center" wrapText="1"/>
    </xf>
    <xf numFmtId="0" fontId="3" fillId="3" borderId="9" xfId="0" applyFont="1" applyFill="1" applyBorder="1" applyAlignment="1">
      <alignment horizontal="left" vertical="center" wrapText="1"/>
    </xf>
    <xf numFmtId="0" fontId="6" fillId="7" borderId="22" xfId="0" applyFont="1" applyFill="1" applyBorder="1" applyAlignment="1">
      <alignment horizontal="center" vertical="center" wrapText="1"/>
    </xf>
    <xf numFmtId="0" fontId="6" fillId="7" borderId="34" xfId="0" applyFont="1" applyFill="1" applyBorder="1" applyAlignment="1">
      <alignment horizontal="center" vertical="center" wrapText="1"/>
    </xf>
    <xf numFmtId="9" fontId="3" fillId="7" borderId="33" xfId="2" applyFont="1" applyFill="1" applyBorder="1" applyAlignment="1">
      <alignment horizontal="center" vertical="center" wrapText="1"/>
    </xf>
    <xf numFmtId="9" fontId="3" fillId="7" borderId="35" xfId="2" applyFont="1" applyFill="1" applyBorder="1" applyAlignment="1">
      <alignment horizontal="center" vertical="center" wrapText="1"/>
    </xf>
    <xf numFmtId="9" fontId="3" fillId="0" borderId="5" xfId="0" applyNumberFormat="1" applyFont="1" applyFill="1" applyBorder="1" applyAlignment="1">
      <alignment horizontal="center" vertical="center" wrapText="1"/>
    </xf>
    <xf numFmtId="9" fontId="3" fillId="0" borderId="9" xfId="0" applyNumberFormat="1" applyFont="1" applyFill="1" applyBorder="1" applyAlignment="1">
      <alignment horizontal="center" vertical="center" wrapText="1"/>
    </xf>
    <xf numFmtId="0" fontId="6" fillId="7" borderId="12" xfId="0" applyFont="1" applyFill="1" applyBorder="1" applyAlignment="1">
      <alignment horizontal="center" vertical="center"/>
    </xf>
    <xf numFmtId="0" fontId="3" fillId="7" borderId="3" xfId="4" applyFont="1" applyFill="1" applyBorder="1" applyAlignment="1">
      <alignment horizontal="left" vertical="center" wrapText="1"/>
    </xf>
    <xf numFmtId="0" fontId="3" fillId="7" borderId="2" xfId="0" applyFont="1" applyFill="1" applyBorder="1" applyAlignment="1">
      <alignment horizontal="left" vertical="center"/>
    </xf>
    <xf numFmtId="9" fontId="3" fillId="0" borderId="5" xfId="5" applyNumberFormat="1" applyFont="1" applyBorder="1" applyAlignment="1">
      <alignment horizontal="center" vertical="center" wrapText="1"/>
    </xf>
    <xf numFmtId="9" fontId="3" fillId="0" borderId="9" xfId="5" applyNumberFormat="1" applyFont="1" applyBorder="1" applyAlignment="1">
      <alignment horizontal="center" vertical="center" wrapText="1"/>
    </xf>
    <xf numFmtId="0" fontId="3" fillId="3" borderId="6" xfId="4" applyFont="1" applyFill="1" applyBorder="1" applyAlignment="1">
      <alignment horizontal="left" vertical="center" wrapText="1"/>
    </xf>
    <xf numFmtId="0" fontId="3" fillId="3" borderId="7" xfId="4" applyFont="1" applyFill="1" applyBorder="1" applyAlignment="1">
      <alignment horizontal="left" vertical="center" wrapText="1"/>
    </xf>
    <xf numFmtId="0" fontId="6" fillId="3" borderId="5" xfId="0" applyFont="1" applyFill="1" applyBorder="1" applyAlignment="1">
      <alignment horizontal="left" vertical="center" wrapText="1"/>
    </xf>
    <xf numFmtId="0" fontId="6" fillId="7" borderId="1" xfId="0" applyFont="1" applyFill="1" applyBorder="1" applyAlignment="1">
      <alignment horizontal="center" vertical="center" wrapText="1"/>
    </xf>
    <xf numFmtId="4" fontId="3" fillId="0" borderId="3" xfId="0" applyNumberFormat="1" applyFont="1" applyBorder="1" applyAlignment="1">
      <alignment horizontal="center" vertical="center" wrapText="1"/>
    </xf>
    <xf numFmtId="0" fontId="3" fillId="7" borderId="10" xfId="5" applyFont="1" applyFill="1" applyBorder="1" applyAlignment="1">
      <alignment horizontal="left" vertical="center" wrapText="1"/>
    </xf>
    <xf numFmtId="0" fontId="3" fillId="7" borderId="0" xfId="5" applyFont="1" applyFill="1" applyBorder="1" applyAlignment="1">
      <alignment horizontal="left" vertical="center" wrapText="1"/>
    </xf>
    <xf numFmtId="0" fontId="3" fillId="0" borderId="30" xfId="0" applyFont="1" applyFill="1" applyBorder="1" applyAlignment="1">
      <alignment horizontal="left" vertical="center" wrapText="1"/>
    </xf>
    <xf numFmtId="0" fontId="3" fillId="0" borderId="31" xfId="0" applyFont="1" applyFill="1" applyBorder="1" applyAlignment="1">
      <alignment horizontal="left" vertical="center" wrapText="1"/>
    </xf>
    <xf numFmtId="0" fontId="3" fillId="0" borderId="32" xfId="0" applyFont="1" applyFill="1" applyBorder="1" applyAlignment="1">
      <alignment horizontal="left" vertical="center" wrapText="1"/>
    </xf>
    <xf numFmtId="0" fontId="3" fillId="0" borderId="9" xfId="0" applyFont="1" applyFill="1" applyBorder="1" applyAlignment="1">
      <alignment horizontal="left" vertical="center" wrapText="1"/>
    </xf>
    <xf numFmtId="0" fontId="3" fillId="0" borderId="1" xfId="0" applyFont="1" applyFill="1" applyBorder="1" applyAlignment="1">
      <alignment vertical="center" wrapText="1"/>
    </xf>
    <xf numFmtId="0" fontId="3" fillId="0" borderId="2" xfId="0" applyFont="1" applyFill="1" applyBorder="1" applyAlignment="1">
      <alignment vertical="center" wrapText="1"/>
    </xf>
    <xf numFmtId="0" fontId="3" fillId="0" borderId="3" xfId="0" applyFont="1" applyFill="1" applyBorder="1" applyAlignment="1">
      <alignment vertical="center" wrapText="1"/>
    </xf>
    <xf numFmtId="2" fontId="3" fillId="0" borderId="5" xfId="0" applyNumberFormat="1" applyFont="1" applyFill="1" applyBorder="1" applyAlignment="1">
      <alignment horizontal="center" vertical="center" wrapText="1"/>
    </xf>
    <xf numFmtId="2" fontId="3" fillId="0" borderId="9" xfId="0" applyNumberFormat="1" applyFont="1" applyFill="1" applyBorder="1" applyAlignment="1">
      <alignment horizontal="center" vertical="center" wrapText="1"/>
    </xf>
    <xf numFmtId="0" fontId="6" fillId="0" borderId="7" xfId="0" applyFont="1" applyBorder="1" applyAlignment="1">
      <alignment horizontal="left" vertical="center"/>
    </xf>
    <xf numFmtId="0" fontId="6" fillId="0" borderId="7" xfId="0" applyFont="1" applyBorder="1" applyAlignment="1">
      <alignment horizontal="center"/>
    </xf>
    <xf numFmtId="0" fontId="6" fillId="0" borderId="8" xfId="0" applyFont="1" applyBorder="1" applyAlignment="1">
      <alignment horizontal="center"/>
    </xf>
    <xf numFmtId="2" fontId="3" fillId="0" borderId="12" xfId="0" applyNumberFormat="1" applyFont="1" applyFill="1" applyBorder="1" applyAlignment="1">
      <alignment horizontal="center" vertical="center" wrapText="1"/>
    </xf>
    <xf numFmtId="9" fontId="3" fillId="0" borderId="12" xfId="0" applyNumberFormat="1" applyFont="1" applyFill="1" applyBorder="1" applyAlignment="1">
      <alignment horizontal="center" vertical="center" wrapText="1"/>
    </xf>
    <xf numFmtId="0" fontId="6" fillId="7" borderId="23" xfId="0" applyFont="1" applyFill="1" applyBorder="1" applyAlignment="1">
      <alignment horizontal="center" vertical="center" wrapText="1"/>
    </xf>
    <xf numFmtId="0" fontId="6" fillId="7" borderId="27" xfId="0" applyFont="1" applyFill="1" applyBorder="1" applyAlignment="1">
      <alignment horizontal="center" vertical="center" wrapText="1"/>
    </xf>
    <xf numFmtId="0" fontId="3" fillId="7" borderId="24" xfId="4" applyFont="1" applyFill="1" applyBorder="1" applyAlignment="1">
      <alignment horizontal="left" vertical="center" wrapText="1"/>
    </xf>
    <xf numFmtId="4" fontId="3" fillId="7" borderId="25" xfId="0" applyNumberFormat="1" applyFont="1" applyFill="1" applyBorder="1" applyAlignment="1">
      <alignment horizontal="center" vertical="center" wrapText="1"/>
    </xf>
    <xf numFmtId="4" fontId="3" fillId="7" borderId="28" xfId="0" applyNumberFormat="1" applyFont="1" applyFill="1" applyBorder="1" applyAlignment="1">
      <alignment horizontal="center" vertical="center" wrapText="1"/>
    </xf>
    <xf numFmtId="9" fontId="3" fillId="7" borderId="26" xfId="2" applyFont="1" applyFill="1" applyBorder="1" applyAlignment="1">
      <alignment horizontal="center" vertical="center" wrapText="1"/>
    </xf>
    <xf numFmtId="9" fontId="3" fillId="7" borderId="29" xfId="2" applyFont="1" applyFill="1" applyBorder="1" applyAlignment="1">
      <alignment horizontal="center" vertical="center" wrapText="1"/>
    </xf>
    <xf numFmtId="172" fontId="3" fillId="7" borderId="0" xfId="1" applyFont="1" applyFill="1" applyBorder="1" applyAlignment="1" applyProtection="1">
      <alignment horizontal="left" vertical="center" wrapText="1"/>
      <protection hidden="1"/>
    </xf>
    <xf numFmtId="172" fontId="3" fillId="7" borderId="11" xfId="1" applyFont="1" applyFill="1" applyBorder="1" applyAlignment="1" applyProtection="1">
      <alignment horizontal="left" vertical="center" wrapText="1"/>
      <protection hidden="1"/>
    </xf>
    <xf numFmtId="0" fontId="3" fillId="0" borderId="0" xfId="0" applyFont="1" applyBorder="1" applyAlignment="1">
      <alignment vertical="center"/>
    </xf>
    <xf numFmtId="0" fontId="3" fillId="0" borderId="11" xfId="0" applyFont="1" applyBorder="1" applyAlignment="1">
      <alignment vertical="center"/>
    </xf>
    <xf numFmtId="172" fontId="3" fillId="7" borderId="6" xfId="1" applyFont="1" applyFill="1" applyBorder="1" applyAlignment="1" applyProtection="1">
      <alignment horizontal="left" vertical="center" wrapText="1"/>
      <protection hidden="1"/>
    </xf>
    <xf numFmtId="172" fontId="3" fillId="7" borderId="7" xfId="1" applyFont="1" applyFill="1" applyBorder="1" applyAlignment="1" applyProtection="1">
      <alignment horizontal="left" vertical="center" wrapText="1"/>
      <protection hidden="1"/>
    </xf>
    <xf numFmtId="172" fontId="3" fillId="7" borderId="7" xfId="1" applyFont="1" applyFill="1" applyBorder="1" applyAlignment="1">
      <alignment horizontal="left"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18" fillId="0" borderId="1" xfId="0" applyFont="1" applyBorder="1" applyAlignment="1">
      <alignment horizontal="left" vertical="center" wrapText="1"/>
    </xf>
    <xf numFmtId="0" fontId="3" fillId="0" borderId="7" xfId="4" applyFont="1" applyFill="1" applyBorder="1" applyAlignment="1">
      <alignment vertical="center" wrapText="1"/>
    </xf>
    <xf numFmtId="0" fontId="3" fillId="0" borderId="8" xfId="4" applyFont="1" applyFill="1" applyBorder="1" applyAlignment="1">
      <alignment vertical="center" wrapText="1"/>
    </xf>
    <xf numFmtId="0" fontId="3" fillId="0" borderId="6" xfId="4" applyFont="1" applyFill="1" applyBorder="1" applyAlignment="1">
      <alignment vertical="center" wrapText="1"/>
    </xf>
    <xf numFmtId="0" fontId="6" fillId="0" borderId="14" xfId="7" applyFont="1" applyFill="1" applyBorder="1" applyAlignment="1">
      <alignment horizontal="left" vertical="center" wrapText="1"/>
    </xf>
    <xf numFmtId="0" fontId="3" fillId="0" borderId="66" xfId="0" applyFont="1" applyFill="1" applyBorder="1" applyAlignment="1">
      <alignment horizontal="left" vertical="center" wrapText="1"/>
    </xf>
    <xf numFmtId="0" fontId="3" fillId="0" borderId="67" xfId="0" applyFont="1" applyFill="1" applyBorder="1" applyAlignment="1">
      <alignment horizontal="left" vertical="center" wrapText="1"/>
    </xf>
    <xf numFmtId="0" fontId="3" fillId="0" borderId="68" xfId="0" applyFont="1" applyFill="1" applyBorder="1" applyAlignment="1">
      <alignment horizontal="left" vertical="center" wrapText="1"/>
    </xf>
    <xf numFmtId="0" fontId="3" fillId="7" borderId="75" xfId="11" applyFont="1" applyFill="1" applyBorder="1" applyAlignment="1">
      <alignment horizontal="left" vertical="center" wrapText="1"/>
    </xf>
    <xf numFmtId="0" fontId="3" fillId="7" borderId="76" xfId="11" applyFont="1" applyFill="1" applyBorder="1" applyAlignment="1">
      <alignment horizontal="left" vertical="center" wrapText="1"/>
    </xf>
    <xf numFmtId="0" fontId="3" fillId="7" borderId="77" xfId="11" applyFont="1" applyFill="1" applyBorder="1" applyAlignment="1">
      <alignment horizontal="left" vertical="center" wrapText="1"/>
    </xf>
    <xf numFmtId="0" fontId="3" fillId="7" borderId="72" xfId="4" applyFont="1" applyFill="1" applyBorder="1" applyAlignment="1">
      <alignment horizontal="left" vertical="center" wrapText="1"/>
    </xf>
    <xf numFmtId="0" fontId="3" fillId="7" borderId="73" xfId="4" applyFont="1" applyFill="1" applyBorder="1" applyAlignment="1">
      <alignment horizontal="left" vertical="center" wrapText="1"/>
    </xf>
    <xf numFmtId="0" fontId="3" fillId="7" borderId="74" xfId="4" applyFont="1" applyFill="1" applyBorder="1" applyAlignment="1">
      <alignment horizontal="left" vertical="center" wrapText="1"/>
    </xf>
    <xf numFmtId="4" fontId="3" fillId="7" borderId="8" xfId="0" applyNumberFormat="1" applyFont="1" applyFill="1" applyBorder="1" applyAlignment="1">
      <alignment horizontal="center" vertical="center" wrapText="1"/>
    </xf>
    <xf numFmtId="4" fontId="3" fillId="7" borderId="15" xfId="0" applyNumberFormat="1" applyFont="1" applyFill="1" applyBorder="1" applyAlignment="1">
      <alignment horizontal="center" vertical="center" wrapText="1"/>
    </xf>
    <xf numFmtId="9" fontId="3" fillId="7" borderId="5" xfId="12" applyFont="1" applyFill="1" applyBorder="1" applyAlignment="1">
      <alignment horizontal="center" vertical="center" wrapText="1"/>
    </xf>
    <xf numFmtId="9" fontId="3" fillId="7" borderId="9" xfId="12" applyFont="1" applyFill="1" applyBorder="1" applyAlignment="1">
      <alignment horizontal="center" vertical="center" wrapText="1"/>
    </xf>
    <xf numFmtId="0" fontId="6" fillId="7" borderId="69" xfId="0" applyFont="1" applyFill="1" applyBorder="1" applyAlignment="1">
      <alignment horizontal="center" vertical="center" wrapText="1"/>
    </xf>
    <xf numFmtId="9" fontId="3" fillId="7" borderId="70" xfId="2" applyFont="1" applyFill="1" applyBorder="1" applyAlignment="1">
      <alignment horizontal="center" vertical="center" wrapText="1"/>
    </xf>
    <xf numFmtId="0" fontId="3" fillId="0" borderId="66" xfId="0" applyFont="1" applyFill="1" applyBorder="1" applyAlignment="1">
      <alignment vertical="center" wrapText="1"/>
    </xf>
    <xf numFmtId="0" fontId="3" fillId="0" borderId="67" xfId="0" applyFont="1" applyFill="1" applyBorder="1" applyAlignment="1">
      <alignment vertical="center" wrapText="1"/>
    </xf>
    <xf numFmtId="0" fontId="3" fillId="0" borderId="68" xfId="0" applyFont="1" applyFill="1" applyBorder="1" applyAlignment="1">
      <alignment vertical="center" wrapText="1"/>
    </xf>
    <xf numFmtId="4" fontId="3" fillId="7" borderId="4" xfId="0" applyNumberFormat="1" applyFont="1" applyFill="1" applyBorder="1" applyAlignment="1">
      <alignment horizontal="center" vertical="center" wrapText="1"/>
    </xf>
    <xf numFmtId="9" fontId="3" fillId="7" borderId="4" xfId="2" applyFont="1" applyFill="1" applyBorder="1" applyAlignment="1">
      <alignment horizontal="center" vertical="center" wrapText="1"/>
    </xf>
    <xf numFmtId="0" fontId="6" fillId="2" borderId="58" xfId="0" applyFont="1" applyFill="1" applyBorder="1" applyAlignment="1">
      <alignment horizontal="left" vertical="center" wrapText="1"/>
    </xf>
    <xf numFmtId="0" fontId="6" fillId="2" borderId="59" xfId="0" applyFont="1" applyFill="1" applyBorder="1" applyAlignment="1">
      <alignment horizontal="left" vertical="center" wrapText="1"/>
    </xf>
    <xf numFmtId="0" fontId="6" fillId="2" borderId="60" xfId="0" applyFont="1" applyFill="1" applyBorder="1" applyAlignment="1">
      <alignment horizontal="left" vertical="center" wrapText="1"/>
    </xf>
    <xf numFmtId="0" fontId="6" fillId="3" borderId="63" xfId="0" applyFont="1" applyFill="1" applyBorder="1" applyAlignment="1">
      <alignment horizontal="left" vertical="center" wrapText="1"/>
    </xf>
    <xf numFmtId="0" fontId="6" fillId="3" borderId="14" xfId="0" applyFont="1" applyFill="1" applyBorder="1" applyAlignment="1">
      <alignment horizontal="left" vertical="center" wrapText="1"/>
    </xf>
    <xf numFmtId="0" fontId="6" fillId="3" borderId="64" xfId="0" applyFont="1" applyFill="1" applyBorder="1" applyAlignment="1">
      <alignment horizontal="left" vertical="center" wrapText="1"/>
    </xf>
    <xf numFmtId="0" fontId="3" fillId="0" borderId="28" xfId="0" applyFont="1" applyFill="1" applyBorder="1" applyAlignment="1">
      <alignment horizontal="left" vertical="center" wrapText="1"/>
    </xf>
    <xf numFmtId="0" fontId="6" fillId="3" borderId="6" xfId="0" applyFont="1" applyFill="1" applyBorder="1" applyAlignment="1">
      <alignment horizontal="left" vertical="center" wrapText="1"/>
    </xf>
    <xf numFmtId="0" fontId="6" fillId="3" borderId="7" xfId="0" applyFont="1" applyFill="1" applyBorder="1" applyAlignment="1">
      <alignment horizontal="left" vertical="center" wrapText="1"/>
    </xf>
    <xf numFmtId="0" fontId="6" fillId="3" borderId="8" xfId="0" applyFont="1" applyFill="1" applyBorder="1" applyAlignment="1">
      <alignment horizontal="left" vertical="center" wrapText="1"/>
    </xf>
    <xf numFmtId="0" fontId="3" fillId="0" borderId="1" xfId="0" applyFont="1" applyBorder="1" applyAlignment="1">
      <alignment vertical="center"/>
    </xf>
    <xf numFmtId="0" fontId="3" fillId="0" borderId="2" xfId="0" applyFont="1" applyBorder="1" applyAlignment="1">
      <alignment vertical="center"/>
    </xf>
    <xf numFmtId="0" fontId="3" fillId="0" borderId="3" xfId="0" applyFont="1" applyBorder="1" applyAlignment="1">
      <alignment vertical="center"/>
    </xf>
    <xf numFmtId="0" fontId="11" fillId="2" borderId="15" xfId="0" applyFont="1" applyFill="1" applyBorder="1" applyAlignment="1">
      <alignment horizontal="center" vertical="center" wrapText="1"/>
    </xf>
    <xf numFmtId="0" fontId="6" fillId="2" borderId="2" xfId="4" applyFont="1" applyFill="1" applyBorder="1" applyAlignment="1">
      <alignment vertical="center" wrapText="1"/>
    </xf>
    <xf numFmtId="0" fontId="6" fillId="2" borderId="3" xfId="4" applyFont="1" applyFill="1" applyBorder="1" applyAlignment="1">
      <alignment vertical="center" wrapText="1"/>
    </xf>
    <xf numFmtId="0" fontId="6" fillId="0" borderId="6" xfId="0" applyFont="1" applyBorder="1" applyAlignment="1">
      <alignment horizontal="left" vertical="center" wrapText="1"/>
    </xf>
    <xf numFmtId="0" fontId="6" fillId="0" borderId="7" xfId="0" applyFont="1" applyBorder="1" applyAlignment="1">
      <alignment horizontal="left" vertical="center" wrapText="1"/>
    </xf>
    <xf numFmtId="0" fontId="6" fillId="0" borderId="8" xfId="0" applyFont="1" applyBorder="1" applyAlignment="1">
      <alignment horizontal="left" vertical="center" wrapText="1"/>
    </xf>
    <xf numFmtId="0" fontId="6" fillId="0" borderId="6" xfId="0" applyFont="1" applyFill="1" applyBorder="1" applyAlignment="1">
      <alignment horizontal="left" vertical="center" wrapText="1"/>
    </xf>
    <xf numFmtId="0" fontId="6" fillId="0" borderId="7" xfId="0" applyFont="1" applyFill="1" applyBorder="1" applyAlignment="1">
      <alignment horizontal="left" vertical="center" wrapText="1"/>
    </xf>
    <xf numFmtId="0" fontId="6" fillId="0" borderId="8" xfId="0" applyFont="1" applyFill="1" applyBorder="1" applyAlignment="1">
      <alignment horizontal="left" vertical="center" wrapText="1"/>
    </xf>
    <xf numFmtId="0" fontId="6" fillId="0" borderId="7" xfId="0" applyFont="1" applyFill="1" applyBorder="1" applyAlignment="1">
      <alignment horizontal="justify" vertical="center" wrapText="1"/>
    </xf>
    <xf numFmtId="0" fontId="20" fillId="0" borderId="0" xfId="0" applyFont="1" applyBorder="1" applyAlignment="1">
      <alignment horizontal="center" vertical="center"/>
    </xf>
    <xf numFmtId="0" fontId="20" fillId="0" borderId="0" xfId="0" applyFont="1" applyBorder="1" applyAlignment="1">
      <alignment horizontal="left" vertical="center"/>
    </xf>
    <xf numFmtId="0" fontId="3" fillId="3" borderId="3" xfId="7" applyFont="1" applyFill="1" applyBorder="1" applyAlignment="1" applyProtection="1">
      <alignment vertical="center" wrapText="1"/>
      <protection hidden="1"/>
    </xf>
    <xf numFmtId="0" fontId="3" fillId="0" borderId="11" xfId="0" applyFont="1" applyFill="1" applyBorder="1" applyAlignment="1">
      <alignment horizontal="left" vertical="center"/>
    </xf>
    <xf numFmtId="0" fontId="3" fillId="3" borderId="7" xfId="0" applyFont="1" applyFill="1" applyBorder="1" applyAlignment="1">
      <alignment vertical="center" wrapText="1"/>
    </xf>
    <xf numFmtId="0" fontId="3" fillId="3" borderId="8" xfId="0" applyFont="1" applyFill="1" applyBorder="1" applyAlignment="1">
      <alignment vertical="center" wrapText="1"/>
    </xf>
    <xf numFmtId="0" fontId="3" fillId="21" borderId="6" xfId="0" applyFont="1" applyFill="1" applyBorder="1" applyAlignment="1">
      <alignment horizontal="left" vertical="center" wrapText="1"/>
    </xf>
    <xf numFmtId="0" fontId="3" fillId="21" borderId="7" xfId="0" applyFont="1" applyFill="1" applyBorder="1" applyAlignment="1">
      <alignment horizontal="left" vertical="center" wrapText="1"/>
    </xf>
    <xf numFmtId="0" fontId="3" fillId="21" borderId="8" xfId="0" applyFont="1" applyFill="1" applyBorder="1" applyAlignment="1">
      <alignment horizontal="left" vertical="center" wrapText="1"/>
    </xf>
    <xf numFmtId="0" fontId="6" fillId="2" borderId="1" xfId="0" applyFont="1" applyFill="1" applyBorder="1" applyAlignment="1">
      <alignment vertical="center" wrapText="1"/>
    </xf>
    <xf numFmtId="0" fontId="6" fillId="2" borderId="2" xfId="0" applyFont="1" applyFill="1" applyBorder="1" applyAlignment="1">
      <alignment vertical="center" wrapText="1"/>
    </xf>
    <xf numFmtId="0" fontId="6" fillId="2" borderId="3" xfId="0" applyFont="1" applyFill="1" applyBorder="1" applyAlignment="1">
      <alignment vertical="center" wrapText="1"/>
    </xf>
    <xf numFmtId="4" fontId="3" fillId="7" borderId="5" xfId="0" applyNumberFormat="1" applyFont="1" applyFill="1" applyBorder="1" applyAlignment="1">
      <alignment horizontal="center" vertical="center"/>
    </xf>
    <xf numFmtId="4" fontId="3" fillId="7" borderId="9" xfId="0" applyNumberFormat="1" applyFont="1" applyFill="1" applyBorder="1" applyAlignment="1">
      <alignment horizontal="center" vertical="center"/>
    </xf>
    <xf numFmtId="4" fontId="3" fillId="7" borderId="12" xfId="0" applyNumberFormat="1" applyFont="1" applyFill="1" applyBorder="1" applyAlignment="1">
      <alignment horizontal="center" vertical="center"/>
    </xf>
    <xf numFmtId="0" fontId="3" fillId="0" borderId="8" xfId="5" applyFont="1" applyBorder="1" applyAlignment="1">
      <alignment horizontal="left" vertical="center" wrapText="1"/>
    </xf>
    <xf numFmtId="9" fontId="3" fillId="0" borderId="15" xfId="2" applyFont="1" applyBorder="1" applyAlignment="1">
      <alignment horizontal="center" vertical="center" wrapText="1"/>
    </xf>
    <xf numFmtId="0" fontId="3" fillId="0" borderId="13" xfId="0" applyFont="1" applyBorder="1" applyAlignment="1">
      <alignment horizontal="center" vertical="center" wrapText="1"/>
    </xf>
    <xf numFmtId="49" fontId="3" fillId="0" borderId="6" xfId="0" applyNumberFormat="1" applyFont="1" applyBorder="1" applyAlignment="1">
      <alignment horizontal="left" vertical="center" wrapText="1"/>
    </xf>
    <xf numFmtId="49" fontId="3" fillId="0" borderId="7" xfId="0" applyNumberFormat="1" applyFont="1" applyBorder="1" applyAlignment="1">
      <alignment horizontal="left" vertical="center" wrapText="1"/>
    </xf>
    <xf numFmtId="49" fontId="3" fillId="0" borderId="8" xfId="0" applyNumberFormat="1" applyFont="1" applyBorder="1" applyAlignment="1">
      <alignment horizontal="left" vertical="center" wrapText="1"/>
    </xf>
    <xf numFmtId="0" fontId="6" fillId="2" borderId="13" xfId="0" applyFont="1" applyFill="1" applyBorder="1" applyAlignment="1">
      <alignment horizontal="left" vertical="center" wrapText="1"/>
    </xf>
    <xf numFmtId="2" fontId="3" fillId="7" borderId="5" xfId="0" applyNumberFormat="1" applyFont="1" applyFill="1" applyBorder="1" applyAlignment="1">
      <alignment horizontal="center" vertical="center" wrapText="1"/>
    </xf>
    <xf numFmtId="2" fontId="3" fillId="7" borderId="12" xfId="0" applyNumberFormat="1" applyFont="1" applyFill="1" applyBorder="1" applyAlignment="1">
      <alignment horizontal="center" vertical="center" wrapText="1"/>
    </xf>
    <xf numFmtId="2" fontId="3" fillId="7" borderId="9" xfId="0" applyNumberFormat="1" applyFont="1" applyFill="1" applyBorder="1" applyAlignment="1">
      <alignment horizontal="center" vertical="center" wrapText="1"/>
    </xf>
    <xf numFmtId="2" fontId="3" fillId="7" borderId="6" xfId="0" applyNumberFormat="1" applyFont="1" applyFill="1" applyBorder="1" applyAlignment="1">
      <alignment horizontal="center" vertical="center"/>
    </xf>
    <xf numFmtId="2" fontId="3" fillId="7" borderId="10" xfId="0" applyNumberFormat="1" applyFont="1" applyFill="1" applyBorder="1" applyAlignment="1">
      <alignment horizontal="center" vertical="center"/>
    </xf>
    <xf numFmtId="2" fontId="3" fillId="7" borderId="13" xfId="0" applyNumberFormat="1" applyFont="1" applyFill="1" applyBorder="1" applyAlignment="1">
      <alignment horizontal="center" vertical="center"/>
    </xf>
    <xf numFmtId="0" fontId="3" fillId="0" borderId="14" xfId="0" applyFont="1" applyBorder="1" applyAlignment="1">
      <alignment horizontal="justify" vertical="center"/>
    </xf>
    <xf numFmtId="0" fontId="3" fillId="0" borderId="15" xfId="0" applyFont="1" applyBorder="1" applyAlignment="1">
      <alignment horizontal="justify" vertical="center"/>
    </xf>
    <xf numFmtId="0" fontId="3" fillId="0" borderId="13" xfId="0" applyFont="1" applyBorder="1" applyAlignment="1">
      <alignment vertical="center"/>
    </xf>
    <xf numFmtId="0" fontId="3" fillId="0" borderId="14" xfId="0" applyFont="1" applyBorder="1" applyAlignment="1">
      <alignment vertical="center"/>
    </xf>
    <xf numFmtId="170" fontId="3" fillId="0" borderId="13" xfId="0" applyNumberFormat="1" applyFont="1" applyBorder="1" applyAlignment="1">
      <alignment horizontal="center" vertical="center"/>
    </xf>
    <xf numFmtId="170" fontId="3" fillId="0" borderId="15" xfId="0" applyNumberFormat="1" applyFont="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2" fontId="3" fillId="0" borderId="4" xfId="0" applyNumberFormat="1" applyFont="1" applyFill="1" applyBorder="1" applyAlignment="1">
      <alignment horizontal="center" vertical="center" wrapText="1"/>
    </xf>
    <xf numFmtId="0" fontId="3" fillId="0" borderId="4" xfId="0" applyFont="1" applyFill="1" applyBorder="1" applyAlignment="1">
      <alignment vertical="center"/>
    </xf>
    <xf numFmtId="0" fontId="6" fillId="2" borderId="4" xfId="0" applyFont="1" applyFill="1" applyBorder="1" applyAlignment="1">
      <alignment vertical="center"/>
    </xf>
    <xf numFmtId="0" fontId="3" fillId="2" borderId="4" xfId="0" applyFont="1" applyFill="1" applyBorder="1" applyAlignment="1">
      <alignment vertical="center"/>
    </xf>
    <xf numFmtId="0" fontId="6" fillId="0" borderId="4" xfId="0" applyFont="1" applyFill="1" applyBorder="1" applyAlignment="1">
      <alignment horizontal="left" vertical="center"/>
    </xf>
    <xf numFmtId="0" fontId="6" fillId="2" borderId="4" xfId="0" applyFont="1" applyFill="1" applyBorder="1" applyAlignment="1">
      <alignment horizontal="left" vertical="center"/>
    </xf>
    <xf numFmtId="168" fontId="3" fillId="0" borderId="78" xfId="0" applyNumberFormat="1" applyFont="1" applyFill="1" applyBorder="1" applyAlignment="1">
      <alignment horizontal="center" vertical="center" wrapText="1"/>
    </xf>
    <xf numFmtId="168" fontId="3" fillId="0" borderId="79" xfId="0" applyNumberFormat="1" applyFont="1" applyFill="1" applyBorder="1" applyAlignment="1">
      <alignment horizontal="center" vertical="center" wrapText="1"/>
    </xf>
    <xf numFmtId="0" fontId="6" fillId="12" borderId="4" xfId="0" applyFont="1" applyFill="1" applyBorder="1" applyAlignment="1">
      <alignment vertical="center"/>
    </xf>
    <xf numFmtId="0" fontId="6" fillId="0" borderId="7" xfId="7" applyFont="1" applyFill="1" applyBorder="1" applyAlignment="1">
      <alignment horizontal="left" vertical="center" wrapText="1"/>
    </xf>
    <xf numFmtId="164" fontId="3" fillId="3" borderId="0" xfId="10" applyFont="1" applyFill="1" applyBorder="1" applyAlignment="1">
      <alignment horizontal="left" vertical="center"/>
    </xf>
    <xf numFmtId="0" fontId="3" fillId="3" borderId="13" xfId="4" applyFont="1" applyFill="1" applyBorder="1" applyAlignment="1">
      <alignment horizontal="left" vertical="center" wrapText="1"/>
    </xf>
    <xf numFmtId="0" fontId="3" fillId="3" borderId="14" xfId="4" applyFont="1" applyFill="1" applyBorder="1" applyAlignment="1">
      <alignment horizontal="left" vertical="center" wrapText="1"/>
    </xf>
    <xf numFmtId="2" fontId="3" fillId="7" borderId="8" xfId="0" applyNumberFormat="1" applyFont="1" applyFill="1" applyBorder="1" applyAlignment="1">
      <alignment horizontal="center" vertical="center" wrapText="1"/>
    </xf>
    <xf numFmtId="2" fontId="3" fillId="7" borderId="11" xfId="0" applyNumberFormat="1" applyFont="1" applyFill="1" applyBorder="1" applyAlignment="1">
      <alignment horizontal="center" vertical="center" wrapText="1"/>
    </xf>
    <xf numFmtId="2" fontId="3" fillId="7" borderId="15" xfId="0" applyNumberFormat="1" applyFont="1" applyFill="1" applyBorder="1" applyAlignment="1">
      <alignment horizontal="center" vertical="center" wrapText="1"/>
    </xf>
    <xf numFmtId="0" fontId="3" fillId="7" borderId="10" xfId="0" applyFont="1" applyFill="1" applyBorder="1" applyAlignment="1" applyProtection="1">
      <alignment vertical="center" wrapText="1"/>
      <protection hidden="1"/>
    </xf>
    <xf numFmtId="0" fontId="3" fillId="7" borderId="0" xfId="0" applyFont="1" applyFill="1" applyBorder="1" applyAlignment="1" applyProtection="1">
      <alignment vertical="center" wrapText="1"/>
      <protection hidden="1"/>
    </xf>
    <xf numFmtId="0" fontId="3" fillId="7" borderId="11" xfId="0" applyFont="1" applyFill="1" applyBorder="1" applyAlignment="1" applyProtection="1">
      <alignment vertical="center" wrapText="1"/>
      <protection hidden="1"/>
    </xf>
    <xf numFmtId="0" fontId="3" fillId="3" borderId="6" xfId="4" applyFont="1" applyFill="1" applyBorder="1" applyAlignment="1">
      <alignment vertical="center" wrapText="1"/>
    </xf>
    <xf numFmtId="0" fontId="3" fillId="3" borderId="7" xfId="4" applyFont="1" applyFill="1" applyBorder="1" applyAlignment="1">
      <alignment vertical="center" wrapText="1"/>
    </xf>
    <xf numFmtId="172" fontId="3" fillId="7" borderId="7" xfId="1" applyFont="1" applyFill="1" applyBorder="1" applyAlignment="1">
      <alignment horizontal="left" vertical="center" wrapText="1"/>
    </xf>
    <xf numFmtId="172" fontId="3" fillId="7" borderId="0" xfId="1" applyFont="1" applyFill="1" applyBorder="1" applyAlignment="1">
      <alignment horizontal="left" vertical="center" wrapText="1"/>
    </xf>
    <xf numFmtId="0" fontId="6" fillId="0" borderId="4" xfId="0" applyFont="1" applyBorder="1" applyAlignment="1">
      <alignment horizontal="left" vertical="center" wrapText="1"/>
    </xf>
    <xf numFmtId="0" fontId="6" fillId="7" borderId="4" xfId="0" applyFont="1" applyFill="1" applyBorder="1" applyAlignment="1">
      <alignment horizontal="center" vertical="center" wrapText="1"/>
    </xf>
    <xf numFmtId="0" fontId="6" fillId="2" borderId="1" xfId="3" applyFont="1" applyFill="1" applyBorder="1" applyAlignment="1">
      <alignment horizontal="left" vertical="center"/>
    </xf>
    <xf numFmtId="0" fontId="6" fillId="2" borderId="2" xfId="3" applyFont="1" applyFill="1" applyBorder="1" applyAlignment="1">
      <alignment horizontal="left" vertical="center"/>
    </xf>
    <xf numFmtId="0" fontId="6" fillId="2" borderId="3" xfId="3" applyFont="1" applyFill="1" applyBorder="1" applyAlignment="1">
      <alignment horizontal="left" vertical="center"/>
    </xf>
    <xf numFmtId="0" fontId="3" fillId="7" borderId="6" xfId="3" applyFont="1" applyFill="1" applyBorder="1" applyAlignment="1">
      <alignment horizontal="left" vertical="center"/>
    </xf>
    <xf numFmtId="0" fontId="3" fillId="7" borderId="7" xfId="3" applyFont="1" applyFill="1" applyBorder="1" applyAlignment="1">
      <alignment horizontal="left" vertical="center"/>
    </xf>
    <xf numFmtId="0" fontId="3" fillId="7" borderId="8" xfId="3" applyFont="1" applyFill="1" applyBorder="1" applyAlignment="1">
      <alignment horizontal="left" vertical="center"/>
    </xf>
    <xf numFmtId="0" fontId="3" fillId="7" borderId="13" xfId="3" applyFont="1" applyFill="1" applyBorder="1" applyAlignment="1">
      <alignment horizontal="left" vertical="center" wrapText="1"/>
    </xf>
    <xf numFmtId="0" fontId="3" fillId="7" borderId="14" xfId="3" applyFont="1" applyFill="1" applyBorder="1" applyAlignment="1">
      <alignment horizontal="left" vertical="center" wrapText="1"/>
    </xf>
    <xf numFmtId="0" fontId="3" fillId="7" borderId="15" xfId="3" applyFont="1" applyFill="1" applyBorder="1" applyAlignment="1">
      <alignment horizontal="left" vertical="center" wrapText="1"/>
    </xf>
    <xf numFmtId="0" fontId="3" fillId="0" borderId="1" xfId="3" applyFont="1" applyFill="1" applyBorder="1" applyAlignment="1">
      <alignment horizontal="left" vertical="center"/>
    </xf>
    <xf numFmtId="0" fontId="3" fillId="0" borderId="2" xfId="3" applyFont="1" applyFill="1" applyBorder="1" applyAlignment="1">
      <alignment horizontal="left" vertical="center"/>
    </xf>
    <xf numFmtId="0" fontId="3" fillId="0" borderId="3" xfId="3" applyFont="1" applyFill="1" applyBorder="1" applyAlignment="1">
      <alignment horizontal="left" vertical="center"/>
    </xf>
    <xf numFmtId="0" fontId="3" fillId="0" borderId="1" xfId="3" applyFont="1" applyBorder="1" applyAlignment="1">
      <alignment horizontal="left" vertical="center" wrapText="1"/>
    </xf>
    <xf numFmtId="0" fontId="3" fillId="0" borderId="2" xfId="3" applyFont="1" applyBorder="1" applyAlignment="1">
      <alignment horizontal="left" vertical="center" wrapText="1"/>
    </xf>
    <xf numFmtId="0" fontId="3" fillId="0" borderId="3" xfId="3" applyFont="1" applyBorder="1" applyAlignment="1">
      <alignment horizontal="left" vertical="center" wrapText="1"/>
    </xf>
    <xf numFmtId="0" fontId="6" fillId="0" borderId="1" xfId="5" applyFont="1" applyBorder="1" applyAlignment="1">
      <alignment horizontal="justify" vertical="center" wrapText="1"/>
    </xf>
    <xf numFmtId="0" fontId="6" fillId="0" borderId="2" xfId="5" applyFont="1" applyBorder="1" applyAlignment="1">
      <alignment horizontal="justify" vertical="center" wrapText="1"/>
    </xf>
    <xf numFmtId="0" fontId="6" fillId="0" borderId="3" xfId="5" applyFont="1" applyBorder="1" applyAlignment="1">
      <alignment horizontal="justify" vertical="center" wrapText="1"/>
    </xf>
    <xf numFmtId="0" fontId="3" fillId="0" borderId="1" xfId="5" applyFont="1" applyBorder="1" applyAlignment="1">
      <alignment horizontal="justify" vertical="center" wrapText="1"/>
    </xf>
    <xf numFmtId="0" fontId="3" fillId="0" borderId="2" xfId="5" applyFont="1" applyBorder="1" applyAlignment="1">
      <alignment horizontal="justify" vertical="center" wrapText="1"/>
    </xf>
    <xf numFmtId="0" fontId="3" fillId="0" borderId="3" xfId="5" applyFont="1" applyBorder="1" applyAlignment="1">
      <alignment horizontal="justify" vertical="center" wrapText="1"/>
    </xf>
    <xf numFmtId="0" fontId="6" fillId="0" borderId="4" xfId="3" applyFont="1" applyBorder="1" applyAlignment="1">
      <alignment horizontal="center" vertical="center"/>
    </xf>
    <xf numFmtId="0" fontId="3" fillId="7" borderId="4" xfId="3" applyFont="1" applyFill="1" applyBorder="1" applyAlignment="1">
      <alignment horizontal="center" vertical="center"/>
    </xf>
    <xf numFmtId="0" fontId="3" fillId="0" borderId="1" xfId="3" applyFont="1" applyBorder="1" applyAlignment="1">
      <alignment horizontal="justify" vertical="center" wrapText="1"/>
    </xf>
    <xf numFmtId="0" fontId="3" fillId="0" borderId="2" xfId="3" applyFont="1" applyBorder="1" applyAlignment="1">
      <alignment horizontal="justify" vertical="center"/>
    </xf>
    <xf numFmtId="0" fontId="3" fillId="0" borderId="3" xfId="3" applyFont="1" applyBorder="1" applyAlignment="1">
      <alignment horizontal="justify" vertical="center"/>
    </xf>
    <xf numFmtId="0" fontId="3" fillId="0" borderId="14" xfId="3" applyFont="1" applyBorder="1" applyAlignment="1">
      <alignment horizontal="left" vertical="center" wrapText="1"/>
    </xf>
    <xf numFmtId="0" fontId="3" fillId="0" borderId="15" xfId="3" applyFont="1" applyBorder="1" applyAlignment="1">
      <alignment horizontal="left" vertical="center" wrapText="1"/>
    </xf>
    <xf numFmtId="0" fontId="11" fillId="2" borderId="4" xfId="3" applyFont="1" applyFill="1" applyBorder="1" applyAlignment="1">
      <alignment horizontal="center" vertical="center" wrapText="1"/>
    </xf>
    <xf numFmtId="0" fontId="3" fillId="7" borderId="9" xfId="3" applyFont="1" applyFill="1" applyBorder="1" applyAlignment="1">
      <alignment horizontal="center" vertical="center"/>
    </xf>
    <xf numFmtId="0" fontId="3" fillId="0" borderId="13" xfId="3" applyFont="1" applyBorder="1" applyAlignment="1">
      <alignment vertical="center"/>
    </xf>
    <xf numFmtId="0" fontId="3" fillId="0" borderId="14" xfId="3" applyFont="1" applyBorder="1" applyAlignment="1">
      <alignment vertical="center"/>
    </xf>
    <xf numFmtId="167" fontId="3" fillId="0" borderId="13" xfId="3" applyNumberFormat="1" applyFont="1" applyBorder="1" applyAlignment="1">
      <alignment horizontal="center" vertical="center"/>
    </xf>
    <xf numFmtId="167" fontId="3" fillId="0" borderId="15" xfId="3" applyNumberFormat="1" applyFont="1" applyBorder="1" applyAlignment="1">
      <alignment horizontal="center" vertical="center"/>
    </xf>
    <xf numFmtId="2" fontId="3" fillId="0" borderId="0" xfId="3" applyNumberFormat="1" applyFont="1" applyBorder="1" applyAlignment="1">
      <alignment horizontal="center" vertical="center"/>
    </xf>
    <xf numFmtId="0" fontId="3" fillId="0" borderId="2" xfId="3" applyFont="1" applyBorder="1" applyAlignment="1">
      <alignment horizontal="center" vertical="center"/>
    </xf>
    <xf numFmtId="0" fontId="3" fillId="0" borderId="13" xfId="3" applyFont="1" applyBorder="1" applyAlignment="1">
      <alignment horizontal="justify" vertical="center" wrapText="1"/>
    </xf>
    <xf numFmtId="0" fontId="6" fillId="0" borderId="14" xfId="3" applyFont="1" applyBorder="1" applyAlignment="1">
      <alignment horizontal="justify" vertical="center" wrapText="1"/>
    </xf>
    <xf numFmtId="0" fontId="6" fillId="0" borderId="15" xfId="3" applyFont="1" applyBorder="1" applyAlignment="1">
      <alignment horizontal="justify" vertical="center" wrapText="1"/>
    </xf>
    <xf numFmtId="0" fontId="6" fillId="2" borderId="1" xfId="3" applyFont="1" applyFill="1" applyBorder="1" applyAlignment="1">
      <alignment horizontal="left" vertical="center" wrapText="1"/>
    </xf>
    <xf numFmtId="0" fontId="6" fillId="2" borderId="2" xfId="3" applyFont="1" applyFill="1" applyBorder="1" applyAlignment="1">
      <alignment horizontal="left" vertical="center" wrapText="1"/>
    </xf>
    <xf numFmtId="0" fontId="6" fillId="2" borderId="3" xfId="3" applyFont="1" applyFill="1" applyBorder="1" applyAlignment="1">
      <alignment horizontal="left" vertical="center" wrapText="1"/>
    </xf>
    <xf numFmtId="0" fontId="6" fillId="2" borderId="6" xfId="3" applyFont="1" applyFill="1" applyBorder="1" applyAlignment="1">
      <alignment horizontal="center" vertical="center"/>
    </xf>
    <xf numFmtId="0" fontId="6" fillId="2" borderId="7" xfId="3" applyFont="1" applyFill="1" applyBorder="1" applyAlignment="1">
      <alignment horizontal="center" vertical="center"/>
    </xf>
    <xf numFmtId="0" fontId="6" fillId="2" borderId="8" xfId="3" applyFont="1" applyFill="1" applyBorder="1" applyAlignment="1">
      <alignment horizontal="center" vertical="center"/>
    </xf>
    <xf numFmtId="0" fontId="6" fillId="2" borderId="13" xfId="3" applyFont="1" applyFill="1" applyBorder="1" applyAlignment="1">
      <alignment horizontal="center" vertical="center"/>
    </xf>
    <xf numFmtId="0" fontId="6" fillId="2" borderId="15" xfId="3" applyFont="1" applyFill="1" applyBorder="1" applyAlignment="1">
      <alignment horizontal="center" vertical="center"/>
    </xf>
    <xf numFmtId="0" fontId="11" fillId="2" borderId="13" xfId="3" applyFont="1" applyFill="1" applyBorder="1" applyAlignment="1">
      <alignment horizontal="center" vertical="center" wrapText="1"/>
    </xf>
    <xf numFmtId="0" fontId="11" fillId="2" borderId="14" xfId="3" applyFont="1" applyFill="1" applyBorder="1" applyAlignment="1">
      <alignment horizontal="center" vertical="center" wrapText="1"/>
    </xf>
    <xf numFmtId="0" fontId="11" fillId="0" borderId="0" xfId="3" applyFont="1" applyFill="1" applyBorder="1" applyAlignment="1">
      <alignment horizontal="center" vertical="center" wrapText="1"/>
    </xf>
    <xf numFmtId="0" fontId="3" fillId="2" borderId="2" xfId="3" applyFont="1" applyFill="1" applyBorder="1" applyAlignment="1">
      <alignment vertical="center"/>
    </xf>
    <xf numFmtId="0" fontId="3" fillId="2" borderId="3" xfId="3" applyFont="1" applyFill="1" applyBorder="1" applyAlignment="1">
      <alignment vertical="center"/>
    </xf>
    <xf numFmtId="0" fontId="6" fillId="12" borderId="1" xfId="3" applyFont="1" applyFill="1" applyBorder="1" applyAlignment="1">
      <alignment horizontal="left" vertical="center" wrapText="1"/>
    </xf>
    <xf numFmtId="0" fontId="6" fillId="12" borderId="2" xfId="3" applyFont="1" applyFill="1" applyBorder="1" applyAlignment="1">
      <alignment horizontal="left" vertical="center" wrapText="1"/>
    </xf>
    <xf numFmtId="0" fontId="6" fillId="12" borderId="3" xfId="3" applyFont="1" applyFill="1" applyBorder="1" applyAlignment="1">
      <alignment horizontal="left" vertical="center" wrapText="1"/>
    </xf>
    <xf numFmtId="2" fontId="3" fillId="0" borderId="4" xfId="3" applyNumberFormat="1" applyFont="1" applyFill="1" applyBorder="1" applyAlignment="1">
      <alignment horizontal="center" vertical="center" wrapText="1"/>
    </xf>
    <xf numFmtId="0" fontId="3" fillId="0" borderId="4" xfId="3" applyFont="1" applyFill="1" applyBorder="1" applyAlignment="1">
      <alignment vertical="center"/>
    </xf>
    <xf numFmtId="2" fontId="3" fillId="0" borderId="1" xfId="3" applyNumberFormat="1" applyFont="1" applyFill="1" applyBorder="1" applyAlignment="1">
      <alignment horizontal="center" vertical="center" wrapText="1"/>
    </xf>
    <xf numFmtId="2" fontId="3" fillId="0" borderId="3" xfId="3" applyNumberFormat="1" applyFont="1" applyFill="1" applyBorder="1" applyAlignment="1">
      <alignment horizontal="center" vertical="center" wrapText="1"/>
    </xf>
    <xf numFmtId="0" fontId="3" fillId="0" borderId="13" xfId="3" applyFont="1" applyBorder="1" applyAlignment="1">
      <alignment horizontal="left" vertical="center" wrapText="1"/>
    </xf>
    <xf numFmtId="166" fontId="12" fillId="2" borderId="1" xfId="3" applyNumberFormat="1" applyFont="1" applyFill="1" applyBorder="1" applyAlignment="1">
      <alignment horizontal="center" vertical="center" wrapText="1"/>
    </xf>
    <xf numFmtId="166" fontId="12" fillId="2" borderId="3" xfId="3" applyNumberFormat="1" applyFont="1" applyFill="1" applyBorder="1" applyAlignment="1">
      <alignment horizontal="center" vertical="center" wrapText="1"/>
    </xf>
    <xf numFmtId="0" fontId="3" fillId="7" borderId="14" xfId="3" applyFont="1" applyFill="1" applyBorder="1" applyAlignment="1" applyProtection="1">
      <alignment horizontal="left" vertical="center" wrapText="1"/>
      <protection hidden="1"/>
    </xf>
    <xf numFmtId="0" fontId="3" fillId="7" borderId="15" xfId="3" applyFont="1" applyFill="1" applyBorder="1" applyAlignment="1" applyProtection="1">
      <alignment horizontal="left" vertical="center" wrapText="1"/>
      <protection hidden="1"/>
    </xf>
    <xf numFmtId="0" fontId="6" fillId="12" borderId="1" xfId="3" applyFont="1" applyFill="1" applyBorder="1" applyAlignment="1">
      <alignment vertical="center"/>
    </xf>
    <xf numFmtId="0" fontId="6" fillId="12" borderId="2" xfId="3" applyFont="1" applyFill="1" applyBorder="1" applyAlignment="1">
      <alignment vertical="center"/>
    </xf>
    <xf numFmtId="0" fontId="6" fillId="12" borderId="3" xfId="3" applyFont="1" applyFill="1" applyBorder="1" applyAlignment="1">
      <alignment vertical="center"/>
    </xf>
    <xf numFmtId="0" fontId="6" fillId="2" borderId="4" xfId="3" applyFont="1" applyFill="1" applyBorder="1" applyAlignment="1">
      <alignment vertical="center"/>
    </xf>
    <xf numFmtId="0" fontId="3" fillId="2" borderId="4" xfId="3" applyFont="1" applyFill="1" applyBorder="1" applyAlignment="1">
      <alignment vertical="center"/>
    </xf>
    <xf numFmtId="0" fontId="6" fillId="0" borderId="5" xfId="3" applyFont="1" applyFill="1" applyBorder="1" applyAlignment="1">
      <alignment horizontal="center" vertical="center"/>
    </xf>
    <xf numFmtId="0" fontId="6" fillId="0" borderId="12" xfId="3" applyFont="1" applyFill="1" applyBorder="1" applyAlignment="1">
      <alignment horizontal="center" vertical="center"/>
    </xf>
    <xf numFmtId="0" fontId="6" fillId="0" borderId="9" xfId="3" applyFont="1" applyFill="1" applyBorder="1" applyAlignment="1">
      <alignment horizontal="center" vertical="center"/>
    </xf>
    <xf numFmtId="0" fontId="3" fillId="0" borderId="6" xfId="3" applyFont="1" applyBorder="1" applyAlignment="1">
      <alignment horizontal="left" vertical="center" wrapText="1"/>
    </xf>
    <xf numFmtId="0" fontId="3" fillId="0" borderId="7" xfId="3" applyFont="1" applyBorder="1" applyAlignment="1">
      <alignment horizontal="left" vertical="center" wrapText="1"/>
    </xf>
    <xf numFmtId="0" fontId="3" fillId="0" borderId="8" xfId="3" applyFont="1" applyBorder="1" applyAlignment="1">
      <alignment horizontal="left" vertical="center" wrapText="1"/>
    </xf>
    <xf numFmtId="4" fontId="3" fillId="0" borderId="5" xfId="3" applyNumberFormat="1" applyFont="1" applyBorder="1" applyAlignment="1">
      <alignment horizontal="center" vertical="center" wrapText="1"/>
    </xf>
    <xf numFmtId="4" fontId="3" fillId="0" borderId="12" xfId="3" applyNumberFormat="1" applyFont="1" applyBorder="1" applyAlignment="1">
      <alignment horizontal="center" vertical="center" wrapText="1"/>
    </xf>
    <xf numFmtId="4" fontId="3" fillId="0" borderId="9" xfId="3" applyNumberFormat="1" applyFont="1" applyBorder="1" applyAlignment="1">
      <alignment horizontal="center" vertical="center" wrapText="1"/>
    </xf>
    <xf numFmtId="0" fontId="3" fillId="7" borderId="10" xfId="3" applyFont="1" applyFill="1" applyBorder="1" applyAlignment="1" applyProtection="1">
      <alignment horizontal="left" vertical="center" wrapText="1"/>
      <protection hidden="1"/>
    </xf>
    <xf numFmtId="0" fontId="3" fillId="7" borderId="0" xfId="3" applyFont="1" applyFill="1" applyBorder="1" applyAlignment="1" applyProtection="1">
      <alignment horizontal="left" vertical="center" wrapText="1"/>
      <protection hidden="1"/>
    </xf>
    <xf numFmtId="0" fontId="3" fillId="7" borderId="11" xfId="3" applyFont="1" applyFill="1" applyBorder="1" applyAlignment="1" applyProtection="1">
      <alignment horizontal="left" vertical="center" wrapText="1"/>
      <protection hidden="1"/>
    </xf>
    <xf numFmtId="0" fontId="3" fillId="7" borderId="13" xfId="3" applyFont="1" applyFill="1" applyBorder="1" applyAlignment="1" applyProtection="1">
      <alignment horizontal="left" vertical="center" wrapText="1"/>
      <protection hidden="1"/>
    </xf>
    <xf numFmtId="0" fontId="6" fillId="0" borderId="4" xfId="3" applyFont="1" applyFill="1" applyBorder="1" applyAlignment="1">
      <alignment horizontal="left" vertical="center"/>
    </xf>
    <xf numFmtId="0" fontId="3" fillId="0" borderId="4" xfId="3" applyFont="1" applyBorder="1" applyAlignment="1">
      <alignment horizontal="left" vertical="center" wrapText="1"/>
    </xf>
    <xf numFmtId="0" fontId="6" fillId="0" borderId="4" xfId="0" applyFont="1" applyBorder="1"/>
    <xf numFmtId="166" fontId="12" fillId="2" borderId="4" xfId="0" applyNumberFormat="1" applyFont="1" applyFill="1" applyBorder="1" applyAlignment="1">
      <alignment horizontal="center" vertical="center" wrapText="1"/>
    </xf>
    <xf numFmtId="0" fontId="27" fillId="21" borderId="4" xfId="0" applyFont="1" applyFill="1" applyBorder="1" applyAlignment="1">
      <alignment horizontal="left" vertical="center" wrapText="1"/>
    </xf>
    <xf numFmtId="0" fontId="27" fillId="0" borderId="4" xfId="0" applyFont="1" applyBorder="1" applyAlignment="1">
      <alignment horizontal="center" vertical="center" wrapText="1"/>
    </xf>
    <xf numFmtId="0" fontId="6" fillId="12" borderId="4" xfId="3" applyFont="1" applyFill="1" applyBorder="1" applyAlignment="1">
      <alignment vertical="center"/>
    </xf>
    <xf numFmtId="0" fontId="6" fillId="2" borderId="4" xfId="3" applyFont="1" applyFill="1" applyBorder="1" applyAlignment="1">
      <alignment horizontal="left" vertical="center"/>
    </xf>
    <xf numFmtId="0" fontId="6" fillId="2" borderId="4" xfId="3" applyFont="1" applyFill="1" applyBorder="1" applyAlignment="1">
      <alignment horizontal="left" vertical="center" wrapText="1"/>
    </xf>
    <xf numFmtId="0" fontId="18" fillId="0" borderId="4" xfId="0" applyFont="1" applyFill="1" applyBorder="1" applyAlignment="1">
      <alignment horizontal="left" vertical="center" wrapText="1"/>
    </xf>
    <xf numFmtId="0" fontId="6" fillId="2" borderId="4" xfId="4" applyFont="1" applyFill="1" applyBorder="1" applyAlignment="1">
      <alignment vertical="center"/>
    </xf>
    <xf numFmtId="0" fontId="6" fillId="2" borderId="4" xfId="4" applyFont="1" applyFill="1" applyBorder="1" applyAlignment="1">
      <alignment vertical="center" wrapText="1"/>
    </xf>
    <xf numFmtId="0" fontId="3" fillId="2" borderId="4" xfId="4" applyFont="1" applyFill="1" applyBorder="1" applyAlignment="1">
      <alignment vertical="center" wrapText="1"/>
    </xf>
    <xf numFmtId="0" fontId="6" fillId="0" borderId="6" xfId="3" applyFont="1" applyBorder="1" applyAlignment="1">
      <alignment horizontal="center" vertical="center" wrapText="1"/>
    </xf>
    <xf numFmtId="0" fontId="6" fillId="0" borderId="13" xfId="3" applyFont="1" applyBorder="1" applyAlignment="1">
      <alignment horizontal="center" vertical="center" wrapText="1"/>
    </xf>
    <xf numFmtId="0" fontId="3" fillId="0" borderId="6" xfId="3" applyFont="1" applyBorder="1" applyAlignment="1">
      <alignment horizontal="center" vertical="center" wrapText="1"/>
    </xf>
    <xf numFmtId="0" fontId="3" fillId="0" borderId="13" xfId="3" applyFont="1" applyBorder="1" applyAlignment="1">
      <alignment horizontal="center" vertical="center" wrapText="1"/>
    </xf>
    <xf numFmtId="2" fontId="3" fillId="0" borderId="3" xfId="3" applyNumberFormat="1" applyFont="1" applyBorder="1" applyAlignment="1">
      <alignment horizontal="center" vertical="center" wrapText="1"/>
    </xf>
    <xf numFmtId="9" fontId="3" fillId="0" borderId="5" xfId="3" applyNumberFormat="1" applyFont="1" applyBorder="1" applyAlignment="1">
      <alignment horizontal="center" vertical="center" wrapText="1"/>
    </xf>
    <xf numFmtId="9" fontId="3" fillId="0" borderId="9" xfId="3" applyNumberFormat="1" applyFont="1" applyBorder="1" applyAlignment="1">
      <alignment horizontal="center" vertical="center" wrapText="1"/>
    </xf>
    <xf numFmtId="0" fontId="6" fillId="0" borderId="1" xfId="3" applyFont="1" applyBorder="1" applyAlignment="1">
      <alignment horizontal="left" vertical="center"/>
    </xf>
    <xf numFmtId="0" fontId="6" fillId="0" borderId="2" xfId="3" applyFont="1" applyBorder="1" applyAlignment="1">
      <alignment horizontal="left" vertical="center"/>
    </xf>
    <xf numFmtId="0" fontId="6" fillId="0" borderId="3" xfId="3" applyFont="1" applyBorder="1" applyAlignment="1">
      <alignment horizontal="left" vertical="center"/>
    </xf>
    <xf numFmtId="0" fontId="3" fillId="3" borderId="6" xfId="3" applyFont="1" applyFill="1" applyBorder="1" applyAlignment="1">
      <alignment horizontal="left" vertical="center"/>
    </xf>
    <xf numFmtId="0" fontId="3" fillId="3" borderId="7" xfId="3" applyFont="1" applyFill="1" applyBorder="1" applyAlignment="1">
      <alignment horizontal="left" vertical="center"/>
    </xf>
    <xf numFmtId="0" fontId="3" fillId="3" borderId="8" xfId="3" applyFont="1" applyFill="1" applyBorder="1" applyAlignment="1">
      <alignment horizontal="left" vertical="center"/>
    </xf>
    <xf numFmtId="0" fontId="6" fillId="0" borderId="6" xfId="3" applyFont="1" applyBorder="1" applyAlignment="1">
      <alignment horizontal="left" vertical="center" wrapText="1"/>
    </xf>
    <xf numFmtId="0" fontId="6" fillId="0" borderId="7" xfId="3" applyFont="1" applyBorder="1" applyAlignment="1">
      <alignment horizontal="left" vertical="center" wrapText="1"/>
    </xf>
    <xf numFmtId="0" fontId="6" fillId="0" borderId="8" xfId="3" applyFont="1" applyBorder="1" applyAlignment="1">
      <alignment horizontal="left" vertical="center" wrapText="1"/>
    </xf>
    <xf numFmtId="2" fontId="3" fillId="0" borderId="4" xfId="3" applyNumberFormat="1" applyFont="1" applyBorder="1" applyAlignment="1">
      <alignment horizontal="center" vertical="center" wrapText="1"/>
    </xf>
    <xf numFmtId="9" fontId="3" fillId="0" borderId="4" xfId="3" applyNumberFormat="1" applyFont="1" applyBorder="1" applyAlignment="1">
      <alignment horizontal="center" vertical="center" wrapText="1"/>
    </xf>
    <xf numFmtId="0" fontId="6" fillId="3" borderId="1" xfId="3" applyFont="1" applyFill="1" applyBorder="1" applyAlignment="1">
      <alignment horizontal="left" vertical="center" wrapText="1"/>
    </xf>
    <xf numFmtId="0" fontId="6" fillId="3" borderId="2" xfId="3" applyFont="1" applyFill="1" applyBorder="1" applyAlignment="1">
      <alignment horizontal="left" vertical="center" wrapText="1"/>
    </xf>
    <xf numFmtId="0" fontId="6" fillId="3" borderId="3" xfId="3" applyFont="1" applyFill="1" applyBorder="1" applyAlignment="1">
      <alignment horizontal="left" vertical="center" wrapText="1"/>
    </xf>
    <xf numFmtId="0" fontId="3" fillId="3" borderId="1" xfId="3" applyFont="1" applyFill="1" applyBorder="1" applyAlignment="1">
      <alignment horizontal="left" vertical="center"/>
    </xf>
    <xf numFmtId="0" fontId="3" fillId="3" borderId="2" xfId="3" applyFont="1" applyFill="1" applyBorder="1" applyAlignment="1">
      <alignment horizontal="left" vertical="center"/>
    </xf>
    <xf numFmtId="0" fontId="3" fillId="3" borderId="3" xfId="3" applyFont="1" applyFill="1" applyBorder="1" applyAlignment="1">
      <alignment horizontal="left" vertical="center"/>
    </xf>
    <xf numFmtId="2" fontId="3" fillId="0" borderId="5" xfId="3" applyNumberFormat="1" applyFont="1" applyBorder="1" applyAlignment="1">
      <alignment horizontal="center" vertical="center"/>
    </xf>
    <xf numFmtId="2" fontId="3" fillId="0" borderId="9" xfId="3" applyNumberFormat="1" applyFont="1" applyBorder="1" applyAlignment="1">
      <alignment horizontal="center" vertical="center"/>
    </xf>
    <xf numFmtId="9" fontId="3" fillId="0" borderId="5" xfId="7" applyNumberFormat="1" applyFont="1" applyFill="1" applyBorder="1" applyAlignment="1">
      <alignment horizontal="center" vertical="center" wrapText="1"/>
    </xf>
    <xf numFmtId="9" fontId="3" fillId="0" borderId="12" xfId="7" applyNumberFormat="1" applyFont="1" applyFill="1" applyBorder="1" applyAlignment="1">
      <alignment horizontal="center" vertical="center" wrapText="1"/>
    </xf>
    <xf numFmtId="9" fontId="3" fillId="0" borderId="9" xfId="7" applyNumberFormat="1" applyFont="1" applyFill="1" applyBorder="1" applyAlignment="1">
      <alignment horizontal="center" vertical="center" wrapText="1"/>
    </xf>
    <xf numFmtId="0" fontId="3" fillId="3" borderId="10" xfId="3" applyFont="1" applyFill="1" applyBorder="1" applyAlignment="1">
      <alignment horizontal="left" vertical="center" wrapText="1"/>
    </xf>
    <xf numFmtId="0" fontId="3" fillId="3" borderId="0" xfId="3" applyFont="1" applyFill="1" applyBorder="1" applyAlignment="1">
      <alignment horizontal="left" vertical="center" wrapText="1"/>
    </xf>
    <xf numFmtId="0" fontId="3" fillId="3" borderId="11" xfId="3" applyFont="1" applyFill="1" applyBorder="1" applyAlignment="1">
      <alignment horizontal="left" vertical="center" wrapText="1"/>
    </xf>
    <xf numFmtId="0" fontId="3" fillId="3" borderId="14" xfId="3" applyFont="1" applyFill="1" applyBorder="1" applyAlignment="1">
      <alignment horizontal="left" vertical="center" wrapText="1"/>
    </xf>
    <xf numFmtId="0" fontId="3" fillId="3" borderId="15" xfId="3" applyFont="1" applyFill="1" applyBorder="1" applyAlignment="1">
      <alignment horizontal="left" vertical="center" wrapText="1"/>
    </xf>
    <xf numFmtId="0" fontId="3" fillId="3" borderId="13" xfId="3" applyFont="1" applyFill="1" applyBorder="1" applyAlignment="1">
      <alignment horizontal="left" vertical="center" wrapText="1"/>
    </xf>
    <xf numFmtId="0" fontId="6" fillId="3" borderId="12" xfId="3" applyFont="1" applyFill="1" applyBorder="1" applyAlignment="1">
      <alignment horizontal="center" vertical="center" wrapText="1"/>
    </xf>
    <xf numFmtId="0" fontId="3" fillId="3" borderId="10" xfId="3" applyFont="1" applyFill="1" applyBorder="1" applyAlignment="1">
      <alignment horizontal="left" vertical="center"/>
    </xf>
    <xf numFmtId="0" fontId="3" fillId="3" borderId="0" xfId="3" applyFont="1" applyFill="1" applyBorder="1" applyAlignment="1">
      <alignment horizontal="left" vertical="center"/>
    </xf>
    <xf numFmtId="0" fontId="6" fillId="0" borderId="1" xfId="3" applyFont="1" applyFill="1" applyBorder="1" applyAlignment="1">
      <alignment horizontal="justify" vertical="center" wrapText="1"/>
    </xf>
    <xf numFmtId="0" fontId="6" fillId="0" borderId="7" xfId="3" applyFont="1" applyFill="1" applyBorder="1" applyAlignment="1">
      <alignment horizontal="justify" vertical="center" wrapText="1"/>
    </xf>
    <xf numFmtId="0" fontId="6" fillId="0" borderId="2" xfId="3" applyFont="1" applyFill="1" applyBorder="1" applyAlignment="1">
      <alignment horizontal="justify" vertical="center" wrapText="1"/>
    </xf>
    <xf numFmtId="0" fontId="6" fillId="0" borderId="3" xfId="3" applyFont="1" applyFill="1" applyBorder="1" applyAlignment="1">
      <alignment horizontal="justify" vertical="center" wrapText="1"/>
    </xf>
    <xf numFmtId="0" fontId="6" fillId="3" borderId="6" xfId="3" applyFont="1" applyFill="1" applyBorder="1" applyAlignment="1">
      <alignment horizontal="center" vertical="center" wrapText="1"/>
    </xf>
    <xf numFmtId="0" fontId="6" fillId="3" borderId="10" xfId="3" applyFont="1" applyFill="1" applyBorder="1" applyAlignment="1">
      <alignment horizontal="center" vertical="center" wrapText="1"/>
    </xf>
    <xf numFmtId="0" fontId="6" fillId="3" borderId="13" xfId="3" applyFont="1" applyFill="1" applyBorder="1" applyAlignment="1">
      <alignment horizontal="center" vertical="center" wrapText="1"/>
    </xf>
    <xf numFmtId="0" fontId="3" fillId="7" borderId="7" xfId="3" applyFont="1" applyFill="1" applyBorder="1" applyAlignment="1">
      <alignment horizontal="left" vertical="center" wrapText="1"/>
    </xf>
    <xf numFmtId="0" fontId="3" fillId="7" borderId="8" xfId="3" applyFont="1" applyFill="1" applyBorder="1" applyAlignment="1">
      <alignment horizontal="left" vertical="center" wrapText="1"/>
    </xf>
    <xf numFmtId="2" fontId="3" fillId="0" borderId="8" xfId="3" applyNumberFormat="1" applyFont="1" applyFill="1" applyBorder="1" applyAlignment="1">
      <alignment horizontal="center" vertical="center" wrapText="1"/>
    </xf>
    <xf numFmtId="2" fontId="3" fillId="0" borderId="11" xfId="3" applyNumberFormat="1" applyFont="1" applyFill="1" applyBorder="1" applyAlignment="1">
      <alignment horizontal="center" vertical="center" wrapText="1"/>
    </xf>
    <xf numFmtId="2" fontId="3" fillId="0" borderId="15" xfId="3" applyNumberFormat="1" applyFont="1" applyFill="1" applyBorder="1" applyAlignment="1">
      <alignment horizontal="center" vertical="center" wrapText="1"/>
    </xf>
    <xf numFmtId="9" fontId="3" fillId="0" borderId="5" xfId="3" applyNumberFormat="1" applyFont="1" applyFill="1" applyBorder="1" applyAlignment="1">
      <alignment horizontal="center" vertical="center" wrapText="1"/>
    </xf>
    <xf numFmtId="9" fontId="3" fillId="0" borderId="12" xfId="3" applyNumberFormat="1" applyFont="1" applyFill="1" applyBorder="1" applyAlignment="1">
      <alignment horizontal="center" vertical="center" wrapText="1"/>
    </xf>
    <xf numFmtId="9" fontId="3" fillId="0" borderId="9" xfId="3" applyNumberFormat="1" applyFont="1" applyFill="1" applyBorder="1" applyAlignment="1">
      <alignment horizontal="center" vertical="center" wrapText="1"/>
    </xf>
    <xf numFmtId="0" fontId="3" fillId="7" borderId="10" xfId="3" applyFont="1" applyFill="1" applyBorder="1" applyAlignment="1">
      <alignment horizontal="left" vertical="center" wrapText="1"/>
    </xf>
    <xf numFmtId="0" fontId="3" fillId="7" borderId="0" xfId="3" applyFont="1" applyFill="1" applyBorder="1" applyAlignment="1">
      <alignment horizontal="left" vertical="center" wrapText="1"/>
    </xf>
    <xf numFmtId="0" fontId="3" fillId="3" borderId="11" xfId="3" applyFont="1" applyFill="1" applyBorder="1" applyAlignment="1">
      <alignment horizontal="left" vertical="center"/>
    </xf>
    <xf numFmtId="0" fontId="3" fillId="0" borderId="10" xfId="3" applyFont="1" applyFill="1" applyBorder="1" applyAlignment="1">
      <alignment horizontal="left" vertical="center" wrapText="1"/>
    </xf>
    <xf numFmtId="0" fontId="3" fillId="0" borderId="0" xfId="3" applyFont="1" applyFill="1" applyBorder="1" applyAlignment="1">
      <alignment horizontal="left" vertical="center" wrapText="1"/>
    </xf>
    <xf numFmtId="0" fontId="3" fillId="0" borderId="11" xfId="3" applyFont="1" applyFill="1" applyBorder="1" applyAlignment="1">
      <alignment horizontal="left" vertical="center" wrapText="1"/>
    </xf>
    <xf numFmtId="0" fontId="3" fillId="0" borderId="13" xfId="3" applyFont="1" applyFill="1" applyBorder="1" applyAlignment="1">
      <alignment horizontal="left" vertical="center" wrapText="1"/>
    </xf>
    <xf numFmtId="0" fontId="3" fillId="0" borderId="10" xfId="3" applyFont="1" applyFill="1" applyBorder="1" applyAlignment="1">
      <alignment vertical="center" wrapText="1"/>
    </xf>
    <xf numFmtId="0" fontId="3" fillId="0" borderId="0" xfId="3" applyFont="1" applyFill="1" applyBorder="1" applyAlignment="1">
      <alignment vertical="center" wrapText="1"/>
    </xf>
    <xf numFmtId="0" fontId="20" fillId="0" borderId="0" xfId="3" applyFont="1" applyFill="1" applyBorder="1" applyAlignment="1">
      <alignment horizontal="left" vertical="center"/>
    </xf>
    <xf numFmtId="0" fontId="3" fillId="0" borderId="2" xfId="3" applyFont="1" applyBorder="1" applyAlignment="1">
      <alignment horizontal="left" vertical="center"/>
    </xf>
    <xf numFmtId="0" fontId="3" fillId="0" borderId="3" xfId="3" applyFont="1" applyBorder="1" applyAlignment="1">
      <alignment horizontal="left" vertical="center"/>
    </xf>
    <xf numFmtId="0" fontId="6" fillId="0" borderId="5" xfId="3" applyFont="1" applyBorder="1" applyAlignment="1">
      <alignment horizontal="center" vertical="center" wrapText="1"/>
    </xf>
    <xf numFmtId="0" fontId="6" fillId="0" borderId="12" xfId="3" applyFont="1" applyBorder="1" applyAlignment="1">
      <alignment horizontal="center" vertical="center" wrapText="1"/>
    </xf>
    <xf numFmtId="0" fontId="6" fillId="0" borderId="9" xfId="3" applyFont="1" applyBorder="1" applyAlignment="1">
      <alignment horizontal="center" vertical="center" wrapText="1"/>
    </xf>
    <xf numFmtId="0" fontId="3" fillId="0" borderId="7" xfId="3" applyFont="1" applyFill="1" applyBorder="1" applyAlignment="1">
      <alignment vertical="center" wrapText="1"/>
    </xf>
    <xf numFmtId="0" fontId="3" fillId="0" borderId="8" xfId="3" applyFont="1" applyFill="1" applyBorder="1" applyAlignment="1">
      <alignment vertical="center" wrapText="1"/>
    </xf>
    <xf numFmtId="0" fontId="6" fillId="0" borderId="1" xfId="3" applyFont="1" applyBorder="1" applyAlignment="1">
      <alignment horizontal="left" vertical="center" wrapText="1"/>
    </xf>
    <xf numFmtId="0" fontId="29" fillId="0" borderId="2" xfId="3" applyFont="1" applyBorder="1" applyAlignment="1">
      <alignment horizontal="left" vertical="center" wrapText="1"/>
    </xf>
    <xf numFmtId="0" fontId="29" fillId="0" borderId="3" xfId="3" applyFont="1" applyBorder="1" applyAlignment="1">
      <alignment horizontal="left" vertical="center" wrapText="1"/>
    </xf>
    <xf numFmtId="0" fontId="6" fillId="0" borderId="4" xfId="3" applyFont="1" applyBorder="1" applyAlignment="1">
      <alignment horizontal="center" vertical="center" wrapText="1"/>
    </xf>
    <xf numFmtId="0" fontId="3" fillId="0" borderId="4" xfId="3" applyFont="1" applyBorder="1" applyAlignment="1">
      <alignment horizontal="left" vertical="center"/>
    </xf>
    <xf numFmtId="0" fontId="6" fillId="0" borderId="12" xfId="3" applyFont="1" applyBorder="1" applyAlignment="1">
      <alignment horizontal="center" vertical="center"/>
    </xf>
    <xf numFmtId="0" fontId="6" fillId="0" borderId="9" xfId="3" applyFont="1" applyBorder="1" applyAlignment="1">
      <alignment horizontal="center" vertical="center"/>
    </xf>
    <xf numFmtId="0" fontId="6" fillId="3" borderId="1" xfId="3" applyFont="1" applyFill="1" applyBorder="1" applyAlignment="1">
      <alignment horizontal="left" vertical="center"/>
    </xf>
    <xf numFmtId="0" fontId="6" fillId="3" borderId="2" xfId="3" applyFont="1" applyFill="1" applyBorder="1" applyAlignment="1">
      <alignment horizontal="left" vertical="center"/>
    </xf>
    <xf numFmtId="0" fontId="6" fillId="3" borderId="3" xfId="3" applyFont="1" applyFill="1" applyBorder="1" applyAlignment="1">
      <alignment horizontal="left" vertical="center"/>
    </xf>
    <xf numFmtId="0" fontId="3" fillId="0" borderId="1" xfId="3" applyFont="1" applyBorder="1" applyAlignment="1">
      <alignment horizontal="left" vertical="center"/>
    </xf>
    <xf numFmtId="0" fontId="6" fillId="0" borderId="2" xfId="3" applyFont="1" applyBorder="1" applyAlignment="1">
      <alignment horizontal="left" vertical="center" wrapText="1"/>
    </xf>
    <xf numFmtId="0" fontId="6" fillId="0" borderId="3" xfId="3" applyFont="1" applyBorder="1" applyAlignment="1">
      <alignment horizontal="left" vertical="center" wrapText="1"/>
    </xf>
    <xf numFmtId="0" fontId="6" fillId="3" borderId="1" xfId="3" applyFont="1" applyFill="1" applyBorder="1" applyAlignment="1">
      <alignment vertical="center"/>
    </xf>
    <xf numFmtId="0" fontId="6" fillId="3" borderId="2" xfId="3" applyFont="1" applyFill="1" applyBorder="1" applyAlignment="1">
      <alignment vertical="center"/>
    </xf>
    <xf numFmtId="0" fontId="6" fillId="3" borderId="3" xfId="3" applyFont="1" applyFill="1" applyBorder="1" applyAlignment="1">
      <alignment vertical="center"/>
    </xf>
    <xf numFmtId="0" fontId="3" fillId="0" borderId="4" xfId="3" applyFont="1" applyFill="1" applyBorder="1" applyAlignment="1">
      <alignment horizontal="left" vertical="center"/>
    </xf>
    <xf numFmtId="0" fontId="3" fillId="3" borderId="4" xfId="3" applyFont="1" applyFill="1" applyBorder="1" applyAlignment="1">
      <alignment horizontal="left" vertical="center" wrapText="1"/>
    </xf>
    <xf numFmtId="0" fontId="3" fillId="3" borderId="4" xfId="3" applyFont="1" applyFill="1" applyBorder="1" applyAlignment="1">
      <alignment horizontal="left" vertical="center"/>
    </xf>
    <xf numFmtId="0" fontId="6" fillId="12" borderId="4" xfId="3" applyFont="1" applyFill="1" applyBorder="1" applyAlignment="1">
      <alignment horizontal="left" vertical="center" wrapText="1"/>
    </xf>
    <xf numFmtId="0" fontId="3" fillId="0" borderId="6" xfId="3" applyFont="1" applyBorder="1" applyAlignment="1">
      <alignment horizontal="left" vertical="center"/>
    </xf>
    <xf numFmtId="0" fontId="3" fillId="0" borderId="7" xfId="3" applyFont="1" applyBorder="1" applyAlignment="1">
      <alignment horizontal="left" vertical="center"/>
    </xf>
    <xf numFmtId="0" fontId="3" fillId="0" borderId="8" xfId="3" applyFont="1" applyBorder="1" applyAlignment="1">
      <alignment horizontal="left" vertical="center"/>
    </xf>
    <xf numFmtId="0" fontId="18" fillId="0" borderId="1" xfId="3" applyFont="1" applyBorder="1" applyAlignment="1">
      <alignment horizontal="left" vertical="center" wrapText="1"/>
    </xf>
    <xf numFmtId="0" fontId="18" fillId="0" borderId="2" xfId="3" applyFont="1" applyBorder="1" applyAlignment="1">
      <alignment horizontal="left" vertical="center"/>
    </xf>
    <xf numFmtId="0" fontId="3" fillId="0" borderId="15" xfId="3" applyFont="1" applyFill="1" applyBorder="1" applyAlignment="1">
      <alignment horizontal="left" vertical="center" wrapText="1"/>
    </xf>
    <xf numFmtId="0" fontId="3" fillId="0" borderId="10" xfId="4" applyFont="1" applyFill="1" applyBorder="1" applyAlignment="1">
      <alignment vertical="center" wrapText="1"/>
    </xf>
    <xf numFmtId="0" fontId="3" fillId="0" borderId="0" xfId="4" applyFont="1" applyFill="1" applyBorder="1" applyAlignment="1">
      <alignment vertical="center" wrapText="1"/>
    </xf>
    <xf numFmtId="0" fontId="3" fillId="0" borderId="0" xfId="3" applyFont="1" applyFill="1" applyBorder="1" applyAlignment="1">
      <alignment horizontal="left" vertical="center"/>
    </xf>
    <xf numFmtId="0" fontId="3" fillId="0" borderId="11" xfId="4" applyFont="1" applyFill="1" applyBorder="1" applyAlignment="1">
      <alignment vertical="center" wrapText="1"/>
    </xf>
    <xf numFmtId="0" fontId="6" fillId="0" borderId="5" xfId="3" applyFont="1" applyBorder="1" applyAlignment="1">
      <alignment horizontal="center" vertical="center"/>
    </xf>
    <xf numFmtId="4" fontId="3" fillId="0" borderId="5" xfId="3" applyNumberFormat="1" applyFont="1" applyFill="1" applyBorder="1" applyAlignment="1">
      <alignment horizontal="center" vertical="center" wrapText="1"/>
    </xf>
    <xf numFmtId="4" fontId="3" fillId="0" borderId="9" xfId="3" applyNumberFormat="1" applyFont="1" applyFill="1" applyBorder="1" applyAlignment="1">
      <alignment horizontal="center" vertical="center" wrapText="1"/>
    </xf>
    <xf numFmtId="0" fontId="6" fillId="0" borderId="5" xfId="5" applyFont="1" applyBorder="1" applyAlignment="1">
      <alignment horizontal="center" vertical="center"/>
    </xf>
    <xf numFmtId="0" fontId="6" fillId="0" borderId="12" xfId="5" applyFont="1" applyBorder="1" applyAlignment="1">
      <alignment horizontal="center" vertical="center"/>
    </xf>
    <xf numFmtId="0" fontId="3" fillId="0" borderId="6" xfId="3" applyFont="1" applyFill="1" applyBorder="1" applyAlignment="1">
      <alignment horizontal="left" vertical="center" wrapText="1"/>
    </xf>
    <xf numFmtId="0" fontId="3" fillId="0" borderId="7" xfId="3" applyFont="1" applyFill="1" applyBorder="1" applyAlignment="1">
      <alignment horizontal="left" vertical="center" wrapText="1"/>
    </xf>
    <xf numFmtId="0" fontId="3" fillId="0" borderId="8" xfId="3" applyFont="1" applyFill="1" applyBorder="1" applyAlignment="1">
      <alignment horizontal="left" vertical="center" wrapText="1"/>
    </xf>
    <xf numFmtId="4" fontId="3" fillId="0" borderId="12" xfId="3" applyNumberFormat="1" applyFont="1" applyFill="1" applyBorder="1" applyAlignment="1">
      <alignment horizontal="center" vertical="center" wrapText="1"/>
    </xf>
    <xf numFmtId="0" fontId="6" fillId="0" borderId="6" xfId="3" applyFont="1" applyFill="1" applyBorder="1" applyAlignment="1">
      <alignment horizontal="center" vertical="center" wrapText="1"/>
    </xf>
    <xf numFmtId="0" fontId="6" fillId="0" borderId="10" xfId="3" applyFont="1" applyFill="1" applyBorder="1" applyAlignment="1">
      <alignment horizontal="center" vertical="center" wrapText="1"/>
    </xf>
    <xf numFmtId="0" fontId="6" fillId="0" borderId="13" xfId="3" applyFont="1" applyFill="1" applyBorder="1" applyAlignment="1">
      <alignment horizontal="center" vertical="center" wrapText="1"/>
    </xf>
    <xf numFmtId="0" fontId="3" fillId="3" borderId="6" xfId="3" applyNumberFormat="1" applyFont="1" applyFill="1" applyBorder="1" applyAlignment="1">
      <alignment horizontal="left" vertical="center" wrapText="1"/>
    </xf>
    <xf numFmtId="0" fontId="3" fillId="3" borderId="7" xfId="3" applyNumberFormat="1" applyFont="1" applyFill="1" applyBorder="1" applyAlignment="1">
      <alignment horizontal="left" vertical="center" wrapText="1"/>
    </xf>
    <xf numFmtId="4" fontId="3" fillId="0" borderId="8" xfId="3" applyNumberFormat="1" applyFont="1" applyFill="1" applyBorder="1" applyAlignment="1">
      <alignment horizontal="center" vertical="center" wrapText="1"/>
    </xf>
    <xf numFmtId="4" fontId="3" fillId="0" borderId="11" xfId="3" applyNumberFormat="1" applyFont="1" applyFill="1" applyBorder="1" applyAlignment="1">
      <alignment horizontal="center" vertical="center" wrapText="1"/>
    </xf>
    <xf numFmtId="4" fontId="3" fillId="0" borderId="15" xfId="3" applyNumberFormat="1" applyFont="1" applyFill="1" applyBorder="1" applyAlignment="1">
      <alignment horizontal="center" vertical="center" wrapText="1"/>
    </xf>
    <xf numFmtId="0" fontId="6" fillId="0" borderId="5" xfId="3" applyFont="1" applyFill="1" applyBorder="1" applyAlignment="1">
      <alignment horizontal="center" vertical="center" wrapText="1"/>
    </xf>
    <xf numFmtId="0" fontId="6" fillId="0" borderId="12" xfId="3" applyFont="1" applyFill="1" applyBorder="1" applyAlignment="1">
      <alignment horizontal="center" vertical="center" wrapText="1"/>
    </xf>
    <xf numFmtId="0" fontId="6" fillId="0" borderId="9" xfId="3" applyFont="1" applyFill="1" applyBorder="1" applyAlignment="1">
      <alignment horizontal="center" vertical="center" wrapText="1"/>
    </xf>
    <xf numFmtId="0" fontId="3" fillId="21" borderId="6" xfId="3" applyFont="1" applyFill="1" applyBorder="1" applyAlignment="1">
      <alignment horizontal="left" vertical="center" wrapText="1"/>
    </xf>
    <xf numFmtId="0" fontId="3" fillId="21" borderId="7" xfId="3" applyFont="1" applyFill="1" applyBorder="1" applyAlignment="1">
      <alignment horizontal="left" vertical="center" wrapText="1"/>
    </xf>
    <xf numFmtId="0" fontId="3" fillId="21" borderId="8" xfId="3" applyFont="1" applyFill="1" applyBorder="1" applyAlignment="1">
      <alignment horizontal="left" vertical="center" wrapText="1"/>
    </xf>
    <xf numFmtId="0" fontId="3" fillId="0" borderId="0" xfId="3" applyFont="1" applyBorder="1" applyAlignment="1">
      <alignment horizontal="left" vertical="center" wrapText="1"/>
    </xf>
    <xf numFmtId="0" fontId="3" fillId="3" borderId="0" xfId="3" applyFont="1" applyFill="1" applyBorder="1" applyAlignment="1" applyProtection="1">
      <alignment horizontal="left" vertical="center" wrapText="1"/>
      <protection hidden="1"/>
    </xf>
    <xf numFmtId="0" fontId="3" fillId="3" borderId="11" xfId="3" applyFont="1" applyFill="1" applyBorder="1" applyAlignment="1" applyProtection="1">
      <alignment horizontal="left" vertical="center" wrapText="1"/>
      <protection hidden="1"/>
    </xf>
    <xf numFmtId="0" fontId="6" fillId="0" borderId="4" xfId="3" applyFont="1" applyFill="1" applyBorder="1" applyAlignment="1">
      <alignment horizontal="left" vertical="center" wrapText="1"/>
    </xf>
    <xf numFmtId="164" fontId="3" fillId="7" borderId="13" xfId="14" applyFont="1" applyFill="1" applyBorder="1" applyAlignment="1" applyProtection="1">
      <alignment horizontal="left" vertical="center" wrapText="1"/>
      <protection hidden="1"/>
    </xf>
    <xf numFmtId="164" fontId="3" fillId="7" borderId="14" xfId="14" applyFont="1" applyFill="1" applyBorder="1" applyAlignment="1" applyProtection="1">
      <alignment horizontal="left" vertical="center" wrapText="1"/>
      <protection hidden="1"/>
    </xf>
    <xf numFmtId="0" fontId="3" fillId="3" borderId="13" xfId="11" applyFont="1" applyFill="1" applyBorder="1" applyAlignment="1">
      <alignment horizontal="left" vertical="center" wrapText="1"/>
    </xf>
    <xf numFmtId="0" fontId="3" fillId="3" borderId="14" xfId="11" applyFont="1" applyFill="1" applyBorder="1" applyAlignment="1">
      <alignment horizontal="left" vertical="center" wrapText="1"/>
    </xf>
    <xf numFmtId="164" fontId="3" fillId="7" borderId="14" xfId="15" applyFont="1" applyFill="1" applyBorder="1" applyAlignment="1" applyProtection="1">
      <alignment horizontal="left" vertical="center" wrapText="1"/>
      <protection hidden="1"/>
    </xf>
    <xf numFmtId="164" fontId="3" fillId="7" borderId="15" xfId="15" applyFont="1" applyFill="1" applyBorder="1" applyAlignment="1" applyProtection="1">
      <alignment horizontal="left" vertical="center" wrapText="1"/>
      <protection hidden="1"/>
    </xf>
    <xf numFmtId="164" fontId="3" fillId="7" borderId="6" xfId="14" applyFont="1" applyFill="1" applyBorder="1" applyAlignment="1" applyProtection="1">
      <alignment horizontal="left" vertical="center" wrapText="1"/>
      <protection hidden="1"/>
    </xf>
    <xf numFmtId="164" fontId="3" fillId="7" borderId="7" xfId="14" applyFont="1" applyFill="1" applyBorder="1" applyAlignment="1" applyProtection="1">
      <alignment horizontal="left" vertical="center" wrapText="1"/>
      <protection hidden="1"/>
    </xf>
    <xf numFmtId="164" fontId="3" fillId="3" borderId="6" xfId="15" applyFont="1" applyFill="1" applyBorder="1" applyAlignment="1" applyProtection="1">
      <alignment horizontal="left" vertical="center" wrapText="1"/>
      <protection hidden="1"/>
    </xf>
    <xf numFmtId="164" fontId="3" fillId="3" borderId="7" xfId="15" applyFont="1" applyFill="1" applyBorder="1" applyAlignment="1" applyProtection="1">
      <alignment horizontal="left" vertical="center" wrapText="1"/>
      <protection hidden="1"/>
    </xf>
    <xf numFmtId="164" fontId="3" fillId="3" borderId="7" xfId="15" applyFont="1" applyFill="1" applyBorder="1" applyAlignment="1">
      <alignment horizontal="left" vertical="center"/>
    </xf>
    <xf numFmtId="164" fontId="3" fillId="3" borderId="13" xfId="15" applyFont="1" applyFill="1" applyBorder="1" applyAlignment="1" applyProtection="1">
      <alignment horizontal="left" vertical="center" wrapText="1"/>
      <protection hidden="1"/>
    </xf>
    <xf numFmtId="164" fontId="3" fillId="3" borderId="14" xfId="15" applyFont="1" applyFill="1" applyBorder="1" applyAlignment="1" applyProtection="1">
      <alignment horizontal="left" vertical="center" wrapText="1"/>
      <protection hidden="1"/>
    </xf>
    <xf numFmtId="0" fontId="3" fillId="0" borderId="1" xfId="3" applyFont="1" applyBorder="1" applyAlignment="1">
      <alignment horizontal="left" vertical="top" wrapText="1"/>
    </xf>
    <xf numFmtId="0" fontId="3" fillId="0" borderId="2" xfId="3" applyFont="1" applyBorder="1" applyAlignment="1">
      <alignment horizontal="left" vertical="top" wrapText="1"/>
    </xf>
    <xf numFmtId="0" fontId="3" fillId="0" borderId="3" xfId="3" applyFont="1" applyBorder="1" applyAlignment="1">
      <alignment horizontal="left" vertical="top" wrapText="1"/>
    </xf>
    <xf numFmtId="0" fontId="3" fillId="0" borderId="9" xfId="3" applyFont="1" applyFill="1" applyBorder="1" applyAlignment="1">
      <alignment horizontal="left" vertical="center" wrapText="1"/>
    </xf>
    <xf numFmtId="0" fontId="3" fillId="0" borderId="1" xfId="3" applyFont="1" applyFill="1" applyBorder="1" applyAlignment="1">
      <alignment horizontal="justify" vertical="center" wrapText="1"/>
    </xf>
    <xf numFmtId="0" fontId="3" fillId="0" borderId="2" xfId="3" applyFont="1" applyFill="1" applyBorder="1" applyAlignment="1">
      <alignment horizontal="justify" vertical="center" wrapText="1"/>
    </xf>
    <xf numFmtId="0" fontId="3" fillId="0" borderId="3" xfId="3" applyFont="1" applyFill="1" applyBorder="1" applyAlignment="1">
      <alignment horizontal="justify" vertical="center" wrapText="1"/>
    </xf>
    <xf numFmtId="0" fontId="6" fillId="7" borderId="5" xfId="3" applyFont="1" applyFill="1" applyBorder="1" applyAlignment="1">
      <alignment horizontal="center" vertical="center" wrapText="1"/>
    </xf>
    <xf numFmtId="0" fontId="6" fillId="7" borderId="12" xfId="3" applyFont="1" applyFill="1" applyBorder="1" applyAlignment="1">
      <alignment horizontal="center" vertical="center" wrapText="1"/>
    </xf>
    <xf numFmtId="0" fontId="6" fillId="7" borderId="9" xfId="3" applyFont="1" applyFill="1" applyBorder="1" applyAlignment="1">
      <alignment horizontal="center" vertical="center" wrapText="1"/>
    </xf>
    <xf numFmtId="4" fontId="3" fillId="7" borderId="5" xfId="3" applyNumberFormat="1" applyFont="1" applyFill="1" applyBorder="1" applyAlignment="1">
      <alignment horizontal="center" vertical="center" wrapText="1"/>
    </xf>
    <xf numFmtId="4" fontId="3" fillId="7" borderId="12" xfId="3" applyNumberFormat="1" applyFont="1" applyFill="1" applyBorder="1" applyAlignment="1">
      <alignment horizontal="center" vertical="center" wrapText="1"/>
    </xf>
    <xf numFmtId="4" fontId="3" fillId="7" borderId="9" xfId="3" applyNumberFormat="1" applyFont="1" applyFill="1" applyBorder="1" applyAlignment="1">
      <alignment horizontal="center" vertical="center" wrapText="1"/>
    </xf>
    <xf numFmtId="164" fontId="3" fillId="7" borderId="8" xfId="14" applyFont="1" applyFill="1" applyBorder="1" applyAlignment="1" applyProtection="1">
      <alignment horizontal="left" vertical="center" wrapText="1"/>
      <protection hidden="1"/>
    </xf>
    <xf numFmtId="164" fontId="3" fillId="7" borderId="10" xfId="14" applyFont="1" applyFill="1" applyBorder="1" applyAlignment="1" applyProtection="1">
      <alignment horizontal="left" vertical="center" wrapText="1"/>
      <protection hidden="1"/>
    </xf>
    <xf numFmtId="164" fontId="3" fillId="7" borderId="0" xfId="14" applyFont="1" applyFill="1" applyBorder="1" applyAlignment="1" applyProtection="1">
      <alignment horizontal="left" vertical="center" wrapText="1"/>
      <protection hidden="1"/>
    </xf>
    <xf numFmtId="4" fontId="3" fillId="3" borderId="5" xfId="3" applyNumberFormat="1" applyFont="1" applyFill="1" applyBorder="1" applyAlignment="1">
      <alignment horizontal="center" vertical="center" wrapText="1"/>
    </xf>
    <xf numFmtId="4" fontId="3" fillId="3" borderId="9" xfId="3" applyNumberFormat="1" applyFont="1" applyFill="1" applyBorder="1" applyAlignment="1">
      <alignment horizontal="center" vertical="center" wrapText="1"/>
    </xf>
    <xf numFmtId="0" fontId="3" fillId="3" borderId="14" xfId="3" applyFont="1" applyFill="1" applyBorder="1" applyAlignment="1" applyProtection="1">
      <alignment horizontal="left" vertical="center" wrapText="1"/>
      <protection hidden="1"/>
    </xf>
    <xf numFmtId="0" fontId="3" fillId="3" borderId="15" xfId="3" applyFont="1" applyFill="1" applyBorder="1" applyAlignment="1" applyProtection="1">
      <alignment horizontal="left" vertical="center" wrapText="1"/>
      <protection hidden="1"/>
    </xf>
    <xf numFmtId="164" fontId="3" fillId="7" borderId="1" xfId="14" applyFont="1" applyFill="1" applyBorder="1" applyAlignment="1" applyProtection="1">
      <alignment horizontal="left" vertical="center" wrapText="1"/>
      <protection hidden="1"/>
    </xf>
    <xf numFmtId="164" fontId="3" fillId="7" borderId="2" xfId="14" applyFont="1" applyFill="1" applyBorder="1" applyAlignment="1" applyProtection="1">
      <alignment horizontal="left" vertical="center" wrapText="1"/>
      <protection hidden="1"/>
    </xf>
    <xf numFmtId="164" fontId="3" fillId="7" borderId="3" xfId="14" applyFont="1" applyFill="1" applyBorder="1" applyAlignment="1" applyProtection="1">
      <alignment horizontal="left" vertical="center" wrapText="1"/>
      <protection hidden="1"/>
    </xf>
    <xf numFmtId="0" fontId="3" fillId="7" borderId="1" xfId="3" applyFont="1" applyFill="1" applyBorder="1" applyAlignment="1" applyProtection="1">
      <alignment horizontal="left" vertical="center" wrapText="1"/>
      <protection hidden="1"/>
    </xf>
    <xf numFmtId="0" fontId="3" fillId="7" borderId="2" xfId="3" applyFont="1" applyFill="1" applyBorder="1" applyAlignment="1" applyProtection="1">
      <alignment horizontal="left" vertical="center" wrapText="1"/>
      <protection hidden="1"/>
    </xf>
    <xf numFmtId="0" fontId="6" fillId="3" borderId="5" xfId="3" applyFont="1" applyFill="1" applyBorder="1" applyAlignment="1">
      <alignment horizontal="center" vertical="center"/>
    </xf>
    <xf numFmtId="0" fontId="6" fillId="3" borderId="9" xfId="3" applyFont="1" applyFill="1" applyBorder="1" applyAlignment="1">
      <alignment horizontal="center" vertical="center"/>
    </xf>
    <xf numFmtId="0" fontId="3" fillId="3" borderId="7" xfId="3" applyFont="1" applyFill="1" applyBorder="1" applyAlignment="1" applyProtection="1">
      <alignment horizontal="left" vertical="center" wrapText="1"/>
      <protection hidden="1"/>
    </xf>
    <xf numFmtId="0" fontId="3" fillId="3" borderId="8" xfId="3" applyFont="1" applyFill="1" applyBorder="1" applyAlignment="1" applyProtection="1">
      <alignment horizontal="left" vertical="center" wrapText="1"/>
      <protection hidden="1"/>
    </xf>
    <xf numFmtId="4" fontId="3" fillId="0" borderId="8" xfId="3" applyNumberFormat="1" applyFont="1" applyBorder="1" applyAlignment="1">
      <alignment horizontal="center" vertical="center" wrapText="1"/>
    </xf>
    <xf numFmtId="4" fontId="3" fillId="0" borderId="15" xfId="3" applyNumberFormat="1" applyFont="1" applyBorder="1" applyAlignment="1">
      <alignment horizontal="center" vertical="center" wrapText="1"/>
    </xf>
    <xf numFmtId="0" fontId="3" fillId="0" borderId="14" xfId="3" applyFont="1" applyFill="1" applyBorder="1" applyAlignment="1" applyProtection="1">
      <alignment horizontal="left" vertical="center" wrapText="1"/>
      <protection hidden="1"/>
    </xf>
    <xf numFmtId="0" fontId="3" fillId="0" borderId="15" xfId="3" applyFont="1" applyFill="1" applyBorder="1" applyAlignment="1" applyProtection="1">
      <alignment horizontal="left" vertical="center" wrapText="1"/>
      <protection hidden="1"/>
    </xf>
    <xf numFmtId="0" fontId="6" fillId="0" borderId="10" xfId="3" applyFont="1" applyBorder="1" applyAlignment="1">
      <alignment horizontal="center" vertical="center" wrapText="1"/>
    </xf>
    <xf numFmtId="4" fontId="3" fillId="0" borderId="11" xfId="3" applyNumberFormat="1" applyFont="1" applyBorder="1" applyAlignment="1">
      <alignment horizontal="center" vertical="center" wrapText="1"/>
    </xf>
    <xf numFmtId="0" fontId="3" fillId="0" borderId="10" xfId="3" applyFont="1" applyBorder="1" applyAlignment="1">
      <alignment horizontal="left" vertical="center" wrapText="1"/>
    </xf>
    <xf numFmtId="0" fontId="3" fillId="0" borderId="11" xfId="3" applyFont="1" applyBorder="1" applyAlignment="1">
      <alignment horizontal="left" vertical="center" wrapText="1"/>
    </xf>
    <xf numFmtId="0" fontId="3" fillId="7" borderId="6" xfId="3" applyFont="1" applyFill="1" applyBorder="1" applyAlignment="1" applyProtection="1">
      <alignment horizontal="left" vertical="center" wrapText="1"/>
      <protection hidden="1"/>
    </xf>
    <xf numFmtId="0" fontId="3" fillId="7" borderId="7" xfId="3" applyFont="1" applyFill="1" applyBorder="1" applyAlignment="1" applyProtection="1">
      <alignment horizontal="left" vertical="center" wrapText="1"/>
      <protection hidden="1"/>
    </xf>
    <xf numFmtId="0" fontId="6" fillId="0" borderId="4" xfId="3" applyFont="1" applyBorder="1" applyAlignment="1">
      <alignment horizontal="left" vertical="center" wrapText="1"/>
    </xf>
    <xf numFmtId="0" fontId="3" fillId="0" borderId="6" xfId="3" applyFont="1" applyFill="1" applyBorder="1" applyAlignment="1">
      <alignment horizontal="left" vertical="center"/>
    </xf>
    <xf numFmtId="0" fontId="3" fillId="0" borderId="7" xfId="3" applyFont="1" applyFill="1" applyBorder="1" applyAlignment="1">
      <alignment horizontal="left" vertical="center"/>
    </xf>
    <xf numFmtId="0" fontId="3" fillId="7" borderId="8" xfId="3" applyFont="1" applyFill="1" applyBorder="1" applyAlignment="1" applyProtection="1">
      <alignment horizontal="left" vertical="center" wrapText="1"/>
      <protection hidden="1"/>
    </xf>
    <xf numFmtId="0" fontId="3" fillId="3" borderId="13" xfId="3" applyFont="1" applyFill="1" applyBorder="1" applyAlignment="1" applyProtection="1">
      <alignment horizontal="left" vertical="center" wrapText="1"/>
      <protection hidden="1"/>
    </xf>
    <xf numFmtId="0" fontId="3" fillId="0" borderId="13" xfId="3" applyFont="1" applyFill="1" applyBorder="1" applyAlignment="1">
      <alignment horizontal="left" vertical="center"/>
    </xf>
    <xf numFmtId="0" fontId="3" fillId="0" borderId="14" xfId="3" applyFont="1" applyFill="1" applyBorder="1" applyAlignment="1">
      <alignment horizontal="left" vertical="center"/>
    </xf>
    <xf numFmtId="0" fontId="3" fillId="0" borderId="10" xfId="3" applyFont="1" applyFill="1" applyBorder="1" applyAlignment="1">
      <alignment horizontal="left" vertical="center"/>
    </xf>
    <xf numFmtId="0" fontId="3" fillId="3" borderId="15" xfId="4" applyFont="1" applyFill="1" applyBorder="1" applyAlignment="1">
      <alignment horizontal="left" vertical="center" wrapText="1"/>
    </xf>
    <xf numFmtId="0" fontId="3" fillId="7" borderId="6" xfId="3" applyFont="1" applyFill="1" applyBorder="1" applyAlignment="1">
      <alignment horizontal="left" vertical="center" wrapText="1"/>
    </xf>
    <xf numFmtId="4" fontId="3" fillId="0" borderId="4" xfId="3" applyNumberFormat="1" applyFont="1" applyBorder="1" applyAlignment="1">
      <alignment horizontal="center" vertical="center" wrapText="1"/>
    </xf>
    <xf numFmtId="0" fontId="3" fillId="0" borderId="5" xfId="3" applyFont="1" applyFill="1" applyBorder="1" applyAlignment="1">
      <alignment horizontal="left" vertical="center" wrapText="1"/>
    </xf>
    <xf numFmtId="0" fontId="3" fillId="7" borderId="14" xfId="3" applyFont="1" applyFill="1" applyBorder="1" applyAlignment="1">
      <alignment horizontal="left" vertical="center"/>
    </xf>
    <xf numFmtId="0" fontId="6" fillId="7" borderId="5" xfId="3" applyFont="1" applyFill="1" applyBorder="1" applyAlignment="1">
      <alignment horizontal="center" vertical="center"/>
    </xf>
    <xf numFmtId="0" fontId="6" fillId="7" borderId="9" xfId="3" applyFont="1" applyFill="1" applyBorder="1" applyAlignment="1">
      <alignment horizontal="center" vertical="center"/>
    </xf>
    <xf numFmtId="0" fontId="3" fillId="0" borderId="11" xfId="0" applyFont="1" applyBorder="1" applyAlignment="1">
      <alignment horizontal="left" vertical="center"/>
    </xf>
    <xf numFmtId="0" fontId="6" fillId="3" borderId="4" xfId="3" applyFont="1" applyFill="1" applyBorder="1" applyAlignment="1">
      <alignment horizontal="left" vertical="center" wrapText="1"/>
    </xf>
    <xf numFmtId="0" fontId="6" fillId="3" borderId="7" xfId="3" applyFont="1" applyFill="1" applyBorder="1" applyAlignment="1">
      <alignment horizontal="left" vertical="center" wrapText="1"/>
    </xf>
    <xf numFmtId="0" fontId="6" fillId="0" borderId="6" xfId="3" applyFont="1" applyBorder="1" applyAlignment="1">
      <alignment horizontal="center" vertical="center"/>
    </xf>
    <xf numFmtId="0" fontId="6" fillId="0" borderId="10" xfId="3" applyFont="1" applyBorder="1" applyAlignment="1">
      <alignment horizontal="center" vertical="center"/>
    </xf>
    <xf numFmtId="0" fontId="6" fillId="0" borderId="13" xfId="3" applyFont="1" applyBorder="1" applyAlignment="1">
      <alignment horizontal="center" vertical="center"/>
    </xf>
    <xf numFmtId="4" fontId="3" fillId="7" borderId="4" xfId="3" applyNumberFormat="1" applyFont="1" applyFill="1" applyBorder="1" applyAlignment="1">
      <alignment horizontal="center" vertical="center" wrapText="1"/>
    </xf>
    <xf numFmtId="0" fontId="3" fillId="0" borderId="0" xfId="3" applyFont="1" applyBorder="1" applyAlignment="1">
      <alignment horizontal="left" vertical="center"/>
    </xf>
    <xf numFmtId="0" fontId="3" fillId="0" borderId="11" xfId="3" applyFont="1" applyBorder="1" applyAlignment="1">
      <alignment horizontal="left" vertical="center"/>
    </xf>
    <xf numFmtId="4" fontId="3" fillId="0" borderId="3" xfId="3" applyNumberFormat="1" applyFont="1" applyBorder="1" applyAlignment="1">
      <alignment horizontal="center" vertical="center" wrapText="1"/>
    </xf>
    <xf numFmtId="2" fontId="3" fillId="0" borderId="8" xfId="3" applyNumberFormat="1" applyFont="1" applyBorder="1" applyAlignment="1">
      <alignment horizontal="center" vertical="center" wrapText="1"/>
    </xf>
    <xf numFmtId="2" fontId="3" fillId="0" borderId="11" xfId="3" applyNumberFormat="1" applyFont="1" applyBorder="1" applyAlignment="1">
      <alignment horizontal="center" vertical="center" wrapText="1"/>
    </xf>
    <xf numFmtId="2" fontId="3" fillId="0" borderId="15" xfId="3" applyNumberFormat="1" applyFont="1" applyBorder="1" applyAlignment="1">
      <alignment horizontal="center" vertical="center" wrapText="1"/>
    </xf>
    <xf numFmtId="0" fontId="0" fillId="0" borderId="13" xfId="0" applyBorder="1"/>
    <xf numFmtId="2" fontId="3" fillId="7" borderId="5" xfId="3" applyNumberFormat="1" applyFont="1" applyFill="1" applyBorder="1" applyAlignment="1">
      <alignment horizontal="center" vertical="center"/>
    </xf>
    <xf numFmtId="2" fontId="3" fillId="7" borderId="12" xfId="3" applyNumberFormat="1" applyFont="1" applyFill="1" applyBorder="1" applyAlignment="1">
      <alignment horizontal="center" vertical="center"/>
    </xf>
    <xf numFmtId="2" fontId="3" fillId="7" borderId="9" xfId="3" applyNumberFormat="1" applyFont="1" applyFill="1" applyBorder="1" applyAlignment="1">
      <alignment horizontal="center" vertical="center"/>
    </xf>
    <xf numFmtId="0" fontId="3" fillId="0" borderId="13" xfId="3" applyNumberFormat="1" applyFont="1" applyFill="1" applyBorder="1" applyAlignment="1">
      <alignment horizontal="left" vertical="center" wrapText="1"/>
    </xf>
    <xf numFmtId="0" fontId="3" fillId="0" borderId="14" xfId="3" applyNumberFormat="1" applyFont="1" applyFill="1" applyBorder="1" applyAlignment="1">
      <alignment horizontal="left" vertical="center" wrapText="1"/>
    </xf>
    <xf numFmtId="0" fontId="3" fillId="0" borderId="15" xfId="3" applyNumberFormat="1" applyFont="1" applyFill="1" applyBorder="1" applyAlignment="1">
      <alignment horizontal="left" vertical="center" wrapText="1"/>
    </xf>
    <xf numFmtId="0" fontId="3" fillId="0" borderId="1" xfId="3" applyNumberFormat="1" applyFont="1" applyFill="1" applyBorder="1" applyAlignment="1">
      <alignment horizontal="left" vertical="center" wrapText="1"/>
    </xf>
    <xf numFmtId="0" fontId="3" fillId="0" borderId="2" xfId="3" applyNumberFormat="1" applyFont="1" applyFill="1" applyBorder="1" applyAlignment="1">
      <alignment horizontal="left" vertical="center" wrapText="1"/>
    </xf>
    <xf numFmtId="0" fontId="3" fillId="0" borderId="13" xfId="3" applyFont="1" applyFill="1" applyBorder="1" applyAlignment="1">
      <alignment vertical="center" wrapText="1"/>
    </xf>
    <xf numFmtId="0" fontId="3" fillId="0" borderId="14" xfId="3" applyFont="1" applyFill="1" applyBorder="1" applyAlignment="1">
      <alignment vertical="center" wrapText="1"/>
    </xf>
    <xf numFmtId="0" fontId="3" fillId="0" borderId="15" xfId="3" applyFont="1" applyFill="1" applyBorder="1" applyAlignment="1">
      <alignment vertical="center" wrapText="1"/>
    </xf>
    <xf numFmtId="0" fontId="3" fillId="0" borderId="6" xfId="3" applyFont="1" applyFill="1" applyBorder="1" applyAlignment="1">
      <alignment vertical="center" wrapText="1"/>
    </xf>
    <xf numFmtId="0" fontId="3" fillId="0" borderId="10" xfId="3" applyNumberFormat="1" applyFont="1" applyFill="1" applyBorder="1" applyAlignment="1">
      <alignment horizontal="left" vertical="center" wrapText="1"/>
    </xf>
    <xf numFmtId="0" fontId="3" fillId="0" borderId="0" xfId="3" applyNumberFormat="1" applyFont="1" applyFill="1" applyBorder="1" applyAlignment="1">
      <alignment horizontal="left" vertical="center" wrapText="1"/>
    </xf>
    <xf numFmtId="0" fontId="3" fillId="0" borderId="11" xfId="3" applyNumberFormat="1" applyFont="1" applyFill="1" applyBorder="1" applyAlignment="1">
      <alignment horizontal="left" vertical="center" wrapText="1"/>
    </xf>
    <xf numFmtId="0" fontId="3" fillId="0" borderId="13" xfId="3" applyFont="1" applyFill="1" applyBorder="1" applyAlignment="1">
      <alignment vertical="center"/>
    </xf>
    <xf numFmtId="0" fontId="3" fillId="0" borderId="14" xfId="3" applyFont="1" applyFill="1" applyBorder="1" applyAlignment="1">
      <alignment vertical="center"/>
    </xf>
    <xf numFmtId="0" fontId="3" fillId="0" borderId="10" xfId="3" applyFont="1" applyBorder="1" applyAlignment="1">
      <alignment horizontal="center" vertical="center" wrapText="1"/>
    </xf>
    <xf numFmtId="0" fontId="3" fillId="0" borderId="6" xfId="3" applyNumberFormat="1" applyFont="1" applyFill="1" applyBorder="1" applyAlignment="1">
      <alignment horizontal="left" vertical="center" wrapText="1"/>
    </xf>
    <xf numFmtId="0" fontId="3" fillId="0" borderId="7" xfId="3" applyNumberFormat="1" applyFont="1" applyFill="1" applyBorder="1" applyAlignment="1">
      <alignment horizontal="left" vertical="center" wrapText="1"/>
    </xf>
    <xf numFmtId="0" fontId="3" fillId="0" borderId="8" xfId="3" applyNumberFormat="1" applyFont="1" applyFill="1" applyBorder="1" applyAlignment="1">
      <alignment horizontal="left" vertical="center" wrapText="1"/>
    </xf>
    <xf numFmtId="0" fontId="3" fillId="0" borderId="7" xfId="3" applyBorder="1"/>
    <xf numFmtId="0" fontId="3" fillId="0" borderId="8" xfId="3" applyBorder="1"/>
    <xf numFmtId="2" fontId="3" fillId="0" borderId="5" xfId="3" applyNumberFormat="1" applyFont="1" applyFill="1" applyBorder="1" applyAlignment="1">
      <alignment horizontal="center" vertical="center"/>
    </xf>
    <xf numFmtId="2" fontId="3" fillId="0" borderId="9" xfId="3" applyNumberFormat="1" applyFont="1" applyFill="1" applyBorder="1" applyAlignment="1">
      <alignment horizontal="center" vertical="center"/>
    </xf>
    <xf numFmtId="9" fontId="3" fillId="0" borderId="8" xfId="2" applyFont="1" applyFill="1" applyBorder="1" applyAlignment="1">
      <alignment horizontal="center" vertical="center" wrapText="1"/>
    </xf>
    <xf numFmtId="9" fontId="3" fillId="0" borderId="15" xfId="2" applyFont="1" applyFill="1" applyBorder="1" applyAlignment="1">
      <alignment horizontal="center" vertical="center" wrapText="1"/>
    </xf>
    <xf numFmtId="0" fontId="3" fillId="0" borderId="14" xfId="3" applyBorder="1"/>
    <xf numFmtId="0" fontId="3" fillId="0" borderId="15" xfId="3" applyBorder="1"/>
    <xf numFmtId="0" fontId="3" fillId="0" borderId="3" xfId="3" applyNumberFormat="1" applyFont="1" applyFill="1" applyBorder="1" applyAlignment="1">
      <alignment horizontal="left" vertical="center" wrapText="1"/>
    </xf>
    <xf numFmtId="0" fontId="6" fillId="2" borderId="7" xfId="3" applyFont="1" applyFill="1" applyBorder="1" applyAlignment="1">
      <alignment horizontal="left" vertical="center" wrapText="1"/>
    </xf>
    <xf numFmtId="0" fontId="6" fillId="2" borderId="8" xfId="3" applyFont="1" applyFill="1" applyBorder="1" applyAlignment="1">
      <alignment horizontal="left" vertical="center" wrapText="1"/>
    </xf>
    <xf numFmtId="49" fontId="3" fillId="0" borderId="4" xfId="3" applyNumberFormat="1" applyFont="1" applyBorder="1" applyAlignment="1">
      <alignment horizontal="left" vertical="center" wrapText="1"/>
    </xf>
    <xf numFmtId="49" fontId="3" fillId="0" borderId="1" xfId="3" applyNumberFormat="1" applyFont="1" applyBorder="1" applyAlignment="1">
      <alignment horizontal="left" vertical="center" wrapText="1"/>
    </xf>
    <xf numFmtId="49" fontId="3" fillId="0" borderId="2" xfId="3" applyNumberFormat="1" applyFont="1" applyBorder="1" applyAlignment="1">
      <alignment horizontal="left" vertical="center" wrapText="1"/>
    </xf>
    <xf numFmtId="49" fontId="3" fillId="0" borderId="3" xfId="3" applyNumberFormat="1" applyFont="1" applyBorder="1" applyAlignment="1">
      <alignment horizontal="left" vertical="center" wrapText="1"/>
    </xf>
    <xf numFmtId="0" fontId="3" fillId="7" borderId="84" xfId="4" applyFont="1" applyFill="1" applyBorder="1" applyAlignment="1">
      <alignment horizontal="left" vertical="center" wrapText="1"/>
    </xf>
    <xf numFmtId="0" fontId="3" fillId="7" borderId="85" xfId="4" applyFont="1" applyFill="1" applyBorder="1" applyAlignment="1">
      <alignment horizontal="left" vertical="center" wrapText="1"/>
    </xf>
    <xf numFmtId="0" fontId="3" fillId="7" borderId="86" xfId="4" applyFont="1" applyFill="1" applyBorder="1" applyAlignment="1">
      <alignment horizontal="left" vertical="center" wrapText="1"/>
    </xf>
    <xf numFmtId="0" fontId="6" fillId="7" borderId="23" xfId="3" applyFont="1" applyFill="1" applyBorder="1" applyAlignment="1">
      <alignment horizontal="center" vertical="center" wrapText="1"/>
    </xf>
    <xf numFmtId="0" fontId="6" fillId="7" borderId="34" xfId="3" applyFont="1" applyFill="1" applyBorder="1" applyAlignment="1">
      <alignment horizontal="center" vertical="center" wrapText="1"/>
    </xf>
    <xf numFmtId="0" fontId="6" fillId="7" borderId="27" xfId="3" applyFont="1" applyFill="1" applyBorder="1" applyAlignment="1">
      <alignment horizontal="center" vertical="center" wrapText="1"/>
    </xf>
    <xf numFmtId="4" fontId="3" fillId="7" borderId="25" xfId="3" applyNumberFormat="1" applyFont="1" applyFill="1" applyBorder="1" applyAlignment="1">
      <alignment horizontal="center" vertical="center" wrapText="1"/>
    </xf>
    <xf numFmtId="4" fontId="3" fillId="7" borderId="28" xfId="3" applyNumberFormat="1" applyFont="1" applyFill="1" applyBorder="1" applyAlignment="1">
      <alignment horizontal="center" vertical="center" wrapText="1"/>
    </xf>
    <xf numFmtId="0" fontId="6" fillId="7" borderId="22" xfId="3" applyFont="1" applyFill="1" applyBorder="1" applyAlignment="1">
      <alignment horizontal="center" vertical="center" wrapText="1"/>
    </xf>
    <xf numFmtId="0" fontId="6" fillId="7" borderId="12" xfId="3" applyFont="1" applyFill="1" applyBorder="1" applyAlignment="1">
      <alignment horizontal="center" vertical="center"/>
    </xf>
    <xf numFmtId="164" fontId="3" fillId="7" borderId="0" xfId="13" applyNumberFormat="1" applyFont="1" applyFill="1" applyBorder="1" applyAlignment="1" applyProtection="1">
      <alignment horizontal="left" vertical="center" wrapText="1"/>
      <protection hidden="1"/>
    </xf>
    <xf numFmtId="164" fontId="3" fillId="7" borderId="11" xfId="13" applyNumberFormat="1" applyFont="1" applyFill="1" applyBorder="1" applyAlignment="1" applyProtection="1">
      <alignment horizontal="left" vertical="center" wrapText="1"/>
      <protection hidden="1"/>
    </xf>
    <xf numFmtId="164" fontId="3" fillId="7" borderId="10" xfId="13" applyNumberFormat="1" applyFont="1" applyFill="1" applyBorder="1" applyAlignment="1" applyProtection="1">
      <alignment horizontal="left" vertical="center" wrapText="1"/>
      <protection hidden="1"/>
    </xf>
    <xf numFmtId="0" fontId="3" fillId="7" borderId="0" xfId="3" applyFont="1" applyFill="1" applyBorder="1" applyAlignment="1">
      <alignment horizontal="left" vertical="center"/>
    </xf>
    <xf numFmtId="0" fontId="3" fillId="7" borderId="11" xfId="3" applyFont="1" applyFill="1" applyBorder="1" applyAlignment="1">
      <alignment horizontal="left" vertical="center"/>
    </xf>
    <xf numFmtId="0" fontId="3" fillId="0" borderId="0" xfId="3" applyFont="1" applyBorder="1" applyAlignment="1">
      <alignment vertical="center"/>
    </xf>
    <xf numFmtId="0" fontId="3" fillId="0" borderId="11" xfId="3" applyFont="1" applyBorder="1" applyAlignment="1">
      <alignment vertical="center"/>
    </xf>
    <xf numFmtId="0" fontId="6" fillId="7" borderId="6" xfId="3" applyFont="1" applyFill="1" applyBorder="1" applyAlignment="1">
      <alignment horizontal="center" vertical="center" wrapText="1"/>
    </xf>
    <xf numFmtId="0" fontId="6" fillId="7" borderId="10" xfId="3" applyFont="1" applyFill="1" applyBorder="1" applyAlignment="1">
      <alignment horizontal="center" vertical="center" wrapText="1"/>
    </xf>
    <xf numFmtId="164" fontId="3" fillId="7" borderId="6" xfId="13" applyFont="1" applyFill="1" applyBorder="1" applyAlignment="1" applyProtection="1">
      <alignment horizontal="left" vertical="center" wrapText="1"/>
      <protection hidden="1"/>
    </xf>
    <xf numFmtId="164" fontId="3" fillId="7" borderId="7" xfId="13" applyFont="1" applyFill="1" applyBorder="1" applyAlignment="1" applyProtection="1">
      <alignment horizontal="left" vertical="center" wrapText="1"/>
      <protection hidden="1"/>
    </xf>
    <xf numFmtId="164" fontId="3" fillId="7" borderId="7" xfId="13" applyFont="1" applyFill="1" applyBorder="1" applyAlignment="1">
      <alignment horizontal="left" vertical="center"/>
    </xf>
    <xf numFmtId="0" fontId="3" fillId="0" borderId="7" xfId="3" applyFont="1" applyFill="1" applyBorder="1" applyAlignment="1" applyProtection="1">
      <alignment horizontal="left" vertical="center" wrapText="1"/>
      <protection hidden="1"/>
    </xf>
    <xf numFmtId="0" fontId="3" fillId="0" borderId="8" xfId="3" applyFont="1" applyFill="1" applyBorder="1" applyAlignment="1" applyProtection="1">
      <alignment horizontal="left" vertical="center" wrapText="1"/>
      <protection hidden="1"/>
    </xf>
    <xf numFmtId="2" fontId="3" fillId="7" borderId="8" xfId="3" applyNumberFormat="1" applyFont="1" applyFill="1" applyBorder="1" applyAlignment="1">
      <alignment horizontal="center" vertical="center"/>
    </xf>
    <xf numFmtId="2" fontId="3" fillId="7" borderId="11" xfId="3" applyNumberFormat="1" applyFont="1" applyFill="1" applyBorder="1" applyAlignment="1">
      <alignment horizontal="center" vertical="center"/>
    </xf>
    <xf numFmtId="0" fontId="3" fillId="0" borderId="13" xfId="3" applyFont="1" applyFill="1" applyBorder="1" applyAlignment="1" applyProtection="1">
      <alignment horizontal="left" vertical="center" wrapText="1"/>
      <protection hidden="1"/>
    </xf>
    <xf numFmtId="0" fontId="3" fillId="0" borderId="10" xfId="3" applyFont="1" applyFill="1" applyBorder="1" applyAlignment="1" applyProtection="1">
      <alignment horizontal="left" vertical="center" wrapText="1"/>
      <protection hidden="1"/>
    </xf>
    <xf numFmtId="0" fontId="3" fillId="0" borderId="0" xfId="3" applyFont="1" applyFill="1" applyBorder="1" applyAlignment="1" applyProtection="1">
      <alignment horizontal="left" vertical="center" wrapText="1"/>
      <protection hidden="1"/>
    </xf>
    <xf numFmtId="0" fontId="3" fillId="0" borderId="11" xfId="3" applyFont="1" applyFill="1" applyBorder="1" applyAlignment="1" applyProtection="1">
      <alignment horizontal="left" vertical="center" wrapText="1"/>
      <protection hidden="1"/>
    </xf>
    <xf numFmtId="0" fontId="6" fillId="7" borderId="13" xfId="3" applyFont="1" applyFill="1" applyBorder="1" applyAlignment="1">
      <alignment horizontal="center" vertical="center" wrapText="1"/>
    </xf>
    <xf numFmtId="0" fontId="3" fillId="0" borderId="6" xfId="3" applyFont="1" applyFill="1" applyBorder="1" applyAlignment="1" applyProtection="1">
      <alignment horizontal="left" vertical="center" wrapText="1"/>
      <protection hidden="1"/>
    </xf>
    <xf numFmtId="2" fontId="3" fillId="7" borderId="15" xfId="3" applyNumberFormat="1" applyFont="1" applyFill="1" applyBorder="1" applyAlignment="1">
      <alignment horizontal="center" vertical="center"/>
    </xf>
    <xf numFmtId="0" fontId="3" fillId="3" borderId="1" xfId="3" applyFont="1" applyFill="1" applyBorder="1" applyAlignment="1">
      <alignment vertical="center" wrapText="1"/>
    </xf>
    <xf numFmtId="0" fontId="3" fillId="3" borderId="2" xfId="3" applyFont="1" applyFill="1" applyBorder="1" applyAlignment="1">
      <alignment vertical="center" wrapText="1"/>
    </xf>
    <xf numFmtId="0" fontId="3" fillId="3" borderId="3" xfId="3" applyFont="1" applyFill="1" applyBorder="1" applyAlignment="1">
      <alignment vertical="center" wrapText="1"/>
    </xf>
    <xf numFmtId="0" fontId="6" fillId="0" borderId="0" xfId="3" applyFont="1" applyAlignment="1">
      <alignment horizontal="left" vertical="center"/>
    </xf>
    <xf numFmtId="15" fontId="3" fillId="0" borderId="0" xfId="3" applyNumberFormat="1" applyFont="1" applyAlignment="1">
      <alignment horizontal="left" vertical="center"/>
    </xf>
    <xf numFmtId="0" fontId="3" fillId="0" borderId="0" xfId="3" applyFont="1" applyAlignment="1">
      <alignment horizontal="left" vertical="center"/>
    </xf>
    <xf numFmtId="15" fontId="7" fillId="0" borderId="0" xfId="3" applyNumberFormat="1" applyFont="1" applyAlignment="1">
      <alignment vertical="center"/>
    </xf>
    <xf numFmtId="15" fontId="8" fillId="0" borderId="0" xfId="3" applyNumberFormat="1" applyFont="1" applyAlignment="1">
      <alignment horizontal="center" vertical="center"/>
    </xf>
    <xf numFmtId="0" fontId="9" fillId="0" borderId="0" xfId="5" applyFont="1" applyAlignment="1">
      <alignment horizontal="center" vertical="center"/>
    </xf>
    <xf numFmtId="0" fontId="4" fillId="0" borderId="0" xfId="3" applyFont="1" applyAlignment="1">
      <alignment horizontal="center" vertical="center"/>
    </xf>
    <xf numFmtId="0" fontId="9" fillId="0" borderId="0" xfId="3" applyFont="1" applyAlignment="1">
      <alignment horizontal="center" vertical="center"/>
    </xf>
    <xf numFmtId="0" fontId="3" fillId="0" borderId="0" xfId="3" applyFont="1" applyAlignment="1">
      <alignment horizontal="left" vertical="center" wrapText="1"/>
    </xf>
    <xf numFmtId="166" fontId="6" fillId="3" borderId="2" xfId="3" applyNumberFormat="1" applyFont="1" applyFill="1" applyBorder="1" applyAlignment="1">
      <alignment horizontal="center" vertical="center"/>
    </xf>
    <xf numFmtId="166" fontId="6" fillId="3" borderId="3" xfId="3" applyNumberFormat="1" applyFont="1" applyFill="1" applyBorder="1" applyAlignment="1">
      <alignment horizontal="center" vertical="center"/>
    </xf>
    <xf numFmtId="167" fontId="6" fillId="3" borderId="2" xfId="3" applyNumberFormat="1" applyFont="1" applyFill="1" applyBorder="1" applyAlignment="1">
      <alignment horizontal="center" vertical="center"/>
    </xf>
    <xf numFmtId="167" fontId="6" fillId="3" borderId="3" xfId="3" applyNumberFormat="1" applyFont="1" applyFill="1" applyBorder="1" applyAlignment="1">
      <alignment horizontal="center" vertical="center"/>
    </xf>
    <xf numFmtId="168" fontId="3" fillId="0" borderId="1" xfId="0" applyNumberFormat="1" applyFont="1" applyFill="1" applyBorder="1" applyAlignment="1">
      <alignment horizontal="center" vertical="center" wrapText="1"/>
    </xf>
    <xf numFmtId="168" fontId="3" fillId="0" borderId="3" xfId="0" applyNumberFormat="1" applyFont="1" applyFill="1" applyBorder="1" applyAlignment="1">
      <alignment horizontal="center" vertical="center" wrapText="1"/>
    </xf>
    <xf numFmtId="0" fontId="0" fillId="0" borderId="2" xfId="0" applyBorder="1"/>
    <xf numFmtId="0" fontId="3" fillId="0" borderId="13" xfId="4" applyFont="1" applyFill="1" applyBorder="1" applyAlignment="1">
      <alignment vertical="center" wrapText="1"/>
    </xf>
    <xf numFmtId="0" fontId="3" fillId="0" borderId="14" xfId="4" applyFont="1" applyFill="1" applyBorder="1" applyAlignment="1">
      <alignment vertical="center" wrapText="1"/>
    </xf>
    <xf numFmtId="0" fontId="3" fillId="0" borderId="15" xfId="4" applyFont="1" applyFill="1" applyBorder="1" applyAlignment="1">
      <alignment vertical="center" wrapText="1"/>
    </xf>
    <xf numFmtId="0" fontId="6" fillId="0" borderId="9" xfId="5" applyFont="1" applyBorder="1" applyAlignment="1">
      <alignment horizontal="center" vertical="center"/>
    </xf>
    <xf numFmtId="0" fontId="3" fillId="7" borderId="2" xfId="11" applyFont="1" applyFill="1" applyBorder="1" applyAlignment="1">
      <alignment horizontal="center" vertical="center" wrapText="1"/>
    </xf>
    <xf numFmtId="0" fontId="3" fillId="0" borderId="4" xfId="4" applyFont="1" applyBorder="1" applyAlignment="1">
      <alignment horizontal="left" vertical="center" wrapText="1"/>
    </xf>
    <xf numFmtId="0" fontId="6" fillId="2" borderId="6" xfId="3" applyFont="1" applyFill="1" applyBorder="1" applyAlignment="1">
      <alignment horizontal="left" vertical="center" wrapText="1"/>
    </xf>
    <xf numFmtId="0" fontId="6" fillId="7" borderId="69" xfId="3" applyFont="1" applyFill="1" applyBorder="1" applyAlignment="1">
      <alignment horizontal="center" vertical="center" wrapText="1"/>
    </xf>
    <xf numFmtId="4" fontId="3" fillId="7" borderId="8" xfId="3" applyNumberFormat="1" applyFont="1" applyFill="1" applyBorder="1" applyAlignment="1">
      <alignment horizontal="center" vertical="center" wrapText="1"/>
    </xf>
    <xf numFmtId="4" fontId="3" fillId="7" borderId="15" xfId="3" applyNumberFormat="1" applyFont="1" applyFill="1" applyBorder="1" applyAlignment="1">
      <alignment horizontal="center" vertical="center" wrapText="1"/>
    </xf>
    <xf numFmtId="4" fontId="3" fillId="3" borderId="12" xfId="3" applyNumberFormat="1" applyFont="1" applyFill="1" applyBorder="1" applyAlignment="1">
      <alignment horizontal="center" vertical="center" wrapText="1"/>
    </xf>
    <xf numFmtId="0" fontId="3" fillId="3" borderId="10" xfId="3" applyFont="1" applyFill="1" applyBorder="1" applyAlignment="1" applyProtection="1">
      <alignment horizontal="left" vertical="center" wrapText="1"/>
      <protection hidden="1"/>
    </xf>
    <xf numFmtId="164" fontId="3" fillId="7" borderId="8" xfId="9" applyFont="1" applyFill="1" applyBorder="1" applyAlignment="1" applyProtection="1">
      <alignment horizontal="left" vertical="center" wrapText="1"/>
      <protection hidden="1"/>
    </xf>
    <xf numFmtId="0" fontId="3" fillId="3" borderId="8" xfId="4" applyFont="1" applyFill="1" applyBorder="1" applyAlignment="1">
      <alignment horizontal="left" vertical="center" wrapText="1"/>
    </xf>
    <xf numFmtId="0" fontId="3" fillId="7" borderId="82" xfId="4" applyFont="1" applyFill="1" applyBorder="1" applyAlignment="1">
      <alignment horizontal="left" vertical="center" wrapText="1"/>
    </xf>
    <xf numFmtId="0" fontId="3" fillId="7" borderId="83" xfId="4" applyFont="1" applyFill="1" applyBorder="1" applyAlignment="1">
      <alignment horizontal="left" vertical="center" wrapText="1"/>
    </xf>
    <xf numFmtId="0" fontId="3" fillId="7" borderId="2" xfId="3" applyFont="1" applyFill="1" applyBorder="1" applyAlignment="1">
      <alignment horizontal="left" vertical="center"/>
    </xf>
    <xf numFmtId="0" fontId="3" fillId="7" borderId="3" xfId="3" applyFont="1" applyFill="1" applyBorder="1" applyAlignment="1" applyProtection="1">
      <alignment horizontal="left" vertical="center" wrapText="1"/>
      <protection hidden="1"/>
    </xf>
    <xf numFmtId="164" fontId="3" fillId="7" borderId="0" xfId="9" applyFont="1" applyFill="1" applyBorder="1" applyAlignment="1" applyProtection="1">
      <alignment horizontal="left" vertical="center" wrapText="1"/>
      <protection hidden="1"/>
    </xf>
    <xf numFmtId="164" fontId="3" fillId="7" borderId="10" xfId="9" applyFont="1" applyFill="1" applyBorder="1" applyAlignment="1" applyProtection="1">
      <alignment horizontal="left" vertical="center" wrapText="1"/>
      <protection hidden="1"/>
    </xf>
    <xf numFmtId="2" fontId="3" fillId="0" borderId="5" xfId="3" applyNumberFormat="1" applyFont="1" applyBorder="1" applyAlignment="1">
      <alignment horizontal="center" vertical="center" wrapText="1"/>
    </xf>
    <xf numFmtId="2" fontId="3" fillId="0" borderId="12" xfId="3" applyNumberFormat="1" applyFont="1" applyBorder="1" applyAlignment="1">
      <alignment horizontal="center" vertical="center" wrapText="1"/>
    </xf>
    <xf numFmtId="2" fontId="3" fillId="0" borderId="9" xfId="3" applyNumberFormat="1" applyFont="1" applyBorder="1" applyAlignment="1">
      <alignment horizontal="center" vertical="center" wrapText="1"/>
    </xf>
    <xf numFmtId="0" fontId="3" fillId="0" borderId="1" xfId="3" applyFont="1" applyFill="1" applyBorder="1" applyAlignment="1">
      <alignment vertical="center" wrapText="1"/>
    </xf>
    <xf numFmtId="0" fontId="3" fillId="0" borderId="2" xfId="3" applyFont="1" applyFill="1" applyBorder="1" applyAlignment="1">
      <alignment vertical="center" wrapText="1"/>
    </xf>
    <xf numFmtId="0" fontId="3" fillId="0" borderId="3" xfId="3" applyFont="1" applyFill="1" applyBorder="1" applyAlignment="1">
      <alignment vertical="center" wrapText="1"/>
    </xf>
    <xf numFmtId="0" fontId="3" fillId="0" borderId="66" xfId="3" applyFont="1" applyFill="1" applyBorder="1" applyAlignment="1">
      <alignment vertical="center" wrapText="1"/>
    </xf>
    <xf numFmtId="0" fontId="3" fillId="0" borderId="67" xfId="3" applyFont="1" applyFill="1" applyBorder="1" applyAlignment="1">
      <alignment vertical="center" wrapText="1"/>
    </xf>
    <xf numFmtId="0" fontId="3" fillId="0" borderId="68" xfId="3" applyFont="1" applyFill="1" applyBorder="1" applyAlignment="1">
      <alignment vertical="center" wrapText="1"/>
    </xf>
    <xf numFmtId="0" fontId="3" fillId="0" borderId="12" xfId="3" applyFont="1" applyBorder="1" applyAlignment="1">
      <alignment horizontal="center" vertical="center" wrapText="1"/>
    </xf>
    <xf numFmtId="0" fontId="3" fillId="0" borderId="0" xfId="3" applyBorder="1"/>
    <xf numFmtId="0" fontId="3" fillId="0" borderId="11" xfId="3" applyBorder="1"/>
    <xf numFmtId="0" fontId="3" fillId="7" borderId="90" xfId="4" applyFont="1" applyFill="1" applyBorder="1" applyAlignment="1">
      <alignment horizontal="left" vertical="center" wrapText="1"/>
    </xf>
    <xf numFmtId="0" fontId="3" fillId="7" borderId="59" xfId="4" applyFont="1" applyFill="1" applyBorder="1" applyAlignment="1">
      <alignment horizontal="left" vertical="center" wrapText="1"/>
    </xf>
    <xf numFmtId="0" fontId="3" fillId="0" borderId="8" xfId="0" applyFont="1" applyFill="1" applyBorder="1" applyAlignment="1">
      <alignment horizontal="left" vertical="center"/>
    </xf>
    <xf numFmtId="0" fontId="3" fillId="0" borderId="61" xfId="3" applyFont="1" applyFill="1" applyBorder="1" applyAlignment="1">
      <alignment horizontal="left" vertical="center" wrapText="1"/>
    </xf>
    <xf numFmtId="172" fontId="3" fillId="7" borderId="0" xfId="21" applyFont="1" applyFill="1" applyBorder="1" applyAlignment="1" applyProtection="1">
      <alignment horizontal="left" vertical="center" wrapText="1"/>
      <protection hidden="1"/>
    </xf>
    <xf numFmtId="172" fontId="3" fillId="7" borderId="11" xfId="21" applyFont="1" applyFill="1" applyBorder="1" applyAlignment="1" applyProtection="1">
      <alignment horizontal="left" vertical="center" wrapText="1"/>
      <protection hidden="1"/>
    </xf>
    <xf numFmtId="172" fontId="3" fillId="7" borderId="10" xfId="21" applyFont="1" applyFill="1" applyBorder="1" applyAlignment="1" applyProtection="1">
      <alignment horizontal="left" vertical="center" wrapText="1"/>
      <protection hidden="1"/>
    </xf>
    <xf numFmtId="0" fontId="3" fillId="0" borderId="10" xfId="4" applyFont="1" applyFill="1" applyBorder="1" applyAlignment="1">
      <alignment horizontal="left" vertical="center"/>
    </xf>
    <xf numFmtId="0" fontId="3" fillId="0" borderId="0" xfId="4" applyFont="1" applyFill="1" applyBorder="1" applyAlignment="1">
      <alignment horizontal="left" vertical="center"/>
    </xf>
    <xf numFmtId="0" fontId="3" fillId="0" borderId="11" xfId="4" applyFont="1" applyFill="1" applyBorder="1" applyAlignment="1">
      <alignment horizontal="left" vertical="center"/>
    </xf>
    <xf numFmtId="172" fontId="3" fillId="7" borderId="6" xfId="21" applyFont="1" applyFill="1" applyBorder="1" applyAlignment="1" applyProtection="1">
      <alignment horizontal="left" vertical="center" wrapText="1"/>
      <protection hidden="1"/>
    </xf>
    <xf numFmtId="172" fontId="3" fillId="7" borderId="7" xfId="21" applyFont="1" applyFill="1" applyBorder="1" applyAlignment="1" applyProtection="1">
      <alignment horizontal="left" vertical="center" wrapText="1"/>
      <protection hidden="1"/>
    </xf>
    <xf numFmtId="172" fontId="3" fillId="7" borderId="7" xfId="21" applyFont="1" applyFill="1" applyBorder="1" applyAlignment="1">
      <alignment horizontal="left" vertical="center"/>
    </xf>
    <xf numFmtId="0" fontId="5" fillId="0" borderId="0" xfId="3" applyFont="1" applyAlignment="1">
      <alignment horizontal="center" vertical="center"/>
    </xf>
    <xf numFmtId="0" fontId="3" fillId="0" borderId="10" xfId="3" applyFont="1" applyBorder="1" applyAlignment="1">
      <alignment horizontal="left" vertical="center"/>
    </xf>
    <xf numFmtId="167" fontId="3" fillId="0" borderId="10" xfId="3" applyNumberFormat="1" applyFont="1" applyBorder="1" applyAlignment="1">
      <alignment horizontal="center" vertical="center"/>
    </xf>
    <xf numFmtId="167" fontId="3" fillId="0" borderId="11" xfId="3" applyNumberFormat="1" applyFont="1" applyBorder="1" applyAlignment="1">
      <alignment horizontal="center" vertical="center"/>
    </xf>
    <xf numFmtId="0" fontId="3" fillId="0" borderId="13" xfId="3" applyFont="1" applyBorder="1" applyAlignment="1">
      <alignment horizontal="left" vertical="center"/>
    </xf>
    <xf numFmtId="0" fontId="3" fillId="0" borderId="14" xfId="3" applyFont="1" applyBorder="1" applyAlignment="1">
      <alignment horizontal="left" vertical="center"/>
    </xf>
    <xf numFmtId="0" fontId="3" fillId="0" borderId="15" xfId="3" applyFont="1" applyBorder="1" applyAlignment="1">
      <alignment horizontal="left" vertical="center"/>
    </xf>
    <xf numFmtId="167" fontId="3" fillId="0" borderId="6" xfId="3" applyNumberFormat="1" applyFont="1" applyBorder="1" applyAlignment="1">
      <alignment horizontal="center" vertical="center"/>
    </xf>
    <xf numFmtId="167" fontId="3" fillId="0" borderId="8" xfId="3" applyNumberFormat="1" applyFont="1" applyBorder="1" applyAlignment="1">
      <alignment horizontal="center" vertical="center"/>
    </xf>
    <xf numFmtId="0" fontId="3" fillId="7" borderId="14" xfId="7" applyFont="1" applyFill="1" applyBorder="1" applyAlignment="1">
      <alignment horizontal="left" vertical="center" wrapText="1"/>
    </xf>
    <xf numFmtId="0" fontId="3" fillId="7" borderId="15" xfId="7" applyFont="1" applyFill="1" applyBorder="1" applyAlignment="1">
      <alignment horizontal="left" vertical="center" wrapText="1"/>
    </xf>
    <xf numFmtId="9" fontId="3" fillId="7" borderId="12" xfId="12" applyFont="1" applyFill="1" applyBorder="1" applyAlignment="1">
      <alignment horizontal="center" vertical="center" wrapText="1"/>
    </xf>
    <xf numFmtId="4" fontId="3" fillId="7" borderId="11" xfId="3" applyNumberFormat="1" applyFont="1" applyFill="1" applyBorder="1" applyAlignment="1">
      <alignment horizontal="center" vertical="center" wrapText="1"/>
    </xf>
    <xf numFmtId="0" fontId="6" fillId="3" borderId="12" xfId="3" applyFont="1" applyFill="1" applyBorder="1" applyAlignment="1">
      <alignment horizontal="center" vertical="center"/>
    </xf>
    <xf numFmtId="0" fontId="3" fillId="7" borderId="13" xfId="5" applyFont="1" applyFill="1" applyBorder="1" applyAlignment="1">
      <alignment horizontal="left" vertical="center" wrapText="1"/>
    </xf>
    <xf numFmtId="0" fontId="3" fillId="7" borderId="14" xfId="5" applyFont="1" applyFill="1" applyBorder="1" applyAlignment="1">
      <alignment horizontal="left" vertical="center" wrapText="1"/>
    </xf>
    <xf numFmtId="0" fontId="3" fillId="0" borderId="11" xfId="3" applyFont="1" applyFill="1" applyBorder="1" applyAlignment="1">
      <alignment vertical="center" wrapText="1"/>
    </xf>
    <xf numFmtId="0" fontId="6" fillId="0" borderId="0" xfId="0" applyFont="1" applyBorder="1" applyAlignment="1">
      <alignment horizontal="left" vertical="center"/>
    </xf>
    <xf numFmtId="0" fontId="6" fillId="0" borderId="0" xfId="0" applyFont="1" applyBorder="1" applyAlignment="1">
      <alignment horizontal="center"/>
    </xf>
    <xf numFmtId="0" fontId="6" fillId="0" borderId="11" xfId="0" applyFont="1" applyBorder="1" applyAlignment="1">
      <alignment horizontal="center"/>
    </xf>
    <xf numFmtId="0" fontId="3" fillId="0" borderId="91" xfId="0" applyFont="1" applyFill="1" applyBorder="1" applyAlignment="1">
      <alignment horizontal="left" vertical="center" wrapText="1"/>
    </xf>
    <xf numFmtId="0" fontId="3" fillId="0" borderId="92" xfId="0" applyFont="1" applyFill="1" applyBorder="1" applyAlignment="1">
      <alignment horizontal="left" vertical="center" wrapText="1"/>
    </xf>
    <xf numFmtId="4" fontId="3" fillId="0" borderId="7" xfId="0" applyNumberFormat="1" applyFont="1" applyBorder="1" applyAlignment="1">
      <alignment horizontal="center" vertical="center" wrapText="1"/>
    </xf>
    <xf numFmtId="4" fontId="3" fillId="0" borderId="14" xfId="0" applyNumberFormat="1" applyFont="1" applyBorder="1" applyAlignment="1">
      <alignment horizontal="center" vertical="center" wrapText="1"/>
    </xf>
    <xf numFmtId="0" fontId="3" fillId="7" borderId="75" xfId="4" applyFont="1" applyFill="1" applyBorder="1" applyAlignment="1">
      <alignment horizontal="left" vertical="center" wrapText="1"/>
    </xf>
    <xf numFmtId="0" fontId="3" fillId="7" borderId="76" xfId="4" applyFont="1" applyFill="1" applyBorder="1" applyAlignment="1">
      <alignment horizontal="left" vertical="center" wrapText="1"/>
    </xf>
  </cellXfs>
  <cellStyles count="22">
    <cellStyle name="Hipervínculo" xfId="6" builtinId="8"/>
    <cellStyle name="Millares" xfId="1" builtinId="3"/>
    <cellStyle name="Millares 10" xfId="9"/>
    <cellStyle name="Millares 10 2" xfId="14"/>
    <cellStyle name="Millares 10 3" xfId="18"/>
    <cellStyle name="Millares 10 4" xfId="10"/>
    <cellStyle name="Millares 10 4 2" xfId="15"/>
    <cellStyle name="Millares 10 4 3" xfId="19"/>
    <cellStyle name="Millares 12" xfId="21"/>
    <cellStyle name="Millares 12 2" xfId="13"/>
    <cellStyle name="Millares 12 3" xfId="17"/>
    <cellStyle name="Normal" xfId="0" builtinId="0"/>
    <cellStyle name="Normal 10 2" xfId="3"/>
    <cellStyle name="Normal 11" xfId="5"/>
    <cellStyle name="Normal 16 2" xfId="16"/>
    <cellStyle name="Normal 16 3" xfId="20"/>
    <cellStyle name="Normal 17" xfId="8"/>
    <cellStyle name="Normal 2 10" xfId="7"/>
    <cellStyle name="Normal 2 2" xfId="4"/>
    <cellStyle name="Normal 2 2 2 2" xfId="11"/>
    <cellStyle name="Porcentaje" xfId="2" builtinId="5"/>
    <cellStyle name="Porcentaje 2 2 3" xfId="12"/>
  </cellStyles>
  <dxfs count="27">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6</xdr:col>
      <xdr:colOff>857250</xdr:colOff>
      <xdr:row>2</xdr:row>
      <xdr:rowOff>219074</xdr:rowOff>
    </xdr:from>
    <xdr:ext cx="137106" cy="264560"/>
    <xdr:sp macro="" textlink="">
      <xdr:nvSpPr>
        <xdr:cNvPr id="2" name="1 CuadroTexto"/>
        <xdr:cNvSpPr txBox="1"/>
      </xdr:nvSpPr>
      <xdr:spPr>
        <a:xfrm>
          <a:off x="6010275" y="68579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5</xdr:col>
      <xdr:colOff>857250</xdr:colOff>
      <xdr:row>1</xdr:row>
      <xdr:rowOff>219074</xdr:rowOff>
    </xdr:from>
    <xdr:ext cx="137106" cy="264560"/>
    <xdr:sp macro="" textlink="">
      <xdr:nvSpPr>
        <xdr:cNvPr id="2" name="1 CuadroTexto"/>
        <xdr:cNvSpPr txBox="1"/>
      </xdr:nvSpPr>
      <xdr:spPr>
        <a:xfrm>
          <a:off x="5048250" y="45719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oneCellAnchor>
    <xdr:from>
      <xdr:col>5</xdr:col>
      <xdr:colOff>857250</xdr:colOff>
      <xdr:row>1</xdr:row>
      <xdr:rowOff>219074</xdr:rowOff>
    </xdr:from>
    <xdr:ext cx="137106" cy="264560"/>
    <xdr:sp macro="" textlink="">
      <xdr:nvSpPr>
        <xdr:cNvPr id="3" name="2 CuadroTexto"/>
        <xdr:cNvSpPr txBox="1"/>
      </xdr:nvSpPr>
      <xdr:spPr>
        <a:xfrm>
          <a:off x="5048250" y="45719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5</xdr:col>
      <xdr:colOff>857250</xdr:colOff>
      <xdr:row>1</xdr:row>
      <xdr:rowOff>219074</xdr:rowOff>
    </xdr:from>
    <xdr:ext cx="137106" cy="264560"/>
    <xdr:sp macro="" textlink="">
      <xdr:nvSpPr>
        <xdr:cNvPr id="2" name="1 CuadroTexto"/>
        <xdr:cNvSpPr txBox="1"/>
      </xdr:nvSpPr>
      <xdr:spPr>
        <a:xfrm>
          <a:off x="5048250" y="45719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oneCellAnchor>
    <xdr:from>
      <xdr:col>5</xdr:col>
      <xdr:colOff>857250</xdr:colOff>
      <xdr:row>1</xdr:row>
      <xdr:rowOff>219074</xdr:rowOff>
    </xdr:from>
    <xdr:ext cx="137106" cy="264560"/>
    <xdr:sp macro="" textlink="">
      <xdr:nvSpPr>
        <xdr:cNvPr id="3" name="2 CuadroTexto"/>
        <xdr:cNvSpPr txBox="1"/>
      </xdr:nvSpPr>
      <xdr:spPr>
        <a:xfrm>
          <a:off x="5048250" y="45719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5</xdr:col>
      <xdr:colOff>857250</xdr:colOff>
      <xdr:row>3</xdr:row>
      <xdr:rowOff>219074</xdr:rowOff>
    </xdr:from>
    <xdr:ext cx="137106" cy="264560"/>
    <xdr:sp macro="" textlink="">
      <xdr:nvSpPr>
        <xdr:cNvPr id="2" name="1 CuadroTexto"/>
        <xdr:cNvSpPr txBox="1"/>
      </xdr:nvSpPr>
      <xdr:spPr>
        <a:xfrm>
          <a:off x="5048250" y="93344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oneCellAnchor>
    <xdr:from>
      <xdr:col>5</xdr:col>
      <xdr:colOff>857250</xdr:colOff>
      <xdr:row>3</xdr:row>
      <xdr:rowOff>219074</xdr:rowOff>
    </xdr:from>
    <xdr:ext cx="137106" cy="264560"/>
    <xdr:sp macro="" textlink="">
      <xdr:nvSpPr>
        <xdr:cNvPr id="3" name="2 CuadroTexto"/>
        <xdr:cNvSpPr txBox="1"/>
      </xdr:nvSpPr>
      <xdr:spPr>
        <a:xfrm>
          <a:off x="5048250" y="93344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5</xdr:col>
      <xdr:colOff>857250</xdr:colOff>
      <xdr:row>2</xdr:row>
      <xdr:rowOff>0</xdr:rowOff>
    </xdr:from>
    <xdr:ext cx="137106" cy="264560"/>
    <xdr:sp macro="" textlink="">
      <xdr:nvSpPr>
        <xdr:cNvPr id="2" name="1 CuadroTexto"/>
        <xdr:cNvSpPr txBox="1"/>
      </xdr:nvSpPr>
      <xdr:spPr>
        <a:xfrm>
          <a:off x="5048250" y="485775"/>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oneCellAnchor>
    <xdr:from>
      <xdr:col>5</xdr:col>
      <xdr:colOff>857250</xdr:colOff>
      <xdr:row>2</xdr:row>
      <xdr:rowOff>0</xdr:rowOff>
    </xdr:from>
    <xdr:ext cx="137106" cy="264560"/>
    <xdr:sp macro="" textlink="">
      <xdr:nvSpPr>
        <xdr:cNvPr id="3" name="2 CuadroTexto"/>
        <xdr:cNvSpPr txBox="1"/>
      </xdr:nvSpPr>
      <xdr:spPr>
        <a:xfrm>
          <a:off x="5048250" y="485775"/>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5</xdr:col>
      <xdr:colOff>857250</xdr:colOff>
      <xdr:row>2</xdr:row>
      <xdr:rowOff>219074</xdr:rowOff>
    </xdr:from>
    <xdr:ext cx="137106" cy="264560"/>
    <xdr:sp macro="" textlink="">
      <xdr:nvSpPr>
        <xdr:cNvPr id="2" name="1 CuadroTexto"/>
        <xdr:cNvSpPr txBox="1"/>
      </xdr:nvSpPr>
      <xdr:spPr>
        <a:xfrm>
          <a:off x="5048250" y="70484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oneCellAnchor>
    <xdr:from>
      <xdr:col>5</xdr:col>
      <xdr:colOff>857250</xdr:colOff>
      <xdr:row>2</xdr:row>
      <xdr:rowOff>219074</xdr:rowOff>
    </xdr:from>
    <xdr:ext cx="137106" cy="264560"/>
    <xdr:sp macro="" textlink="">
      <xdr:nvSpPr>
        <xdr:cNvPr id="3" name="2 CuadroTexto"/>
        <xdr:cNvSpPr txBox="1"/>
      </xdr:nvSpPr>
      <xdr:spPr>
        <a:xfrm>
          <a:off x="5048250" y="70484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6</xdr:col>
      <xdr:colOff>857250</xdr:colOff>
      <xdr:row>2</xdr:row>
      <xdr:rowOff>219074</xdr:rowOff>
    </xdr:from>
    <xdr:ext cx="137106" cy="264560"/>
    <xdr:sp macro="" textlink="">
      <xdr:nvSpPr>
        <xdr:cNvPr id="2" name="1 CuadroTexto"/>
        <xdr:cNvSpPr txBox="1"/>
      </xdr:nvSpPr>
      <xdr:spPr>
        <a:xfrm>
          <a:off x="6210300" y="695324"/>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6</xdr:col>
      <xdr:colOff>857250</xdr:colOff>
      <xdr:row>1</xdr:row>
      <xdr:rowOff>219074</xdr:rowOff>
    </xdr:from>
    <xdr:ext cx="137106" cy="264560"/>
    <xdr:sp macro="" textlink="">
      <xdr:nvSpPr>
        <xdr:cNvPr id="2" name="1 CuadroTexto"/>
        <xdr:cNvSpPr txBox="1"/>
      </xdr:nvSpPr>
      <xdr:spPr>
        <a:xfrm>
          <a:off x="6172200" y="45719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6</xdr:col>
      <xdr:colOff>857250</xdr:colOff>
      <xdr:row>1</xdr:row>
      <xdr:rowOff>219074</xdr:rowOff>
    </xdr:from>
    <xdr:ext cx="137106" cy="264560"/>
    <xdr:sp macro="" textlink="">
      <xdr:nvSpPr>
        <xdr:cNvPr id="2" name="1 CuadroTexto"/>
        <xdr:cNvSpPr txBox="1"/>
      </xdr:nvSpPr>
      <xdr:spPr>
        <a:xfrm>
          <a:off x="6048375" y="457199"/>
          <a:ext cx="137106"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es-PE"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sfsrprd0102\Planes%20Salud%20EPS\PLAN_DE_SALUD\Plantillas\202004\Cesant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sfsrprd0102\Planes%20Salud%20EPS\PLAN_DE_SALUD\1_PlanesdeSalud\BackUpPlanesSalud\202004\PS_GRUPO%20LAUREATE_RN_V04_01042020_ot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ADOS"/>
      <sheetName val="Cesantes Base"/>
      <sheetName val="Cesantes Adi1"/>
      <sheetName val="Cesantes Adi2"/>
      <sheetName val="Hijos 18 a 25 Base Ces"/>
      <sheetName val="Hijos 18 a 25 Adi1 Ces"/>
      <sheetName val="Hijos 18 a 25 Adi2 Ces"/>
      <sheetName val="Datos PAD CESANTES"/>
      <sheetName val="PadresCesantes Adi1"/>
      <sheetName val="PadresCesantes Adi2"/>
    </sheetNames>
    <sheetDataSet>
      <sheetData sheetId="0" refreshError="1"/>
      <sheetData sheetId="1">
        <row r="8">
          <cell r="B8" t="str">
            <v xml:space="preserve"> CESANTES, CÓNYUGES E HIJOS (HASTA 18 AÑOS)</v>
          </cell>
        </row>
      </sheetData>
      <sheetData sheetId="2" refreshError="1"/>
      <sheetData sheetId="3" refreshError="1"/>
      <sheetData sheetId="4">
        <row r="8">
          <cell r="B8" t="str">
            <v xml:space="preserve"> HIJOS DE CESANTES DE 18 A 28 AÑOS (INCLUSIVE)</v>
          </cell>
        </row>
      </sheetData>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ADOS"/>
      <sheetName val="Datos REG y HIJOS"/>
      <sheetName val="Reg Base"/>
      <sheetName val="Reg Adi1"/>
      <sheetName val="Reg Adi2"/>
      <sheetName val="Hijos 18 a 25 Base"/>
      <sheetName val="Hijos 18 a 25 Adi1"/>
      <sheetName val="Hijos 18 a 25 Adi2"/>
      <sheetName val="Datos PAD"/>
      <sheetName val="Padres Adi1"/>
      <sheetName val="Datos CESANTES"/>
      <sheetName val="CesT-Cesantes"/>
      <sheetName val="Datos NO PLANILLA"/>
      <sheetName val="TnpT-TrabNoenPlla"/>
      <sheetName val="TnpH-TrabNoenPlla"/>
      <sheetName val="TnpT-Trab Potestativo"/>
      <sheetName val="TnpH-Trab Potestativo"/>
      <sheetName val="CesH-Cesantes"/>
      <sheetName val="ColH"/>
      <sheetName val="ColT"/>
    </sheetNames>
    <sheetDataSet>
      <sheetData sheetId="0"/>
      <sheetData sheetId="1">
        <row r="3">
          <cell r="D3">
            <v>35</v>
          </cell>
          <cell r="E3">
            <v>0.9</v>
          </cell>
          <cell r="F3" t="str">
            <v>1 día de hab.</v>
          </cell>
          <cell r="G3">
            <v>0.9</v>
          </cell>
        </row>
        <row r="4">
          <cell r="D4">
            <v>35</v>
          </cell>
          <cell r="E4">
            <v>0.9</v>
          </cell>
          <cell r="F4" t="str">
            <v>1 día de hab.</v>
          </cell>
          <cell r="G4">
            <v>0.9</v>
          </cell>
        </row>
        <row r="5">
          <cell r="D5">
            <v>40</v>
          </cell>
          <cell r="E5">
            <v>0.9</v>
          </cell>
          <cell r="F5" t="str">
            <v>1 día de hab.</v>
          </cell>
          <cell r="G5">
            <v>0.85</v>
          </cell>
        </row>
        <row r="6">
          <cell r="D6">
            <v>40</v>
          </cell>
          <cell r="E6">
            <v>0.85</v>
          </cell>
          <cell r="F6" t="str">
            <v>1 día de hab.</v>
          </cell>
          <cell r="G6">
            <v>0.85</v>
          </cell>
          <cell r="I6" t="str">
            <v>Titular solo</v>
          </cell>
          <cell r="M6">
            <v>145.16982859970557</v>
          </cell>
        </row>
        <row r="7">
          <cell r="D7">
            <v>45</v>
          </cell>
          <cell r="E7">
            <v>0.85</v>
          </cell>
          <cell r="F7" t="str">
            <v>1 día de hab.</v>
          </cell>
          <cell r="G7">
            <v>0.85</v>
          </cell>
          <cell r="I7" t="str">
            <v>Titular + 1 Dependiente</v>
          </cell>
          <cell r="M7">
            <v>290.33965719941114</v>
          </cell>
        </row>
        <row r="8">
          <cell r="D8">
            <v>45</v>
          </cell>
          <cell r="E8">
            <v>0.85</v>
          </cell>
          <cell r="F8" t="str">
            <v>1 día de hab.</v>
          </cell>
          <cell r="G8">
            <v>0.85</v>
          </cell>
          <cell r="I8" t="str">
            <v>Titular + 2 Dependientes</v>
          </cell>
          <cell r="M8">
            <v>435.50948579911665</v>
          </cell>
        </row>
        <row r="9">
          <cell r="D9">
            <v>40</v>
          </cell>
          <cell r="E9">
            <v>0.85</v>
          </cell>
          <cell r="F9" t="str">
            <v>1 día de hab.</v>
          </cell>
          <cell r="G9">
            <v>0.8</v>
          </cell>
          <cell r="I9" t="str">
            <v>Titular + 3 Dependientes</v>
          </cell>
          <cell r="M9">
            <v>580.67931439882227</v>
          </cell>
        </row>
        <row r="10">
          <cell r="D10">
            <v>50</v>
          </cell>
          <cell r="E10">
            <v>0.85</v>
          </cell>
          <cell r="F10" t="str">
            <v>1 día de hab.</v>
          </cell>
          <cell r="G10">
            <v>0.8</v>
          </cell>
          <cell r="I10" t="str">
            <v>Titular + 4 Dependientes</v>
          </cell>
          <cell r="M10">
            <v>580.67931439882227</v>
          </cell>
        </row>
        <row r="11">
          <cell r="D11">
            <v>80</v>
          </cell>
          <cell r="E11">
            <v>0.75</v>
          </cell>
          <cell r="F11" t="str">
            <v>1 día de hab.</v>
          </cell>
          <cell r="G11">
            <v>0.75</v>
          </cell>
          <cell r="I11" t="str">
            <v>Titular + 5 Dependientes o más</v>
          </cell>
          <cell r="M11">
            <v>580.67931439882227</v>
          </cell>
        </row>
        <row r="12">
          <cell r="D12">
            <v>90</v>
          </cell>
          <cell r="E12">
            <v>0.7</v>
          </cell>
          <cell r="F12" t="str">
            <v>1 día de hab.</v>
          </cell>
          <cell r="G12">
            <v>0.7</v>
          </cell>
          <cell r="M12">
            <v>145.16982859970557</v>
          </cell>
        </row>
        <row r="13">
          <cell r="D13">
            <v>35</v>
          </cell>
          <cell r="E13">
            <v>0.9</v>
          </cell>
          <cell r="F13" t="str">
            <v>1 día de hab.</v>
          </cell>
          <cell r="G13">
            <v>0.9</v>
          </cell>
        </row>
        <row r="14">
          <cell r="D14">
            <v>55</v>
          </cell>
          <cell r="E14">
            <v>0.85</v>
          </cell>
          <cell r="F14" t="str">
            <v>1 día de hab.</v>
          </cell>
          <cell r="G14">
            <v>0.85</v>
          </cell>
        </row>
        <row r="15">
          <cell r="D15">
            <v>115</v>
          </cell>
          <cell r="E15">
            <v>0.65</v>
          </cell>
          <cell r="F15" t="str">
            <v>1 día de hab.</v>
          </cell>
          <cell r="G15">
            <v>0.6</v>
          </cell>
          <cell r="J15">
            <v>0.75</v>
          </cell>
        </row>
        <row r="17">
          <cell r="D17">
            <v>0</v>
          </cell>
          <cell r="E17">
            <v>1</v>
          </cell>
          <cell r="F17" t="str">
            <v>1 día de hab.</v>
          </cell>
          <cell r="G17">
            <v>0.9</v>
          </cell>
        </row>
        <row r="18">
          <cell r="D18">
            <v>0</v>
          </cell>
          <cell r="E18">
            <v>1</v>
          </cell>
          <cell r="F18" t="str">
            <v>1 día de hab.</v>
          </cell>
          <cell r="G18">
            <v>0.9</v>
          </cell>
        </row>
        <row r="19">
          <cell r="D19">
            <v>0</v>
          </cell>
          <cell r="E19">
            <v>0.95</v>
          </cell>
          <cell r="F19" t="str">
            <v>1 día de hab.</v>
          </cell>
          <cell r="G19">
            <v>0.85</v>
          </cell>
          <cell r="K19">
            <v>1500000</v>
          </cell>
        </row>
        <row r="20">
          <cell r="D20">
            <v>0</v>
          </cell>
          <cell r="E20">
            <v>0.95</v>
          </cell>
          <cell r="F20" t="str">
            <v>1 día de hab.</v>
          </cell>
          <cell r="G20">
            <v>0.85</v>
          </cell>
        </row>
        <row r="21">
          <cell r="D21">
            <v>0</v>
          </cell>
          <cell r="E21">
            <v>0.95</v>
          </cell>
          <cell r="F21" t="str">
            <v>1 día de hab.</v>
          </cell>
          <cell r="G21">
            <v>0.85</v>
          </cell>
        </row>
        <row r="22">
          <cell r="D22">
            <v>0</v>
          </cell>
          <cell r="E22">
            <v>0.95</v>
          </cell>
          <cell r="F22" t="str">
            <v>1 día de hab.</v>
          </cell>
          <cell r="G22">
            <v>0.8</v>
          </cell>
        </row>
        <row r="23">
          <cell r="D23">
            <v>0</v>
          </cell>
          <cell r="E23">
            <v>0.9</v>
          </cell>
          <cell r="F23" t="str">
            <v>1 día de hab.</v>
          </cell>
          <cell r="G23">
            <v>0.8</v>
          </cell>
        </row>
        <row r="24">
          <cell r="D24">
            <v>0</v>
          </cell>
          <cell r="E24">
            <v>0.9</v>
          </cell>
          <cell r="F24" t="str">
            <v>1 día de hab.</v>
          </cell>
          <cell r="G24">
            <v>0.75</v>
          </cell>
        </row>
        <row r="25">
          <cell r="D25" t="str">
            <v>1 día de hab.</v>
          </cell>
          <cell r="E25">
            <v>0.8</v>
          </cell>
          <cell r="F25" t="str">
            <v>1 día de hab.</v>
          </cell>
          <cell r="G25">
            <v>0.7</v>
          </cell>
        </row>
        <row r="26">
          <cell r="D26" t="str">
            <v>1 día de hab.</v>
          </cell>
          <cell r="E26">
            <v>0.8</v>
          </cell>
          <cell r="F26" t="str">
            <v>1 día de hab.</v>
          </cell>
          <cell r="G26">
            <v>0.7</v>
          </cell>
        </row>
        <row r="27">
          <cell r="D27">
            <v>0</v>
          </cell>
          <cell r="E27">
            <v>1</v>
          </cell>
          <cell r="F27" t="str">
            <v>1 día de hab.</v>
          </cell>
          <cell r="G27">
            <v>0.9</v>
          </cell>
          <cell r="K27" t="str">
            <v>UNIVERSIDAD PERUANA DE CIENCIAS APLICADAS</v>
          </cell>
        </row>
        <row r="28">
          <cell r="D28">
            <v>0</v>
          </cell>
          <cell r="E28">
            <v>0.95</v>
          </cell>
          <cell r="F28" t="str">
            <v>1 día de hab.</v>
          </cell>
          <cell r="G28">
            <v>0.8</v>
          </cell>
          <cell r="K28" t="str">
            <v>AV. EL DERBY 254 - SANTIAGO DE SURCO</v>
          </cell>
        </row>
        <row r="29">
          <cell r="D29" t="str">
            <v>1 día de hab.</v>
          </cell>
          <cell r="E29">
            <v>0.7</v>
          </cell>
          <cell r="F29" t="str">
            <v>1 día de hab.</v>
          </cell>
          <cell r="G29">
            <v>0.65</v>
          </cell>
          <cell r="K29">
            <v>43922</v>
          </cell>
        </row>
        <row r="30">
          <cell r="K30">
            <v>231002</v>
          </cell>
        </row>
        <row r="31">
          <cell r="D31">
            <v>20</v>
          </cell>
          <cell r="E31">
            <v>0.9</v>
          </cell>
        </row>
        <row r="32">
          <cell r="D32">
            <v>20</v>
          </cell>
          <cell r="E32">
            <v>0.9</v>
          </cell>
        </row>
        <row r="33">
          <cell r="D33">
            <v>50</v>
          </cell>
          <cell r="E33">
            <v>0.8</v>
          </cell>
          <cell r="G33">
            <v>50</v>
          </cell>
        </row>
        <row r="34">
          <cell r="D34">
            <v>50</v>
          </cell>
          <cell r="E34">
            <v>0.8</v>
          </cell>
          <cell r="G34">
            <v>80</v>
          </cell>
        </row>
        <row r="35">
          <cell r="G35">
            <v>40</v>
          </cell>
        </row>
      </sheetData>
      <sheetData sheetId="2"/>
      <sheetData sheetId="3"/>
      <sheetData sheetId="4"/>
      <sheetData sheetId="5"/>
      <sheetData sheetId="6"/>
      <sheetData sheetId="7"/>
      <sheetData sheetId="8"/>
      <sheetData sheetId="9"/>
      <sheetData sheetId="10">
        <row r="3">
          <cell r="D3">
            <v>35</v>
          </cell>
          <cell r="E3">
            <v>0.9</v>
          </cell>
          <cell r="F3" t="str">
            <v>1 día de hab.</v>
          </cell>
          <cell r="G3">
            <v>0.9</v>
          </cell>
        </row>
        <row r="4">
          <cell r="D4">
            <v>35</v>
          </cell>
          <cell r="E4">
            <v>0.9</v>
          </cell>
          <cell r="F4" t="str">
            <v>1 día de hab.</v>
          </cell>
          <cell r="G4">
            <v>0.9</v>
          </cell>
        </row>
        <row r="5">
          <cell r="D5">
            <v>40</v>
          </cell>
          <cell r="E5">
            <v>0.9</v>
          </cell>
          <cell r="F5" t="str">
            <v>1 día de hab.</v>
          </cell>
          <cell r="G5">
            <v>0.85</v>
          </cell>
        </row>
        <row r="6">
          <cell r="D6">
            <v>40</v>
          </cell>
          <cell r="E6">
            <v>0.85</v>
          </cell>
          <cell r="F6" t="str">
            <v>1 día de hab.</v>
          </cell>
          <cell r="G6">
            <v>0.85</v>
          </cell>
        </row>
        <row r="7">
          <cell r="D7">
            <v>45</v>
          </cell>
          <cell r="E7">
            <v>0.85</v>
          </cell>
          <cell r="F7" t="str">
            <v>1 día de hab.</v>
          </cell>
          <cell r="G7">
            <v>0.85</v>
          </cell>
        </row>
        <row r="8">
          <cell r="D8">
            <v>45</v>
          </cell>
          <cell r="E8">
            <v>0.85</v>
          </cell>
          <cell r="F8" t="str">
            <v>1 día de hab.</v>
          </cell>
          <cell r="G8">
            <v>0.85</v>
          </cell>
        </row>
        <row r="9">
          <cell r="D9">
            <v>40</v>
          </cell>
          <cell r="E9">
            <v>0.85</v>
          </cell>
          <cell r="F9" t="str">
            <v>1 día de hab.</v>
          </cell>
          <cell r="G9">
            <v>0.8</v>
          </cell>
        </row>
        <row r="10">
          <cell r="D10">
            <v>50</v>
          </cell>
          <cell r="E10">
            <v>0.85</v>
          </cell>
          <cell r="F10" t="str">
            <v>1 día de hab.</v>
          </cell>
          <cell r="G10">
            <v>0.8</v>
          </cell>
        </row>
        <row r="11">
          <cell r="D11">
            <v>80</v>
          </cell>
          <cell r="E11">
            <v>0.75</v>
          </cell>
          <cell r="F11" t="str">
            <v>1 día de hab.</v>
          </cell>
          <cell r="G11">
            <v>0.75</v>
          </cell>
        </row>
        <row r="12">
          <cell r="D12">
            <v>90</v>
          </cell>
          <cell r="E12">
            <v>0.7</v>
          </cell>
          <cell r="F12" t="str">
            <v>1 día de hab.</v>
          </cell>
          <cell r="G12">
            <v>0.7</v>
          </cell>
          <cell r="M12">
            <v>226.60644978626769</v>
          </cell>
        </row>
        <row r="13">
          <cell r="D13">
            <v>35</v>
          </cell>
          <cell r="E13">
            <v>0.9</v>
          </cell>
          <cell r="F13" t="str">
            <v>1 día de hab.</v>
          </cell>
          <cell r="G13">
            <v>0.9</v>
          </cell>
        </row>
        <row r="14">
          <cell r="D14">
            <v>55</v>
          </cell>
          <cell r="E14">
            <v>0.85</v>
          </cell>
          <cell r="F14" t="str">
            <v>1 día de hab.</v>
          </cell>
          <cell r="G14">
            <v>0.85</v>
          </cell>
        </row>
        <row r="15">
          <cell r="D15">
            <v>115</v>
          </cell>
          <cell r="E15">
            <v>0.65</v>
          </cell>
          <cell r="F15" t="str">
            <v>1 día de hab.</v>
          </cell>
          <cell r="G15">
            <v>0.6</v>
          </cell>
          <cell r="J15">
            <v>0.8</v>
          </cell>
        </row>
        <row r="17">
          <cell r="D17">
            <v>0</v>
          </cell>
          <cell r="E17">
            <v>1</v>
          </cell>
          <cell r="F17" t="str">
            <v>1 día de hab.</v>
          </cell>
          <cell r="G17">
            <v>0.9</v>
          </cell>
        </row>
        <row r="18">
          <cell r="D18">
            <v>0</v>
          </cell>
          <cell r="E18">
            <v>1</v>
          </cell>
          <cell r="F18" t="str">
            <v>1 día de hab.</v>
          </cell>
          <cell r="G18">
            <v>0.9</v>
          </cell>
        </row>
        <row r="19">
          <cell r="D19">
            <v>0</v>
          </cell>
          <cell r="E19">
            <v>0.95</v>
          </cell>
          <cell r="F19" t="str">
            <v>1 día de hab.</v>
          </cell>
          <cell r="G19">
            <v>0.85</v>
          </cell>
          <cell r="K19" t="str">
            <v>ILIMITADA</v>
          </cell>
        </row>
        <row r="20">
          <cell r="D20">
            <v>0</v>
          </cell>
          <cell r="E20">
            <v>0.95</v>
          </cell>
          <cell r="F20" t="str">
            <v>1 día de hab.</v>
          </cell>
          <cell r="G20">
            <v>0.85</v>
          </cell>
        </row>
        <row r="21">
          <cell r="D21">
            <v>0</v>
          </cell>
          <cell r="E21">
            <v>0.95</v>
          </cell>
          <cell r="F21" t="str">
            <v>1 día de hab.</v>
          </cell>
          <cell r="G21">
            <v>0.85</v>
          </cell>
        </row>
        <row r="22">
          <cell r="D22">
            <v>0</v>
          </cell>
          <cell r="E22">
            <v>0.95</v>
          </cell>
          <cell r="F22" t="str">
            <v>1 día de hab.</v>
          </cell>
          <cell r="G22">
            <v>0.8</v>
          </cell>
        </row>
        <row r="23">
          <cell r="D23">
            <v>0</v>
          </cell>
          <cell r="E23">
            <v>0.9</v>
          </cell>
          <cell r="F23" t="str">
            <v>1 día de hab.</v>
          </cell>
          <cell r="G23">
            <v>0.8</v>
          </cell>
        </row>
        <row r="24">
          <cell r="D24">
            <v>0</v>
          </cell>
          <cell r="E24">
            <v>0.9</v>
          </cell>
          <cell r="F24" t="str">
            <v>1 día de hab.</v>
          </cell>
          <cell r="G24">
            <v>0.75</v>
          </cell>
        </row>
        <row r="25">
          <cell r="D25" t="str">
            <v>1 día de hab.</v>
          </cell>
          <cell r="E25">
            <v>0.8</v>
          </cell>
          <cell r="F25" t="str">
            <v>1 día de hab.</v>
          </cell>
          <cell r="G25">
            <v>0.7</v>
          </cell>
        </row>
        <row r="26">
          <cell r="D26" t="str">
            <v>1 día de hab.</v>
          </cell>
          <cell r="E26">
            <v>0.8</v>
          </cell>
          <cell r="F26" t="str">
            <v>1 día de hab.</v>
          </cell>
          <cell r="G26">
            <v>0.7</v>
          </cell>
        </row>
        <row r="27">
          <cell r="D27">
            <v>0</v>
          </cell>
          <cell r="E27">
            <v>1</v>
          </cell>
          <cell r="F27" t="str">
            <v>1 día de hab.</v>
          </cell>
          <cell r="G27">
            <v>0.9</v>
          </cell>
          <cell r="K27" t="str">
            <v>UNIVERSIDAD PERUANA DE CIENCIAS APLICADAS</v>
          </cell>
        </row>
        <row r="28">
          <cell r="D28">
            <v>0</v>
          </cell>
          <cell r="E28">
            <v>0.95</v>
          </cell>
          <cell r="F28" t="str">
            <v>1 día de hab.</v>
          </cell>
          <cell r="G28">
            <v>0.8</v>
          </cell>
          <cell r="K28" t="str">
            <v>AV. EL DERBY 254 - SANTIAGO DE SURCO</v>
          </cell>
        </row>
        <row r="29">
          <cell r="D29" t="str">
            <v>1 día de hab.</v>
          </cell>
          <cell r="E29">
            <v>0.7</v>
          </cell>
          <cell r="F29" t="str">
            <v>1 día de hab.</v>
          </cell>
          <cell r="G29">
            <v>0.65</v>
          </cell>
          <cell r="K29">
            <v>43922</v>
          </cell>
        </row>
        <row r="30">
          <cell r="K30">
            <v>231002</v>
          </cell>
        </row>
        <row r="31">
          <cell r="D31">
            <v>20</v>
          </cell>
          <cell r="E31">
            <v>0.9</v>
          </cell>
        </row>
        <row r="32">
          <cell r="D32">
            <v>20</v>
          </cell>
          <cell r="E32">
            <v>0.9</v>
          </cell>
        </row>
        <row r="33">
          <cell r="D33">
            <v>50</v>
          </cell>
          <cell r="E33">
            <v>0.8</v>
          </cell>
          <cell r="G33">
            <v>50</v>
          </cell>
        </row>
        <row r="34">
          <cell r="D34">
            <v>50</v>
          </cell>
          <cell r="E34">
            <v>0.8</v>
          </cell>
          <cell r="G34">
            <v>80</v>
          </cell>
        </row>
        <row r="35">
          <cell r="G35">
            <v>40</v>
          </cell>
        </row>
      </sheetData>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FF0000"/>
  </sheetPr>
  <dimension ref="A1:Y529"/>
  <sheetViews>
    <sheetView showGridLines="0" view="pageBreakPreview" topLeftCell="B1" zoomScale="90" zoomScaleNormal="66" zoomScaleSheetLayoutView="90" workbookViewId="0">
      <selection activeCell="B9" sqref="B9"/>
    </sheetView>
  </sheetViews>
  <sheetFormatPr baseColWidth="10" defaultColWidth="16.140625" defaultRowHeight="12.75" x14ac:dyDescent="0.2"/>
  <cols>
    <col min="1" max="1" width="16.7109375" style="18" hidden="1" customWidth="1"/>
    <col min="2" max="2" width="20.85546875" style="1" customWidth="1"/>
    <col min="3" max="3" width="13.140625" style="1" customWidth="1"/>
    <col min="4" max="7" width="14.42578125" style="1" customWidth="1"/>
    <col min="8" max="8" width="11.7109375" style="1" customWidth="1"/>
    <col min="9" max="9" width="11.7109375" style="11" customWidth="1"/>
    <col min="10" max="10" width="11.7109375" style="234" customWidth="1"/>
    <col min="11" max="11" width="12.85546875" style="1" hidden="1" customWidth="1"/>
    <col min="12" max="12" width="12.85546875" style="2" hidden="1" customWidth="1"/>
    <col min="13" max="13" width="12.85546875" style="3" hidden="1" customWidth="1"/>
    <col min="14" max="14" width="12.85546875" style="4" hidden="1" customWidth="1"/>
    <col min="15" max="15" width="12.85546875" style="2" hidden="1" customWidth="1"/>
    <col min="16" max="16" width="19.5703125" style="18" hidden="1" customWidth="1"/>
    <col min="17" max="17" width="12.85546875" style="24" customWidth="1"/>
    <col min="18" max="25" width="16.140625" style="24" customWidth="1"/>
    <col min="26" max="16384" width="16.140625" style="24"/>
  </cols>
  <sheetData>
    <row r="1" spans="2:13" ht="18" x14ac:dyDescent="0.2">
      <c r="B1" s="1331" t="s">
        <v>0</v>
      </c>
      <c r="C1" s="1331"/>
      <c r="D1" s="1331"/>
      <c r="E1" s="1331"/>
      <c r="F1" s="1331"/>
      <c r="G1" s="1331"/>
      <c r="H1" s="1331"/>
      <c r="I1" s="1331"/>
      <c r="J1" s="1331"/>
    </row>
    <row r="2" spans="2:13" ht="18.75" customHeight="1" x14ac:dyDescent="0.2">
      <c r="B2" s="1331" t="s">
        <v>1</v>
      </c>
      <c r="C2" s="1331"/>
      <c r="D2" s="1331"/>
      <c r="E2" s="1331"/>
      <c r="F2" s="1331"/>
      <c r="G2" s="1331"/>
      <c r="H2" s="1331"/>
      <c r="I2" s="1331"/>
      <c r="J2" s="1331"/>
    </row>
    <row r="3" spans="2:13" ht="20.100000000000001" customHeight="1" x14ac:dyDescent="0.2">
      <c r="B3" s="1332"/>
      <c r="C3" s="1332"/>
      <c r="D3" s="1332"/>
      <c r="E3" s="1332"/>
      <c r="F3" s="1332"/>
      <c r="G3" s="1332"/>
      <c r="H3" s="1332"/>
      <c r="I3" s="1332"/>
      <c r="J3" s="1332"/>
      <c r="K3" s="5"/>
      <c r="M3" s="6"/>
    </row>
    <row r="4" spans="2:13" ht="18.75" customHeight="1" x14ac:dyDescent="0.2">
      <c r="B4" s="1325" t="s">
        <v>2</v>
      </c>
      <c r="C4" s="1325"/>
      <c r="D4" s="1325"/>
      <c r="E4" s="1327" t="s">
        <v>922</v>
      </c>
      <c r="F4" s="1327"/>
      <c r="G4" s="1327"/>
      <c r="H4" s="1327"/>
      <c r="I4" s="1327"/>
      <c r="J4" s="1327"/>
      <c r="K4" s="7"/>
      <c r="M4" s="6"/>
    </row>
    <row r="5" spans="2:13" ht="30.75" customHeight="1" x14ac:dyDescent="0.2">
      <c r="B5" s="1325" t="s">
        <v>3</v>
      </c>
      <c r="C5" s="1325"/>
      <c r="D5" s="1325"/>
      <c r="E5" s="1333" t="s">
        <v>923</v>
      </c>
      <c r="F5" s="1327"/>
      <c r="G5" s="1327"/>
      <c r="H5" s="1327"/>
      <c r="I5" s="1327"/>
      <c r="J5" s="1327"/>
      <c r="K5" s="7"/>
      <c r="M5" s="6"/>
    </row>
    <row r="6" spans="2:13" ht="18.75" customHeight="1" x14ac:dyDescent="0.2">
      <c r="B6" s="1325" t="s">
        <v>4</v>
      </c>
      <c r="C6" s="1325"/>
      <c r="D6" s="1325"/>
      <c r="E6" s="1326">
        <v>43922</v>
      </c>
      <c r="F6" s="1327"/>
      <c r="G6" s="8"/>
      <c r="H6" s="1328" t="s">
        <v>5</v>
      </c>
      <c r="I6" s="1328"/>
      <c r="J6" s="9">
        <v>231002</v>
      </c>
    </row>
    <row r="7" spans="2:13" ht="20.100000000000001" customHeight="1" x14ac:dyDescent="0.2">
      <c r="B7" s="1325"/>
      <c r="C7" s="1325"/>
      <c r="D7" s="1325"/>
      <c r="E7" s="1329"/>
      <c r="F7" s="1329"/>
      <c r="G7" s="10"/>
      <c r="J7" s="9"/>
    </row>
    <row r="8" spans="2:13" ht="14.25" customHeight="1" x14ac:dyDescent="0.2">
      <c r="B8" s="1330" t="s">
        <v>6</v>
      </c>
      <c r="C8" s="1330"/>
      <c r="D8" s="1330"/>
      <c r="E8" s="1330"/>
      <c r="F8" s="1330"/>
      <c r="G8" s="1330"/>
      <c r="H8" s="1330"/>
      <c r="I8" s="1330"/>
      <c r="J8" s="1330"/>
      <c r="K8" s="12"/>
      <c r="M8" s="13"/>
    </row>
    <row r="9" spans="2:13" ht="20.100000000000001" customHeight="1" x14ac:dyDescent="0.2">
      <c r="B9" s="14"/>
      <c r="C9" s="14"/>
      <c r="D9" s="14"/>
      <c r="E9" s="14"/>
      <c r="F9" s="14"/>
      <c r="G9" s="14"/>
      <c r="H9" s="14"/>
      <c r="I9" s="14"/>
      <c r="J9" s="15"/>
      <c r="K9" s="12"/>
      <c r="M9" s="13"/>
    </row>
    <row r="10" spans="2:13" ht="30" customHeight="1" x14ac:dyDescent="0.2">
      <c r="B10" s="855" t="s">
        <v>7</v>
      </c>
      <c r="C10" s="856"/>
      <c r="D10" s="856"/>
      <c r="E10" s="856"/>
      <c r="F10" s="856"/>
      <c r="G10" s="856"/>
      <c r="H10" s="856"/>
      <c r="I10" s="856"/>
      <c r="J10" s="857"/>
    </row>
    <row r="11" spans="2:13" ht="56.25" customHeight="1" x14ac:dyDescent="0.2">
      <c r="B11" s="1320" t="s">
        <v>8</v>
      </c>
      <c r="C11" s="1321"/>
      <c r="D11" s="1321"/>
      <c r="E11" s="1321"/>
      <c r="F11" s="1321"/>
      <c r="G11" s="1321"/>
      <c r="H11" s="1321"/>
      <c r="I11" s="1321"/>
      <c r="J11" s="1322"/>
    </row>
    <row r="12" spans="2:13" ht="20.100000000000001" customHeight="1" x14ac:dyDescent="0.2">
      <c r="B12" s="16"/>
      <c r="C12" s="16"/>
      <c r="D12" s="16"/>
      <c r="E12" s="16"/>
      <c r="F12" s="16"/>
      <c r="G12" s="16"/>
      <c r="H12" s="16"/>
      <c r="I12" s="16"/>
      <c r="J12" s="17"/>
    </row>
    <row r="13" spans="2:13" ht="30" customHeight="1" x14ac:dyDescent="0.2">
      <c r="B13" s="855" t="s">
        <v>9</v>
      </c>
      <c r="C13" s="856"/>
      <c r="D13" s="856"/>
      <c r="E13" s="856"/>
      <c r="F13" s="856"/>
      <c r="G13" s="856"/>
      <c r="H13" s="856"/>
      <c r="I13" s="856"/>
      <c r="J13" s="857"/>
    </row>
    <row r="14" spans="2:13" ht="54.75" customHeight="1" x14ac:dyDescent="0.2">
      <c r="B14" s="1320" t="s">
        <v>10</v>
      </c>
      <c r="C14" s="1321"/>
      <c r="D14" s="1321"/>
      <c r="E14" s="1321"/>
      <c r="F14" s="1321"/>
      <c r="G14" s="1321"/>
      <c r="H14" s="1321"/>
      <c r="I14" s="1321"/>
      <c r="J14" s="1322"/>
    </row>
    <row r="15" spans="2:13" ht="20.100000000000001" customHeight="1" x14ac:dyDescent="0.2">
      <c r="B15" s="16"/>
      <c r="C15" s="16"/>
      <c r="D15" s="16"/>
      <c r="E15" s="16"/>
      <c r="F15" s="16"/>
      <c r="G15" s="16"/>
      <c r="H15" s="16"/>
      <c r="I15" s="16"/>
      <c r="J15" s="17"/>
    </row>
    <row r="16" spans="2:13" ht="30" customHeight="1" x14ac:dyDescent="0.2">
      <c r="B16" s="855" t="s">
        <v>11</v>
      </c>
      <c r="C16" s="856"/>
      <c r="D16" s="856"/>
      <c r="E16" s="856"/>
      <c r="F16" s="856"/>
      <c r="G16" s="856"/>
      <c r="H16" s="856"/>
      <c r="I16" s="856"/>
      <c r="J16" s="857"/>
    </row>
    <row r="17" spans="1:16" ht="20.100000000000001" customHeight="1" x14ac:dyDescent="0.2">
      <c r="B17" s="19"/>
      <c r="C17" s="19"/>
      <c r="D17" s="19"/>
      <c r="E17" s="19"/>
      <c r="F17" s="19"/>
      <c r="G17" s="19"/>
      <c r="H17" s="19"/>
      <c r="I17" s="19"/>
      <c r="J17" s="20"/>
      <c r="L17" s="21"/>
      <c r="M17" s="22"/>
      <c r="N17" s="23"/>
      <c r="O17" s="21"/>
      <c r="P17" s="24"/>
    </row>
    <row r="18" spans="1:16" ht="24.95" customHeight="1" x14ac:dyDescent="0.2">
      <c r="B18" s="25" t="s">
        <v>12</v>
      </c>
      <c r="C18" s="26"/>
      <c r="D18" s="26"/>
      <c r="E18" s="26"/>
      <c r="F18" s="27"/>
      <c r="G18" s="26"/>
      <c r="H18" s="26"/>
      <c r="I18" s="1323" t="s">
        <v>13</v>
      </c>
      <c r="J18" s="1324"/>
    </row>
    <row r="19" spans="1:16" ht="24.95" customHeight="1" x14ac:dyDescent="0.2">
      <c r="B19" s="25" t="s">
        <v>14</v>
      </c>
      <c r="C19" s="26"/>
      <c r="D19" s="26"/>
      <c r="E19" s="26"/>
      <c r="F19" s="27"/>
      <c r="G19" s="26"/>
      <c r="H19" s="26"/>
      <c r="I19" s="1315">
        <v>1500000</v>
      </c>
      <c r="J19" s="1316"/>
    </row>
    <row r="20" spans="1:16" ht="20.100000000000001" customHeight="1" x14ac:dyDescent="0.2">
      <c r="B20" s="28"/>
      <c r="C20" s="28"/>
      <c r="D20" s="28"/>
      <c r="E20" s="28"/>
      <c r="F20" s="29"/>
      <c r="G20" s="28"/>
      <c r="H20" s="28"/>
      <c r="I20" s="28"/>
      <c r="J20" s="30"/>
    </row>
    <row r="21" spans="1:16" ht="30" customHeight="1" x14ac:dyDescent="0.2">
      <c r="B21" s="855" t="s">
        <v>15</v>
      </c>
      <c r="C21" s="856"/>
      <c r="D21" s="856"/>
      <c r="E21" s="856"/>
      <c r="F21" s="856"/>
      <c r="G21" s="856"/>
      <c r="H21" s="856"/>
      <c r="I21" s="856"/>
      <c r="J21" s="857"/>
    </row>
    <row r="22" spans="1:16" ht="20.100000000000001" customHeight="1" x14ac:dyDescent="0.2">
      <c r="B22" s="31"/>
      <c r="C22" s="31"/>
      <c r="D22" s="31"/>
      <c r="E22" s="31"/>
      <c r="F22" s="31"/>
      <c r="G22" s="31"/>
      <c r="H22" s="31"/>
      <c r="I22" s="32"/>
      <c r="J22" s="33"/>
    </row>
    <row r="23" spans="1:16" ht="30" customHeight="1" x14ac:dyDescent="0.2">
      <c r="B23" s="904" t="s">
        <v>16</v>
      </c>
      <c r="C23" s="905"/>
      <c r="D23" s="905"/>
      <c r="E23" s="905"/>
      <c r="F23" s="905"/>
      <c r="G23" s="905"/>
      <c r="H23" s="906"/>
      <c r="I23" s="34" t="s">
        <v>17</v>
      </c>
      <c r="J23" s="35" t="s">
        <v>18</v>
      </c>
      <c r="K23" s="36" t="s">
        <v>19</v>
      </c>
      <c r="L23" s="37">
        <v>1</v>
      </c>
      <c r="O23" s="37">
        <v>1</v>
      </c>
      <c r="P23" s="38" t="s">
        <v>20</v>
      </c>
    </row>
    <row r="24" spans="1:16" ht="30" customHeight="1" x14ac:dyDescent="0.2">
      <c r="B24" s="1268" t="s">
        <v>21</v>
      </c>
      <c r="C24" s="1268"/>
      <c r="D24" s="1268"/>
      <c r="E24" s="1268"/>
      <c r="F24" s="1268"/>
      <c r="G24" s="1268"/>
      <c r="H24" s="1268"/>
      <c r="I24" s="1268"/>
      <c r="J24" s="1268"/>
      <c r="O24" s="37">
        <v>1</v>
      </c>
      <c r="P24" s="38" t="s">
        <v>20</v>
      </c>
    </row>
    <row r="25" spans="1:16" s="45" customFormat="1" ht="164.25" customHeight="1" x14ac:dyDescent="0.2">
      <c r="A25" s="39"/>
      <c r="B25" s="40" t="s">
        <v>22</v>
      </c>
      <c r="C25" s="985" t="s">
        <v>23</v>
      </c>
      <c r="D25" s="986"/>
      <c r="E25" s="986"/>
      <c r="F25" s="986"/>
      <c r="G25" s="986"/>
      <c r="H25" s="987"/>
      <c r="I25" s="41">
        <v>40</v>
      </c>
      <c r="J25" s="42">
        <v>1</v>
      </c>
      <c r="K25" s="43" t="s">
        <v>24</v>
      </c>
      <c r="L25" s="44" t="s">
        <v>25</v>
      </c>
      <c r="M25" s="4"/>
      <c r="N25" s="18"/>
      <c r="O25" s="37">
        <v>1</v>
      </c>
      <c r="P25" s="38" t="s">
        <v>20</v>
      </c>
    </row>
    <row r="26" spans="1:16" ht="30" customHeight="1" x14ac:dyDescent="0.2">
      <c r="B26" s="1317" t="s">
        <v>26</v>
      </c>
      <c r="C26" s="1217" t="s">
        <v>27</v>
      </c>
      <c r="D26" s="1016"/>
      <c r="E26" s="1016" t="s">
        <v>28</v>
      </c>
      <c r="F26" s="1016"/>
      <c r="G26" s="1016" t="s">
        <v>29</v>
      </c>
      <c r="H26" s="1125"/>
      <c r="I26" s="1312">
        <v>35</v>
      </c>
      <c r="J26" s="1241">
        <v>0.9</v>
      </c>
      <c r="K26" s="43" t="s">
        <v>26</v>
      </c>
      <c r="L26" s="44" t="s">
        <v>25</v>
      </c>
      <c r="N26" s="46" t="s">
        <v>30</v>
      </c>
      <c r="O26" s="37">
        <v>1</v>
      </c>
      <c r="P26" s="38" t="s">
        <v>20</v>
      </c>
    </row>
    <row r="27" spans="1:16" ht="30" customHeight="1" x14ac:dyDescent="0.2">
      <c r="B27" s="1318"/>
      <c r="C27" s="1046" t="s">
        <v>31</v>
      </c>
      <c r="D27" s="1022"/>
      <c r="E27" s="1108" t="s">
        <v>32</v>
      </c>
      <c r="F27" s="1108"/>
      <c r="G27" s="1022" t="s">
        <v>33</v>
      </c>
      <c r="H27" s="1028"/>
      <c r="I27" s="1313"/>
      <c r="J27" s="1242"/>
      <c r="K27" s="43" t="s">
        <v>26</v>
      </c>
      <c r="L27" s="44" t="s">
        <v>25</v>
      </c>
      <c r="O27" s="37">
        <v>1</v>
      </c>
      <c r="P27" s="38" t="s">
        <v>20</v>
      </c>
    </row>
    <row r="28" spans="1:16" ht="30" customHeight="1" x14ac:dyDescent="0.2">
      <c r="B28" s="1318"/>
      <c r="C28" s="1218" t="s">
        <v>34</v>
      </c>
      <c r="D28" s="1180"/>
      <c r="E28" s="1108" t="s">
        <v>35</v>
      </c>
      <c r="F28" s="1108"/>
      <c r="G28" s="1180" t="s">
        <v>36</v>
      </c>
      <c r="H28" s="1227"/>
      <c r="I28" s="1313"/>
      <c r="J28" s="1242"/>
      <c r="K28" s="43" t="s">
        <v>26</v>
      </c>
      <c r="L28" s="44" t="s">
        <v>25</v>
      </c>
      <c r="O28" s="37">
        <v>1</v>
      </c>
      <c r="P28" s="38" t="s">
        <v>20</v>
      </c>
    </row>
    <row r="29" spans="1:16" ht="30" customHeight="1" x14ac:dyDescent="0.2">
      <c r="B29" s="1319"/>
      <c r="C29" s="1181" t="s">
        <v>37</v>
      </c>
      <c r="D29" s="1182"/>
      <c r="E29" s="1177" t="s">
        <v>38</v>
      </c>
      <c r="F29" s="1177"/>
      <c r="G29" s="1177" t="s">
        <v>39</v>
      </c>
      <c r="H29" s="1178"/>
      <c r="I29" s="1314"/>
      <c r="J29" s="1243"/>
      <c r="K29" s="43" t="s">
        <v>26</v>
      </c>
      <c r="L29" s="44" t="s">
        <v>25</v>
      </c>
      <c r="O29" s="37">
        <v>1</v>
      </c>
      <c r="P29" s="38" t="s">
        <v>20</v>
      </c>
    </row>
    <row r="30" spans="1:16" ht="30" customHeight="1" x14ac:dyDescent="0.2">
      <c r="B30" s="1309" t="s">
        <v>40</v>
      </c>
      <c r="C30" s="1014" t="s">
        <v>41</v>
      </c>
      <c r="D30" s="1015"/>
      <c r="E30" s="1188" t="s">
        <v>42</v>
      </c>
      <c r="F30" s="1188"/>
      <c r="G30" s="1016" t="s">
        <v>43</v>
      </c>
      <c r="H30" s="1125"/>
      <c r="I30" s="1312">
        <v>35</v>
      </c>
      <c r="J30" s="1241">
        <v>0.9</v>
      </c>
      <c r="K30" s="43" t="s">
        <v>40</v>
      </c>
      <c r="L30" s="44" t="s">
        <v>25</v>
      </c>
      <c r="N30" s="46" t="s">
        <v>30</v>
      </c>
      <c r="O30" s="37">
        <v>1</v>
      </c>
      <c r="P30" s="38" t="s">
        <v>20</v>
      </c>
    </row>
    <row r="31" spans="1:16" ht="30" customHeight="1" x14ac:dyDescent="0.2">
      <c r="B31" s="1310"/>
      <c r="C31" s="1211" t="s">
        <v>44</v>
      </c>
      <c r="D31" s="1190"/>
      <c r="E31" s="1190" t="s">
        <v>45</v>
      </c>
      <c r="F31" s="1190"/>
      <c r="G31" s="1190" t="s">
        <v>46</v>
      </c>
      <c r="H31" s="1212"/>
      <c r="I31" s="1313"/>
      <c r="J31" s="1242"/>
      <c r="K31" s="43" t="s">
        <v>40</v>
      </c>
      <c r="L31" s="44" t="s">
        <v>25</v>
      </c>
      <c r="O31" s="37">
        <v>1</v>
      </c>
      <c r="P31" s="38" t="s">
        <v>20</v>
      </c>
    </row>
    <row r="32" spans="1:16" ht="30" customHeight="1" x14ac:dyDescent="0.2">
      <c r="B32" s="1310"/>
      <c r="C32" s="1046" t="s">
        <v>47</v>
      </c>
      <c r="D32" s="1022"/>
      <c r="E32" s="1190" t="s">
        <v>48</v>
      </c>
      <c r="F32" s="1190"/>
      <c r="G32" s="1190" t="s">
        <v>49</v>
      </c>
      <c r="H32" s="1212"/>
      <c r="I32" s="1313"/>
      <c r="J32" s="1242"/>
      <c r="K32" s="43" t="s">
        <v>40</v>
      </c>
      <c r="L32" s="44" t="s">
        <v>25</v>
      </c>
      <c r="O32" s="37">
        <v>1</v>
      </c>
      <c r="P32" s="38" t="s">
        <v>20</v>
      </c>
    </row>
    <row r="33" spans="1:16" ht="39.950000000000003" customHeight="1" x14ac:dyDescent="0.2">
      <c r="B33" s="1310"/>
      <c r="C33" s="1133" t="s">
        <v>50</v>
      </c>
      <c r="D33" s="1132"/>
      <c r="E33" s="1132" t="s">
        <v>51</v>
      </c>
      <c r="F33" s="1132"/>
      <c r="G33" s="1132" t="s">
        <v>52</v>
      </c>
      <c r="H33" s="1134"/>
      <c r="I33" s="1313"/>
      <c r="J33" s="1242"/>
      <c r="K33" s="43" t="s">
        <v>40</v>
      </c>
      <c r="L33" s="44" t="s">
        <v>25</v>
      </c>
      <c r="O33" s="37">
        <v>1</v>
      </c>
      <c r="P33" s="38" t="s">
        <v>20</v>
      </c>
    </row>
    <row r="34" spans="1:16" ht="30" customHeight="1" x14ac:dyDescent="0.2">
      <c r="B34" s="1310"/>
      <c r="C34" s="1133" t="s">
        <v>53</v>
      </c>
      <c r="D34" s="1132"/>
      <c r="E34" s="1132" t="s">
        <v>54</v>
      </c>
      <c r="F34" s="1132"/>
      <c r="G34" s="1132" t="s">
        <v>55</v>
      </c>
      <c r="H34" s="1134"/>
      <c r="I34" s="1313"/>
      <c r="J34" s="1242"/>
      <c r="K34" s="43" t="s">
        <v>40</v>
      </c>
      <c r="L34" s="44" t="s">
        <v>25</v>
      </c>
      <c r="O34" s="37">
        <v>1</v>
      </c>
      <c r="P34" s="38" t="s">
        <v>20</v>
      </c>
    </row>
    <row r="35" spans="1:16" ht="30" customHeight="1" x14ac:dyDescent="0.2">
      <c r="B35" s="1310"/>
      <c r="C35" s="1133" t="s">
        <v>56</v>
      </c>
      <c r="D35" s="1132"/>
      <c r="E35" s="1132" t="s">
        <v>57</v>
      </c>
      <c r="F35" s="1132"/>
      <c r="G35" s="1132" t="s">
        <v>58</v>
      </c>
      <c r="H35" s="1134"/>
      <c r="I35" s="1313"/>
      <c r="J35" s="1242"/>
      <c r="K35" s="43" t="s">
        <v>40</v>
      </c>
      <c r="L35" s="44" t="s">
        <v>25</v>
      </c>
      <c r="O35" s="37">
        <v>1</v>
      </c>
      <c r="P35" s="38" t="s">
        <v>20</v>
      </c>
    </row>
    <row r="36" spans="1:16" ht="30" customHeight="1" x14ac:dyDescent="0.2">
      <c r="B36" s="1310"/>
      <c r="C36" s="1046" t="s">
        <v>59</v>
      </c>
      <c r="D36" s="1022"/>
      <c r="E36" s="1132" t="s">
        <v>60</v>
      </c>
      <c r="F36" s="1132"/>
      <c r="G36" s="1132" t="s">
        <v>61</v>
      </c>
      <c r="H36" s="1134"/>
      <c r="I36" s="1313"/>
      <c r="J36" s="1242"/>
      <c r="K36" s="43" t="s">
        <v>40</v>
      </c>
      <c r="L36" s="44" t="s">
        <v>25</v>
      </c>
      <c r="O36" s="37">
        <v>1</v>
      </c>
      <c r="P36" s="38" t="s">
        <v>20</v>
      </c>
    </row>
    <row r="37" spans="1:16" ht="30" customHeight="1" x14ac:dyDescent="0.2">
      <c r="B37" s="1310"/>
      <c r="C37" s="1046" t="s">
        <v>62</v>
      </c>
      <c r="D37" s="1022"/>
      <c r="E37" s="1022" t="s">
        <v>63</v>
      </c>
      <c r="F37" s="1022"/>
      <c r="G37" s="1132" t="s">
        <v>64</v>
      </c>
      <c r="H37" s="1134"/>
      <c r="I37" s="1313"/>
      <c r="J37" s="1242"/>
      <c r="K37" s="43" t="s">
        <v>40</v>
      </c>
      <c r="L37" s="44" t="s">
        <v>25</v>
      </c>
      <c r="O37" s="37">
        <v>1</v>
      </c>
      <c r="P37" s="38" t="s">
        <v>20</v>
      </c>
    </row>
    <row r="38" spans="1:16" ht="39.950000000000003" customHeight="1" x14ac:dyDescent="0.2">
      <c r="B38" s="1310"/>
      <c r="C38" s="1133" t="s">
        <v>65</v>
      </c>
      <c r="D38" s="1132"/>
      <c r="E38" s="1132" t="s">
        <v>66</v>
      </c>
      <c r="F38" s="1132"/>
      <c r="G38" s="1132" t="s">
        <v>67</v>
      </c>
      <c r="H38" s="1134"/>
      <c r="I38" s="1313"/>
      <c r="J38" s="1242"/>
      <c r="K38" s="43" t="s">
        <v>40</v>
      </c>
      <c r="L38" s="44" t="s">
        <v>25</v>
      </c>
      <c r="O38" s="37">
        <v>1</v>
      </c>
      <c r="P38" s="38" t="s">
        <v>20</v>
      </c>
    </row>
    <row r="39" spans="1:16" ht="50.1" customHeight="1" x14ac:dyDescent="0.2">
      <c r="B39" s="1310"/>
      <c r="C39" s="1133" t="s">
        <v>68</v>
      </c>
      <c r="D39" s="1132"/>
      <c r="G39" s="47"/>
      <c r="H39" s="48"/>
      <c r="I39" s="1313"/>
      <c r="J39" s="1242"/>
      <c r="K39" s="43" t="s">
        <v>40</v>
      </c>
      <c r="L39" s="44" t="s">
        <v>25</v>
      </c>
      <c r="O39" s="37">
        <v>1</v>
      </c>
      <c r="P39" s="38" t="s">
        <v>20</v>
      </c>
    </row>
    <row r="40" spans="1:16" ht="30" customHeight="1" x14ac:dyDescent="0.2">
      <c r="A40" s="49" t="s">
        <v>69</v>
      </c>
      <c r="B40" s="1311"/>
      <c r="C40" s="1206" t="s">
        <v>70</v>
      </c>
      <c r="D40" s="1207"/>
      <c r="E40" s="1207"/>
      <c r="F40" s="1207"/>
      <c r="G40" s="1207"/>
      <c r="H40" s="1222"/>
      <c r="I40" s="1314"/>
      <c r="J40" s="1243"/>
      <c r="K40" s="43" t="s">
        <v>40</v>
      </c>
      <c r="L40" s="44" t="s">
        <v>25</v>
      </c>
      <c r="O40" s="37">
        <v>1</v>
      </c>
      <c r="P40" s="38" t="s">
        <v>20</v>
      </c>
    </row>
    <row r="41" spans="1:16" ht="30" customHeight="1" x14ac:dyDescent="0.2">
      <c r="B41" s="1236" t="s">
        <v>71</v>
      </c>
      <c r="C41" s="1187" t="s">
        <v>72</v>
      </c>
      <c r="D41" s="1188"/>
      <c r="E41" s="1188" t="s">
        <v>73</v>
      </c>
      <c r="F41" s="1188"/>
      <c r="G41" s="1188" t="s">
        <v>74</v>
      </c>
      <c r="H41" s="1189"/>
      <c r="I41" s="1239">
        <v>40</v>
      </c>
      <c r="J41" s="1241">
        <v>0.9</v>
      </c>
      <c r="K41" s="43" t="s">
        <v>71</v>
      </c>
      <c r="L41" s="44" t="s">
        <v>25</v>
      </c>
      <c r="N41" s="46" t="s">
        <v>30</v>
      </c>
      <c r="O41" s="37">
        <v>1</v>
      </c>
      <c r="P41" s="38" t="s">
        <v>20</v>
      </c>
    </row>
    <row r="42" spans="1:16" ht="30" customHeight="1" x14ac:dyDescent="0.2">
      <c r="B42" s="1237"/>
      <c r="C42" s="1218" t="s">
        <v>75</v>
      </c>
      <c r="D42" s="1180"/>
      <c r="E42" s="1180" t="s">
        <v>76</v>
      </c>
      <c r="F42" s="1180"/>
      <c r="G42" s="1132" t="s">
        <v>77</v>
      </c>
      <c r="H42" s="1132"/>
      <c r="I42" s="1240"/>
      <c r="J42" s="1242"/>
      <c r="K42" s="43" t="s">
        <v>71</v>
      </c>
      <c r="L42" s="44" t="s">
        <v>25</v>
      </c>
      <c r="O42" s="37">
        <v>1</v>
      </c>
      <c r="P42" s="38" t="s">
        <v>20</v>
      </c>
    </row>
    <row r="43" spans="1:16" ht="30" customHeight="1" x14ac:dyDescent="0.2">
      <c r="B43" s="1237"/>
      <c r="C43" s="1218" t="s">
        <v>78</v>
      </c>
      <c r="D43" s="1180"/>
      <c r="E43" s="1180" t="s">
        <v>79</v>
      </c>
      <c r="F43" s="1180"/>
      <c r="G43" s="1180" t="s">
        <v>80</v>
      </c>
      <c r="H43" s="1227"/>
      <c r="I43" s="1240"/>
      <c r="J43" s="1242"/>
      <c r="K43" s="43" t="s">
        <v>71</v>
      </c>
      <c r="L43" s="44" t="s">
        <v>25</v>
      </c>
      <c r="O43" s="37">
        <v>1</v>
      </c>
      <c r="P43" s="38" t="s">
        <v>20</v>
      </c>
    </row>
    <row r="44" spans="1:16" ht="30" customHeight="1" x14ac:dyDescent="0.2">
      <c r="B44" s="1237"/>
      <c r="C44" s="968" t="s">
        <v>81</v>
      </c>
      <c r="D44" s="969"/>
      <c r="E44" s="969" t="s">
        <v>82</v>
      </c>
      <c r="F44" s="969"/>
      <c r="G44" s="969" t="s">
        <v>83</v>
      </c>
      <c r="H44" s="1193"/>
      <c r="I44" s="1240"/>
      <c r="J44" s="1242"/>
      <c r="K44" s="43" t="s">
        <v>71</v>
      </c>
      <c r="L44" s="44" t="s">
        <v>25</v>
      </c>
      <c r="O44" s="37">
        <v>1</v>
      </c>
      <c r="P44" s="38" t="s">
        <v>20</v>
      </c>
    </row>
    <row r="45" spans="1:16" ht="30" customHeight="1" x14ac:dyDescent="0.2">
      <c r="B45" s="1238"/>
      <c r="C45" s="1181" t="s">
        <v>84</v>
      </c>
      <c r="D45" s="1182"/>
      <c r="E45" s="895"/>
      <c r="F45" s="895"/>
      <c r="G45" s="50"/>
      <c r="H45" s="50"/>
      <c r="I45" s="1249"/>
      <c r="J45" s="1243"/>
      <c r="K45" s="43" t="s">
        <v>71</v>
      </c>
      <c r="L45" s="44" t="s">
        <v>25</v>
      </c>
      <c r="O45" s="37">
        <v>1</v>
      </c>
      <c r="P45" s="38" t="s">
        <v>20</v>
      </c>
    </row>
    <row r="46" spans="1:16" ht="39.950000000000003" customHeight="1" x14ac:dyDescent="0.2">
      <c r="B46" s="51" t="s">
        <v>85</v>
      </c>
      <c r="C46" s="1211" t="s">
        <v>86</v>
      </c>
      <c r="D46" s="1190"/>
      <c r="E46" s="1195"/>
      <c r="F46" s="1195"/>
      <c r="G46" s="1130"/>
      <c r="H46" s="1131"/>
      <c r="I46" s="52">
        <v>40</v>
      </c>
      <c r="J46" s="53">
        <v>0.85</v>
      </c>
      <c r="K46" s="43" t="s">
        <v>85</v>
      </c>
      <c r="L46" s="44" t="s">
        <v>25</v>
      </c>
      <c r="N46" s="46" t="s">
        <v>30</v>
      </c>
      <c r="O46" s="37">
        <v>1</v>
      </c>
      <c r="P46" s="38" t="s">
        <v>20</v>
      </c>
    </row>
    <row r="47" spans="1:16" ht="30" customHeight="1" x14ac:dyDescent="0.2">
      <c r="B47" s="1236" t="s">
        <v>87</v>
      </c>
      <c r="C47" s="1187" t="s">
        <v>88</v>
      </c>
      <c r="D47" s="1188"/>
      <c r="E47" s="1188" t="s">
        <v>89</v>
      </c>
      <c r="F47" s="1188"/>
      <c r="G47" s="1188" t="s">
        <v>90</v>
      </c>
      <c r="H47" s="1189"/>
      <c r="I47" s="1239">
        <v>45</v>
      </c>
      <c r="J47" s="1241">
        <v>0.85</v>
      </c>
      <c r="K47" s="43" t="s">
        <v>87</v>
      </c>
      <c r="L47" s="44" t="s">
        <v>25</v>
      </c>
      <c r="N47" s="46" t="s">
        <v>30</v>
      </c>
      <c r="O47" s="37">
        <v>1</v>
      </c>
      <c r="P47" s="38" t="s">
        <v>20</v>
      </c>
    </row>
    <row r="48" spans="1:16" ht="30" customHeight="1" x14ac:dyDescent="0.2">
      <c r="B48" s="1237"/>
      <c r="C48" s="1218" t="s">
        <v>91</v>
      </c>
      <c r="D48" s="1180"/>
      <c r="E48" s="1180" t="s">
        <v>92</v>
      </c>
      <c r="F48" s="1180"/>
      <c r="G48" s="1180" t="s">
        <v>93</v>
      </c>
      <c r="H48" s="1227"/>
      <c r="I48" s="1240"/>
      <c r="J48" s="1242"/>
      <c r="K48" s="43" t="s">
        <v>87</v>
      </c>
      <c r="L48" s="44" t="s">
        <v>25</v>
      </c>
      <c r="O48" s="37">
        <v>1</v>
      </c>
      <c r="P48" s="38" t="s">
        <v>20</v>
      </c>
    </row>
    <row r="49" spans="1:25" ht="30" customHeight="1" x14ac:dyDescent="0.2">
      <c r="B49" s="1237"/>
      <c r="C49" s="1218" t="s">
        <v>94</v>
      </c>
      <c r="D49" s="1180"/>
      <c r="E49" s="1180" t="s">
        <v>95</v>
      </c>
      <c r="F49" s="1180"/>
      <c r="G49" s="1180" t="s">
        <v>96</v>
      </c>
      <c r="H49" s="1227"/>
      <c r="I49" s="1240"/>
      <c r="J49" s="1242"/>
      <c r="K49" s="43" t="s">
        <v>87</v>
      </c>
      <c r="L49" s="44" t="s">
        <v>25</v>
      </c>
      <c r="O49" s="37">
        <v>1</v>
      </c>
      <c r="P49" s="38" t="s">
        <v>20</v>
      </c>
    </row>
    <row r="50" spans="1:25" ht="30" customHeight="1" x14ac:dyDescent="0.2">
      <c r="A50" s="37" t="s">
        <v>97</v>
      </c>
      <c r="B50" s="1237"/>
      <c r="C50" s="54" t="s">
        <v>98</v>
      </c>
      <c r="D50" s="55"/>
      <c r="E50" s="56"/>
      <c r="F50" s="56"/>
      <c r="G50" s="55"/>
      <c r="H50" s="57"/>
      <c r="I50" s="1240"/>
      <c r="J50" s="1242"/>
      <c r="K50" s="43" t="s">
        <v>87</v>
      </c>
      <c r="L50" s="44" t="s">
        <v>25</v>
      </c>
      <c r="O50" s="37">
        <v>1</v>
      </c>
      <c r="P50" s="38" t="s">
        <v>20</v>
      </c>
    </row>
    <row r="51" spans="1:25" ht="30" customHeight="1" x14ac:dyDescent="0.2">
      <c r="A51" s="37" t="s">
        <v>97</v>
      </c>
      <c r="B51" s="1238"/>
      <c r="C51" s="1306" t="s">
        <v>99</v>
      </c>
      <c r="D51" s="1307"/>
      <c r="E51" s="1307"/>
      <c r="F51" s="1307"/>
      <c r="G51" s="1307"/>
      <c r="H51" s="1308"/>
      <c r="I51" s="1249"/>
      <c r="J51" s="1243"/>
      <c r="K51" s="43" t="s">
        <v>87</v>
      </c>
      <c r="L51" s="44" t="s">
        <v>25</v>
      </c>
      <c r="O51" s="37">
        <v>1</v>
      </c>
      <c r="P51" s="38" t="s">
        <v>20</v>
      </c>
    </row>
    <row r="52" spans="1:25" ht="20.100000000000001" customHeight="1" x14ac:dyDescent="0.2">
      <c r="A52" s="24"/>
      <c r="B52" s="1300"/>
      <c r="C52" s="1300"/>
      <c r="D52" s="1300"/>
      <c r="E52" s="1300"/>
      <c r="F52" s="1300"/>
      <c r="G52" s="1300"/>
      <c r="H52" s="1300"/>
      <c r="I52" s="1300"/>
      <c r="J52" s="1300"/>
    </row>
    <row r="53" spans="1:25" ht="30" customHeight="1" x14ac:dyDescent="0.2">
      <c r="A53" s="4"/>
      <c r="B53" s="904" t="s">
        <v>100</v>
      </c>
      <c r="C53" s="1160"/>
      <c r="D53" s="1160"/>
      <c r="E53" s="1160"/>
      <c r="F53" s="1160"/>
      <c r="G53" s="1160"/>
      <c r="H53" s="1160"/>
      <c r="I53" s="34" t="s">
        <v>17</v>
      </c>
      <c r="J53" s="35" t="s">
        <v>18</v>
      </c>
      <c r="K53" s="18"/>
      <c r="L53" s="58"/>
      <c r="O53" s="4"/>
      <c r="P53" s="59"/>
    </row>
    <row r="54" spans="1:25" ht="362.25" customHeight="1" x14ac:dyDescent="0.2">
      <c r="A54" s="24"/>
      <c r="B54" s="1047" t="s">
        <v>101</v>
      </c>
      <c r="C54" s="1250" t="s">
        <v>102</v>
      </c>
      <c r="D54" s="1301"/>
      <c r="E54" s="1301"/>
      <c r="F54" s="1301"/>
      <c r="G54" s="1301"/>
      <c r="H54" s="1302"/>
      <c r="I54" s="1110">
        <v>0</v>
      </c>
      <c r="J54" s="915">
        <v>1</v>
      </c>
      <c r="K54" s="36" t="s">
        <v>103</v>
      </c>
      <c r="L54" s="37">
        <v>3</v>
      </c>
      <c r="N54" s="46" t="s">
        <v>30</v>
      </c>
      <c r="O54" s="37">
        <v>3</v>
      </c>
      <c r="P54" s="38" t="s">
        <v>20</v>
      </c>
    </row>
    <row r="55" spans="1:25" ht="151.5" customHeight="1" x14ac:dyDescent="0.2">
      <c r="A55" s="24"/>
      <c r="B55" s="1048"/>
      <c r="C55" s="1303" t="s">
        <v>104</v>
      </c>
      <c r="D55" s="1304"/>
      <c r="E55" s="1304"/>
      <c r="F55" s="1304"/>
      <c r="G55" s="1304"/>
      <c r="H55" s="1305"/>
      <c r="I55" s="1112"/>
      <c r="J55" s="916"/>
      <c r="K55" s="36" t="s">
        <v>103</v>
      </c>
      <c r="L55" s="37">
        <v>3</v>
      </c>
      <c r="N55" s="46" t="s">
        <v>30</v>
      </c>
      <c r="O55" s="37">
        <v>3</v>
      </c>
      <c r="P55" s="38" t="s">
        <v>20</v>
      </c>
    </row>
    <row r="56" spans="1:25" ht="30" customHeight="1" x14ac:dyDescent="0.2">
      <c r="A56" s="4"/>
      <c r="B56" s="904" t="s">
        <v>105</v>
      </c>
      <c r="C56" s="1290"/>
      <c r="D56" s="1290"/>
      <c r="E56" s="1290"/>
      <c r="F56" s="1290"/>
      <c r="G56" s="1290"/>
      <c r="H56" s="1291"/>
      <c r="I56" s="34" t="s">
        <v>17</v>
      </c>
      <c r="J56" s="35" t="s">
        <v>18</v>
      </c>
      <c r="K56" s="18"/>
      <c r="L56" s="58"/>
      <c r="O56" s="4"/>
      <c r="P56" s="59"/>
    </row>
    <row r="57" spans="1:25" ht="194.25" customHeight="1" x14ac:dyDescent="0.2">
      <c r="A57" s="24"/>
      <c r="B57" s="60" t="s">
        <v>106</v>
      </c>
      <c r="C57" s="1292" t="s">
        <v>107</v>
      </c>
      <c r="D57" s="1292"/>
      <c r="E57" s="1292"/>
      <c r="F57" s="1292"/>
      <c r="G57" s="1292"/>
      <c r="H57" s="1292"/>
      <c r="I57" s="61">
        <v>50</v>
      </c>
      <c r="J57" s="42">
        <v>1</v>
      </c>
      <c r="K57" s="36" t="s">
        <v>108</v>
      </c>
      <c r="L57" s="37">
        <v>4</v>
      </c>
      <c r="M57" s="22"/>
      <c r="N57" s="46" t="s">
        <v>30</v>
      </c>
      <c r="O57" s="37">
        <v>4</v>
      </c>
      <c r="P57" s="38" t="s">
        <v>20</v>
      </c>
    </row>
    <row r="58" spans="1:25" ht="96" customHeight="1" x14ac:dyDescent="0.2">
      <c r="A58" s="24"/>
      <c r="B58" s="60" t="s">
        <v>109</v>
      </c>
      <c r="C58" s="1293" t="s">
        <v>110</v>
      </c>
      <c r="D58" s="1293"/>
      <c r="E58" s="1293"/>
      <c r="F58" s="1293"/>
      <c r="G58" s="1293"/>
      <c r="H58" s="1293"/>
      <c r="I58" s="61">
        <v>80</v>
      </c>
      <c r="J58" s="42">
        <v>1</v>
      </c>
      <c r="K58" s="36" t="s">
        <v>111</v>
      </c>
      <c r="L58" s="37">
        <v>5</v>
      </c>
      <c r="N58" s="46" t="s">
        <v>30</v>
      </c>
      <c r="O58" s="37">
        <v>5</v>
      </c>
      <c r="P58" s="38" t="s">
        <v>20</v>
      </c>
    </row>
    <row r="59" spans="1:25" ht="60" customHeight="1" x14ac:dyDescent="0.2">
      <c r="A59" s="24"/>
      <c r="B59" s="60" t="s">
        <v>112</v>
      </c>
      <c r="C59" s="1294" t="s">
        <v>113</v>
      </c>
      <c r="D59" s="1295"/>
      <c r="E59" s="1295"/>
      <c r="F59" s="1295"/>
      <c r="G59" s="1295"/>
      <c r="H59" s="1296"/>
      <c r="I59" s="61">
        <v>40</v>
      </c>
      <c r="J59" s="42">
        <v>1</v>
      </c>
      <c r="K59" s="36" t="s">
        <v>114</v>
      </c>
      <c r="L59" s="37">
        <v>6</v>
      </c>
      <c r="N59" s="46" t="s">
        <v>30</v>
      </c>
      <c r="O59" s="37">
        <v>6</v>
      </c>
      <c r="P59" s="38" t="s">
        <v>20</v>
      </c>
    </row>
    <row r="60" spans="1:25" ht="20.100000000000001" customHeight="1" x14ac:dyDescent="0.2">
      <c r="A60" s="24"/>
      <c r="B60" s="62"/>
      <c r="C60" s="63"/>
      <c r="D60" s="63"/>
      <c r="E60" s="63"/>
      <c r="F60" s="63"/>
      <c r="G60" s="63"/>
      <c r="H60" s="63"/>
      <c r="I60" s="64"/>
      <c r="J60" s="65"/>
    </row>
    <row r="61" spans="1:25" ht="30" customHeight="1" x14ac:dyDescent="0.2">
      <c r="A61" s="4"/>
      <c r="B61" s="904" t="s">
        <v>115</v>
      </c>
      <c r="C61" s="905"/>
      <c r="D61" s="905"/>
      <c r="E61" s="905"/>
      <c r="F61" s="905"/>
      <c r="G61" s="905"/>
      <c r="H61" s="906"/>
      <c r="I61" s="34" t="s">
        <v>17</v>
      </c>
      <c r="J61" s="35" t="s">
        <v>18</v>
      </c>
      <c r="K61" s="66"/>
      <c r="L61" s="67"/>
      <c r="M61" s="68"/>
      <c r="N61" s="46" t="s">
        <v>30</v>
      </c>
      <c r="O61" s="67"/>
      <c r="P61" s="66"/>
    </row>
    <row r="62" spans="1:25" s="45" customFormat="1" ht="30" customHeight="1" x14ac:dyDescent="0.2">
      <c r="B62" s="1297" t="s">
        <v>116</v>
      </c>
      <c r="C62" s="1298"/>
      <c r="D62" s="1298"/>
      <c r="E62" s="1298"/>
      <c r="F62" s="1298"/>
      <c r="G62" s="1298"/>
      <c r="H62" s="1298"/>
      <c r="I62" s="1298"/>
      <c r="J62" s="1299"/>
      <c r="K62" s="66"/>
      <c r="L62" s="67"/>
      <c r="M62" s="68"/>
      <c r="N62" s="67"/>
      <c r="O62" s="67"/>
      <c r="P62" s="66"/>
      <c r="R62" s="69"/>
      <c r="U62" s="70"/>
      <c r="V62" s="71"/>
      <c r="W62" s="71"/>
      <c r="X62" s="72"/>
      <c r="Y62" s="69"/>
    </row>
    <row r="63" spans="1:25" s="45" customFormat="1" ht="30" customHeight="1" x14ac:dyDescent="0.2">
      <c r="B63" s="1268" t="s">
        <v>117</v>
      </c>
      <c r="C63" s="1268"/>
      <c r="D63" s="1268"/>
      <c r="E63" s="1268"/>
      <c r="F63" s="1268"/>
      <c r="G63" s="1268"/>
      <c r="H63" s="1268"/>
      <c r="I63" s="1268"/>
      <c r="J63" s="1268"/>
      <c r="K63" s="66"/>
      <c r="L63" s="67"/>
      <c r="M63" s="68"/>
      <c r="N63" s="67"/>
      <c r="O63" s="67"/>
      <c r="P63" s="66"/>
      <c r="R63" s="69"/>
      <c r="U63" s="70"/>
      <c r="V63" s="71"/>
      <c r="W63" s="71"/>
      <c r="X63" s="72"/>
      <c r="Y63" s="69"/>
    </row>
    <row r="64" spans="1:25" s="45" customFormat="1" ht="30" customHeight="1" x14ac:dyDescent="0.2">
      <c r="B64" s="1065" t="s">
        <v>118</v>
      </c>
      <c r="C64" s="1065"/>
      <c r="D64" s="1065"/>
      <c r="E64" s="1065"/>
      <c r="F64" s="1065"/>
      <c r="G64" s="1065"/>
      <c r="H64" s="1065"/>
      <c r="I64" s="61">
        <v>0</v>
      </c>
      <c r="J64" s="42">
        <v>1</v>
      </c>
      <c r="K64" s="66"/>
      <c r="L64" s="67"/>
      <c r="M64" s="68"/>
      <c r="N64" s="67"/>
      <c r="O64" s="67"/>
      <c r="P64" s="66"/>
      <c r="R64" s="69"/>
      <c r="U64" s="70"/>
      <c r="V64" s="71"/>
      <c r="W64" s="71"/>
      <c r="X64" s="72"/>
      <c r="Y64" s="69"/>
    </row>
    <row r="65" spans="1:25" s="45" customFormat="1" ht="30" customHeight="1" x14ac:dyDescent="0.2">
      <c r="A65" s="1268" t="s">
        <v>119</v>
      </c>
      <c r="B65" s="1268"/>
      <c r="C65" s="1268"/>
      <c r="D65" s="1268"/>
      <c r="E65" s="1268"/>
      <c r="F65" s="1268"/>
      <c r="G65" s="1268"/>
      <c r="H65" s="1268"/>
      <c r="I65" s="1268"/>
      <c r="J65" s="1268"/>
      <c r="K65" s="66"/>
      <c r="L65" s="67"/>
      <c r="M65" s="68"/>
      <c r="N65" s="46" t="s">
        <v>30</v>
      </c>
      <c r="O65" s="67"/>
      <c r="P65" s="66"/>
      <c r="R65" s="69"/>
      <c r="U65" s="70"/>
      <c r="V65" s="71"/>
      <c r="W65" s="71"/>
      <c r="X65" s="72"/>
      <c r="Y65" s="69"/>
    </row>
    <row r="66" spans="1:25" s="45" customFormat="1" ht="90.75" customHeight="1" x14ac:dyDescent="0.2">
      <c r="A66" s="1065" t="s">
        <v>120</v>
      </c>
      <c r="B66" s="1065"/>
      <c r="C66" s="1065"/>
      <c r="D66" s="1065"/>
      <c r="E66" s="1065"/>
      <c r="F66" s="1065"/>
      <c r="G66" s="1065"/>
      <c r="H66" s="1065"/>
      <c r="I66" s="61">
        <v>0</v>
      </c>
      <c r="J66" s="42">
        <v>1</v>
      </c>
      <c r="K66" s="66"/>
      <c r="L66" s="67"/>
      <c r="M66" s="68"/>
      <c r="N66" s="67"/>
      <c r="O66" s="67"/>
      <c r="P66" s="66"/>
      <c r="R66" s="69"/>
      <c r="U66" s="70"/>
      <c r="V66" s="71"/>
      <c r="W66" s="71"/>
      <c r="X66" s="72"/>
      <c r="Y66" s="69"/>
    </row>
    <row r="67" spans="1:25" s="45" customFormat="1" ht="230.25" customHeight="1" x14ac:dyDescent="0.2">
      <c r="A67" s="73"/>
      <c r="B67" s="1065" t="s">
        <v>121</v>
      </c>
      <c r="C67" s="1065"/>
      <c r="D67" s="1065"/>
      <c r="E67" s="1065"/>
      <c r="F67" s="1065"/>
      <c r="G67" s="1065"/>
      <c r="H67" s="1065"/>
      <c r="I67" s="1065"/>
      <c r="J67" s="1065"/>
      <c r="K67" s="66"/>
      <c r="L67" s="67"/>
      <c r="M67" s="68"/>
      <c r="N67" s="67"/>
      <c r="O67" s="67"/>
      <c r="P67" s="66"/>
      <c r="R67" s="69"/>
      <c r="U67" s="70"/>
      <c r="V67" s="71"/>
      <c r="W67" s="71"/>
      <c r="X67" s="72"/>
      <c r="Y67" s="69"/>
    </row>
    <row r="68" spans="1:25" ht="20.100000000000001" customHeight="1" x14ac:dyDescent="0.2">
      <c r="A68" s="24"/>
      <c r="B68" s="62"/>
      <c r="C68" s="63"/>
      <c r="D68" s="63"/>
      <c r="E68" s="63"/>
      <c r="F68" s="63"/>
      <c r="G68" s="63"/>
      <c r="H68" s="63"/>
      <c r="I68" s="64"/>
      <c r="J68" s="65"/>
    </row>
    <row r="69" spans="1:25" ht="30" customHeight="1" x14ac:dyDescent="0.2">
      <c r="A69" s="4"/>
      <c r="B69" s="904" t="s">
        <v>122</v>
      </c>
      <c r="C69" s="905"/>
      <c r="D69" s="905"/>
      <c r="E69" s="905"/>
      <c r="F69" s="905"/>
      <c r="G69" s="905"/>
      <c r="H69" s="906"/>
      <c r="I69" s="34" t="s">
        <v>17</v>
      </c>
      <c r="J69" s="35" t="s">
        <v>18</v>
      </c>
      <c r="K69" s="36" t="s">
        <v>123</v>
      </c>
      <c r="L69" s="37">
        <v>50</v>
      </c>
      <c r="N69" s="46" t="s">
        <v>30</v>
      </c>
      <c r="O69" s="37">
        <v>50</v>
      </c>
      <c r="P69" s="38" t="s">
        <v>20</v>
      </c>
    </row>
    <row r="70" spans="1:25" ht="54.95" customHeight="1" x14ac:dyDescent="0.2">
      <c r="A70" s="24"/>
      <c r="B70" s="1279" t="s">
        <v>124</v>
      </c>
      <c r="C70" s="1285" t="s">
        <v>125</v>
      </c>
      <c r="D70" s="1286"/>
      <c r="E70" s="1286"/>
      <c r="F70" s="1286"/>
      <c r="G70" s="1286"/>
      <c r="H70" s="1286"/>
      <c r="I70" s="1286"/>
      <c r="J70" s="1287"/>
      <c r="K70" s="36" t="s">
        <v>123</v>
      </c>
      <c r="L70" s="37">
        <v>50</v>
      </c>
      <c r="N70" s="3"/>
      <c r="O70" s="37">
        <v>50</v>
      </c>
      <c r="P70" s="38" t="s">
        <v>20</v>
      </c>
    </row>
    <row r="71" spans="1:25" ht="30" customHeight="1" x14ac:dyDescent="0.2">
      <c r="A71" s="24"/>
      <c r="B71" s="1284"/>
      <c r="C71" s="1285" t="s">
        <v>126</v>
      </c>
      <c r="D71" s="1286"/>
      <c r="E71" s="1286"/>
      <c r="F71" s="1286"/>
      <c r="G71" s="1286"/>
      <c r="H71" s="1287"/>
      <c r="I71" s="74">
        <v>70</v>
      </c>
      <c r="J71" s="75" t="s">
        <v>127</v>
      </c>
      <c r="K71" s="36" t="s">
        <v>123</v>
      </c>
      <c r="L71" s="37">
        <v>50</v>
      </c>
      <c r="O71" s="37">
        <v>50</v>
      </c>
      <c r="P71" s="38" t="s">
        <v>20</v>
      </c>
    </row>
    <row r="72" spans="1:25" ht="30" customHeight="1" x14ac:dyDescent="0.2">
      <c r="A72" s="24"/>
      <c r="B72" s="1280"/>
      <c r="C72" s="1285" t="s">
        <v>128</v>
      </c>
      <c r="D72" s="1286"/>
      <c r="E72" s="1286"/>
      <c r="F72" s="1286"/>
      <c r="G72" s="1286"/>
      <c r="H72" s="1287"/>
      <c r="I72" s="74">
        <v>50</v>
      </c>
      <c r="J72" s="75" t="s">
        <v>127</v>
      </c>
      <c r="K72" s="36" t="s">
        <v>123</v>
      </c>
      <c r="L72" s="37">
        <v>50</v>
      </c>
      <c r="O72" s="37">
        <v>50</v>
      </c>
      <c r="P72" s="38" t="s">
        <v>20</v>
      </c>
    </row>
    <row r="73" spans="1:25" s="80" customFormat="1" ht="19.5" customHeight="1" x14ac:dyDescent="0.2">
      <c r="A73" s="18"/>
      <c r="B73" s="76"/>
      <c r="C73" s="55"/>
      <c r="D73" s="55"/>
      <c r="E73" s="55"/>
      <c r="F73" s="55"/>
      <c r="G73" s="24"/>
      <c r="H73" s="24"/>
      <c r="I73" s="77"/>
      <c r="J73" s="78"/>
      <c r="K73" s="18"/>
      <c r="L73" s="58"/>
      <c r="M73" s="79"/>
      <c r="N73" s="4"/>
      <c r="O73" s="4"/>
      <c r="P73" s="59"/>
      <c r="Q73" s="24"/>
      <c r="R73" s="24"/>
      <c r="S73" s="24"/>
    </row>
    <row r="74" spans="1:25" s="45" customFormat="1" ht="30" customHeight="1" x14ac:dyDescent="0.2">
      <c r="B74" s="904" t="s">
        <v>129</v>
      </c>
      <c r="C74" s="1288"/>
      <c r="D74" s="1288"/>
      <c r="E74" s="1288"/>
      <c r="F74" s="1288"/>
      <c r="G74" s="1288"/>
      <c r="H74" s="1289"/>
      <c r="I74" s="34" t="s">
        <v>130</v>
      </c>
      <c r="J74" s="35" t="s">
        <v>18</v>
      </c>
      <c r="K74" s="66"/>
      <c r="L74" s="67"/>
      <c r="M74" s="68"/>
      <c r="N74" s="46" t="s">
        <v>30</v>
      </c>
      <c r="O74" s="67"/>
      <c r="P74" s="66"/>
    </row>
    <row r="75" spans="1:25" s="45" customFormat="1" ht="34.5" customHeight="1" x14ac:dyDescent="0.2">
      <c r="B75" s="901" t="s">
        <v>131</v>
      </c>
      <c r="C75" s="902"/>
      <c r="D75" s="902"/>
      <c r="E75" s="902"/>
      <c r="F75" s="902"/>
      <c r="G75" s="902"/>
      <c r="H75" s="902"/>
      <c r="I75" s="902"/>
      <c r="J75" s="903"/>
      <c r="K75" s="66"/>
      <c r="L75" s="67"/>
      <c r="M75" s="68"/>
      <c r="N75" s="67"/>
      <c r="O75" s="67"/>
      <c r="P75" s="66"/>
    </row>
    <row r="76" spans="1:25" s="45" customFormat="1" ht="34.5" customHeight="1" x14ac:dyDescent="0.2">
      <c r="B76" s="1279" t="s">
        <v>132</v>
      </c>
      <c r="C76" s="1217" t="s">
        <v>133</v>
      </c>
      <c r="D76" s="1016"/>
      <c r="E76" s="1016" t="s">
        <v>134</v>
      </c>
      <c r="F76" s="1016"/>
      <c r="G76" s="1016" t="s">
        <v>135</v>
      </c>
      <c r="H76" s="1125"/>
      <c r="I76" s="1281">
        <v>0</v>
      </c>
      <c r="J76" s="962">
        <v>0.75</v>
      </c>
      <c r="K76" s="66"/>
      <c r="L76" s="67"/>
      <c r="M76" s="68"/>
      <c r="N76" s="67"/>
      <c r="O76" s="67"/>
      <c r="P76" s="66"/>
    </row>
    <row r="77" spans="1:25" s="45" customFormat="1" ht="30" customHeight="1" x14ac:dyDescent="0.2">
      <c r="B77" s="1280"/>
      <c r="C77" s="81" t="s">
        <v>92</v>
      </c>
      <c r="D77" s="82"/>
      <c r="E77" s="1283" t="s">
        <v>136</v>
      </c>
      <c r="F77" s="1283"/>
      <c r="G77" s="82" t="s">
        <v>80</v>
      </c>
      <c r="H77" s="83"/>
      <c r="I77" s="1282"/>
      <c r="J77" s="964"/>
      <c r="K77" s="66"/>
      <c r="L77" s="67"/>
      <c r="M77" s="68"/>
      <c r="N77" s="67"/>
      <c r="O77" s="67"/>
      <c r="P77" s="66"/>
      <c r="R77" s="69"/>
      <c r="U77" s="84"/>
      <c r="V77" s="84"/>
      <c r="W77" s="71"/>
      <c r="X77" s="72"/>
      <c r="Y77" s="69"/>
    </row>
    <row r="78" spans="1:25" s="45" customFormat="1" ht="30" customHeight="1" x14ac:dyDescent="0.2">
      <c r="B78" s="1279" t="s">
        <v>137</v>
      </c>
      <c r="C78" s="1016" t="s">
        <v>138</v>
      </c>
      <c r="D78" s="1016"/>
      <c r="E78" s="1016" t="s">
        <v>139</v>
      </c>
      <c r="F78" s="1016"/>
      <c r="G78" s="1016" t="s">
        <v>140</v>
      </c>
      <c r="H78" s="1125"/>
      <c r="I78" s="1281">
        <v>0</v>
      </c>
      <c r="J78" s="962">
        <v>0.7</v>
      </c>
      <c r="K78" s="66"/>
      <c r="L78" s="67"/>
      <c r="M78" s="68"/>
      <c r="N78" s="46" t="s">
        <v>30</v>
      </c>
      <c r="O78" s="67"/>
      <c r="P78" s="66"/>
      <c r="R78" s="69"/>
      <c r="U78" s="70"/>
      <c r="V78" s="71"/>
      <c r="W78" s="71"/>
      <c r="X78" s="72"/>
      <c r="Y78" s="69"/>
    </row>
    <row r="79" spans="1:25" s="45" customFormat="1" ht="45" customHeight="1" x14ac:dyDescent="0.2">
      <c r="B79" s="1280"/>
      <c r="C79" s="1034" t="s">
        <v>141</v>
      </c>
      <c r="D79" s="1034"/>
      <c r="E79" s="1034"/>
      <c r="F79" s="1034"/>
      <c r="G79" s="1034"/>
      <c r="H79" s="1035"/>
      <c r="I79" s="1282"/>
      <c r="J79" s="964"/>
      <c r="K79" s="66"/>
      <c r="L79" s="67"/>
      <c r="M79" s="68"/>
      <c r="N79"/>
      <c r="O79" s="67"/>
      <c r="P79" s="66"/>
      <c r="R79" s="69"/>
      <c r="U79" s="70"/>
      <c r="V79" s="71"/>
      <c r="W79" s="71"/>
      <c r="X79" s="72"/>
      <c r="Y79" s="69"/>
    </row>
    <row r="80" spans="1:25" s="45" customFormat="1" ht="20.100000000000001" customHeight="1" x14ac:dyDescent="0.2">
      <c r="B80" s="76"/>
      <c r="C80" s="85"/>
      <c r="D80" s="85"/>
      <c r="E80" s="85"/>
      <c r="F80" s="85"/>
      <c r="G80" s="85"/>
      <c r="H80" s="86"/>
      <c r="I80" s="87"/>
      <c r="J80" s="78"/>
      <c r="K80" s="66"/>
      <c r="L80" s="67"/>
      <c r="M80" s="68"/>
      <c r="N80" s="67"/>
      <c r="O80" s="67"/>
      <c r="P80" s="66"/>
      <c r="R80" s="69"/>
      <c r="U80" s="70"/>
      <c r="V80" s="71"/>
      <c r="W80" s="71"/>
      <c r="X80" s="72"/>
      <c r="Y80" s="69"/>
    </row>
    <row r="81" spans="1:25" s="45" customFormat="1" ht="30" customHeight="1" x14ac:dyDescent="0.2">
      <c r="B81" s="1159" t="s">
        <v>142</v>
      </c>
      <c r="C81" s="1274"/>
      <c r="D81" s="1274"/>
      <c r="E81" s="1274"/>
      <c r="F81" s="1274"/>
      <c r="G81" s="1274"/>
      <c r="H81" s="1275"/>
      <c r="I81" s="88" t="s">
        <v>130</v>
      </c>
      <c r="J81" s="89" t="s">
        <v>18</v>
      </c>
      <c r="K81" s="66"/>
      <c r="L81" s="67"/>
      <c r="M81" s="68"/>
      <c r="N81" s="46" t="s">
        <v>30</v>
      </c>
      <c r="O81" s="67"/>
      <c r="P81" s="66"/>
      <c r="R81" s="69"/>
      <c r="U81" s="70"/>
      <c r="V81" s="71"/>
      <c r="W81" s="71"/>
      <c r="X81" s="72"/>
      <c r="Y81" s="69"/>
    </row>
    <row r="82" spans="1:25" s="45" customFormat="1" ht="30" customHeight="1" x14ac:dyDescent="0.2">
      <c r="B82" s="1276" t="s">
        <v>143</v>
      </c>
      <c r="C82" s="1277"/>
      <c r="D82" s="1277"/>
      <c r="E82" s="1277"/>
      <c r="F82" s="1277"/>
      <c r="G82" s="1277"/>
      <c r="H82" s="1277"/>
      <c r="I82" s="1277"/>
      <c r="J82" s="1278"/>
      <c r="K82" s="66"/>
      <c r="L82" s="67"/>
      <c r="M82" s="68"/>
      <c r="N82" s="67"/>
      <c r="O82" s="67"/>
      <c r="P82" s="66"/>
      <c r="R82" s="69"/>
      <c r="U82" s="70"/>
      <c r="V82" s="71"/>
      <c r="W82" s="71"/>
      <c r="X82" s="72"/>
      <c r="Y82" s="69"/>
    </row>
    <row r="83" spans="1:25" s="45" customFormat="1" ht="30" customHeight="1" x14ac:dyDescent="0.2">
      <c r="B83" s="1120" t="s">
        <v>144</v>
      </c>
      <c r="C83" s="1217" t="s">
        <v>133</v>
      </c>
      <c r="D83" s="1016"/>
      <c r="E83" s="1016" t="s">
        <v>134</v>
      </c>
      <c r="F83" s="1016"/>
      <c r="G83" s="1016" t="s">
        <v>135</v>
      </c>
      <c r="H83" s="1125"/>
      <c r="I83" s="1110">
        <v>0</v>
      </c>
      <c r="J83" s="962">
        <v>0.8</v>
      </c>
      <c r="K83" s="66"/>
      <c r="L83" s="67"/>
      <c r="M83" s="68"/>
      <c r="N83" s="67"/>
      <c r="O83" s="67"/>
      <c r="P83" s="66"/>
      <c r="R83" s="69"/>
      <c r="U83" s="70"/>
      <c r="V83" s="71"/>
      <c r="W83" s="71"/>
      <c r="X83" s="72"/>
      <c r="Y83" s="69"/>
    </row>
    <row r="84" spans="1:25" s="45" customFormat="1" ht="30" customHeight="1" x14ac:dyDescent="0.2">
      <c r="B84" s="1122"/>
      <c r="C84" s="1116" t="s">
        <v>136</v>
      </c>
      <c r="D84" s="1034"/>
      <c r="E84" s="82" t="s">
        <v>80</v>
      </c>
      <c r="F84" s="90"/>
      <c r="G84" s="90"/>
      <c r="H84" s="91"/>
      <c r="I84" s="1112"/>
      <c r="J84" s="964"/>
      <c r="K84" s="66"/>
      <c r="L84" s="67"/>
      <c r="M84" s="68"/>
      <c r="N84" s="67"/>
      <c r="O84" s="67"/>
      <c r="P84" s="66"/>
      <c r="R84" s="69"/>
      <c r="U84" s="70"/>
      <c r="V84" s="71"/>
      <c r="W84" s="71"/>
      <c r="X84" s="72"/>
      <c r="Y84" s="69"/>
    </row>
    <row r="85" spans="1:25" s="45" customFormat="1" ht="25.5" customHeight="1" x14ac:dyDescent="0.2">
      <c r="B85" s="76"/>
      <c r="C85" s="85"/>
      <c r="D85" s="85"/>
      <c r="E85" s="85"/>
      <c r="F85" s="85"/>
      <c r="G85" s="85"/>
      <c r="H85" s="86"/>
      <c r="I85" s="87"/>
      <c r="J85" s="78"/>
      <c r="K85" s="66"/>
      <c r="L85" s="67"/>
      <c r="M85" s="68"/>
      <c r="N85" s="67"/>
      <c r="O85" s="67"/>
      <c r="P85" s="66"/>
      <c r="R85" s="69"/>
      <c r="U85" s="70"/>
      <c r="V85" s="71"/>
      <c r="W85" s="71"/>
      <c r="X85" s="72"/>
      <c r="Y85" s="69"/>
    </row>
    <row r="86" spans="1:25" ht="30" customHeight="1" x14ac:dyDescent="0.2">
      <c r="A86" s="24"/>
      <c r="B86" s="904" t="s">
        <v>145</v>
      </c>
      <c r="C86" s="1160"/>
      <c r="D86" s="1160"/>
      <c r="E86" s="1160"/>
      <c r="F86" s="1160"/>
      <c r="G86" s="1160"/>
      <c r="H86" s="1271"/>
      <c r="I86" s="34" t="s">
        <v>17</v>
      </c>
      <c r="J86" s="35" t="s">
        <v>18</v>
      </c>
      <c r="K86" s="18"/>
      <c r="L86" s="4"/>
      <c r="N86" s="46" t="s">
        <v>30</v>
      </c>
      <c r="O86" s="4"/>
      <c r="P86" s="59"/>
    </row>
    <row r="87" spans="1:25" ht="30" customHeight="1" x14ac:dyDescent="0.2">
      <c r="A87" s="24"/>
      <c r="B87" s="1120" t="s">
        <v>26</v>
      </c>
      <c r="C87" s="1250" t="s">
        <v>146</v>
      </c>
      <c r="D87" s="1251"/>
      <c r="E87" s="1251" t="s">
        <v>147</v>
      </c>
      <c r="F87" s="1251"/>
      <c r="G87" s="1251" t="s">
        <v>90</v>
      </c>
      <c r="H87" s="1267"/>
      <c r="I87" s="1272">
        <v>0</v>
      </c>
      <c r="J87" s="962">
        <v>0.9</v>
      </c>
      <c r="K87" s="18"/>
      <c r="L87" s="4"/>
      <c r="O87" s="4"/>
      <c r="P87" s="59"/>
    </row>
    <row r="88" spans="1:25" ht="30" customHeight="1" x14ac:dyDescent="0.2">
      <c r="A88" s="24"/>
      <c r="B88" s="1122"/>
      <c r="C88" s="1218" t="s">
        <v>74</v>
      </c>
      <c r="D88" s="1180"/>
      <c r="E88" s="24"/>
      <c r="F88" s="24"/>
      <c r="G88" s="92"/>
      <c r="H88" s="93"/>
      <c r="I88" s="1273"/>
      <c r="J88" s="964"/>
      <c r="K88" s="18"/>
      <c r="L88" s="4"/>
      <c r="O88" s="4"/>
      <c r="P88" s="59"/>
    </row>
    <row r="89" spans="1:25" ht="30" customHeight="1" x14ac:dyDescent="0.2">
      <c r="A89" s="24"/>
      <c r="B89" s="1269" t="s">
        <v>71</v>
      </c>
      <c r="C89" s="1250" t="s">
        <v>134</v>
      </c>
      <c r="D89" s="1251"/>
      <c r="E89" s="1251" t="s">
        <v>92</v>
      </c>
      <c r="F89" s="1251"/>
      <c r="G89" s="1251" t="s">
        <v>78</v>
      </c>
      <c r="H89" s="1267"/>
      <c r="I89" s="1270">
        <v>0</v>
      </c>
      <c r="J89" s="1092">
        <v>0.85</v>
      </c>
      <c r="K89" s="18"/>
      <c r="L89" s="4"/>
      <c r="N89" s="46" t="s">
        <v>30</v>
      </c>
      <c r="O89" s="4"/>
      <c r="P89" s="59"/>
    </row>
    <row r="90" spans="1:25" ht="30" customHeight="1" x14ac:dyDescent="0.2">
      <c r="A90" s="24"/>
      <c r="B90" s="1269"/>
      <c r="C90" s="1264" t="s">
        <v>148</v>
      </c>
      <c r="D90" s="1265"/>
      <c r="E90" s="1265" t="s">
        <v>149</v>
      </c>
      <c r="F90" s="1265"/>
      <c r="G90" s="1265" t="s">
        <v>150</v>
      </c>
      <c r="H90" s="1266"/>
      <c r="I90" s="1270"/>
      <c r="J90" s="1092"/>
      <c r="K90" s="18"/>
      <c r="L90" s="4"/>
      <c r="O90" s="4"/>
      <c r="P90" s="59"/>
    </row>
    <row r="91" spans="1:25" ht="20.100000000000001" customHeight="1" x14ac:dyDescent="0.2">
      <c r="A91" s="24"/>
      <c r="B91" s="62"/>
      <c r="C91" s="63"/>
      <c r="D91" s="63"/>
      <c r="E91" s="63"/>
      <c r="F91" s="63"/>
      <c r="G91" s="63"/>
      <c r="H91" s="63"/>
      <c r="I91" s="64"/>
      <c r="J91" s="65"/>
    </row>
    <row r="92" spans="1:25" ht="29.25" customHeight="1" x14ac:dyDescent="0.2">
      <c r="A92" s="24"/>
      <c r="B92" s="1135" t="s">
        <v>151</v>
      </c>
      <c r="C92" s="1136"/>
      <c r="D92" s="1136"/>
      <c r="E92" s="1136"/>
      <c r="F92" s="1136"/>
      <c r="G92" s="1136"/>
      <c r="H92" s="1136"/>
      <c r="I92" s="94" t="s">
        <v>152</v>
      </c>
      <c r="J92" s="95" t="s">
        <v>18</v>
      </c>
    </row>
    <row r="93" spans="1:25" ht="20.100000000000001" customHeight="1" x14ac:dyDescent="0.2">
      <c r="A93" s="24"/>
      <c r="B93" s="1268" t="s">
        <v>153</v>
      </c>
      <c r="C93" s="1268"/>
      <c r="D93" s="1268"/>
      <c r="E93" s="1268"/>
      <c r="F93" s="1268"/>
      <c r="G93" s="1268"/>
      <c r="H93" s="1268"/>
      <c r="I93" s="1268"/>
      <c r="J93" s="1268"/>
    </row>
    <row r="94" spans="1:25" ht="41.25" customHeight="1" x14ac:dyDescent="0.2">
      <c r="A94" s="24"/>
      <c r="B94" s="96"/>
      <c r="C94" s="901" t="s">
        <v>154</v>
      </c>
      <c r="D94" s="950"/>
      <c r="E94" s="950"/>
      <c r="F94" s="950"/>
      <c r="G94" s="950"/>
      <c r="H94" s="951"/>
      <c r="I94" s="74">
        <v>0</v>
      </c>
      <c r="J94" s="97">
        <v>1</v>
      </c>
    </row>
    <row r="95" spans="1:25" ht="20.100000000000001" customHeight="1" x14ac:dyDescent="0.2">
      <c r="A95" s="24"/>
      <c r="B95" s="62"/>
      <c r="C95" s="63"/>
      <c r="D95" s="63"/>
      <c r="E95" s="63"/>
      <c r="F95" s="63"/>
      <c r="G95" s="63"/>
      <c r="H95" s="63"/>
      <c r="I95" s="64"/>
      <c r="J95" s="65"/>
    </row>
    <row r="96" spans="1:25" ht="30" customHeight="1" x14ac:dyDescent="0.2">
      <c r="A96" s="24"/>
      <c r="B96" s="904" t="s">
        <v>155</v>
      </c>
      <c r="C96" s="905"/>
      <c r="D96" s="905"/>
      <c r="E96" s="905"/>
      <c r="F96" s="905"/>
      <c r="G96" s="905"/>
      <c r="H96" s="906"/>
      <c r="I96" s="34" t="s">
        <v>17</v>
      </c>
      <c r="J96" s="35" t="s">
        <v>18</v>
      </c>
      <c r="K96" s="36" t="s">
        <v>156</v>
      </c>
      <c r="L96" s="37">
        <v>7</v>
      </c>
      <c r="N96" s="46" t="s">
        <v>30</v>
      </c>
      <c r="O96" s="37">
        <v>7</v>
      </c>
      <c r="P96" s="38" t="s">
        <v>157</v>
      </c>
    </row>
    <row r="97" spans="1:16" ht="30" customHeight="1" x14ac:dyDescent="0.2">
      <c r="B97" s="946" t="s">
        <v>158</v>
      </c>
      <c r="C97" s="947"/>
      <c r="D97" s="947"/>
      <c r="E97" s="947"/>
      <c r="F97" s="947"/>
      <c r="G97" s="947"/>
      <c r="H97" s="947"/>
      <c r="I97" s="947"/>
      <c r="J97" s="948"/>
      <c r="L97" s="98"/>
      <c r="O97" s="37">
        <v>7</v>
      </c>
      <c r="P97" s="38" t="s">
        <v>157</v>
      </c>
    </row>
    <row r="98" spans="1:16" ht="78" customHeight="1" x14ac:dyDescent="0.2">
      <c r="A98" s="99"/>
      <c r="B98" s="1023" t="s">
        <v>159</v>
      </c>
      <c r="C98" s="986"/>
      <c r="D98" s="986"/>
      <c r="E98" s="986"/>
      <c r="F98" s="986"/>
      <c r="G98" s="986"/>
      <c r="H98" s="986"/>
      <c r="I98" s="1024"/>
      <c r="J98" s="1025"/>
      <c r="K98" s="100" t="s">
        <v>160</v>
      </c>
      <c r="L98" s="101" t="s">
        <v>161</v>
      </c>
      <c r="O98" s="37">
        <v>7</v>
      </c>
      <c r="P98" s="38" t="s">
        <v>157</v>
      </c>
    </row>
    <row r="99" spans="1:16" ht="30" customHeight="1" x14ac:dyDescent="0.2">
      <c r="B99" s="1004" t="s">
        <v>162</v>
      </c>
      <c r="C99" s="1250" t="s">
        <v>29</v>
      </c>
      <c r="D99" s="1251"/>
      <c r="E99" s="1251" t="s">
        <v>94</v>
      </c>
      <c r="F99" s="1251"/>
      <c r="G99" s="1251" t="s">
        <v>163</v>
      </c>
      <c r="H99" s="1267"/>
      <c r="I99" s="935">
        <v>20</v>
      </c>
      <c r="J99" s="915">
        <v>0.9</v>
      </c>
      <c r="K99" s="100" t="s">
        <v>160</v>
      </c>
      <c r="L99" s="101" t="s">
        <v>161</v>
      </c>
      <c r="M99" s="79"/>
      <c r="O99" s="37">
        <v>7</v>
      </c>
      <c r="P99" s="38" t="s">
        <v>157</v>
      </c>
    </row>
    <row r="100" spans="1:16" ht="30" customHeight="1" x14ac:dyDescent="0.2">
      <c r="B100" s="1039"/>
      <c r="C100" s="1257" t="s">
        <v>135</v>
      </c>
      <c r="D100" s="1258"/>
      <c r="E100" s="1258" t="s">
        <v>133</v>
      </c>
      <c r="F100" s="1258"/>
      <c r="G100" s="1022" t="s">
        <v>136</v>
      </c>
      <c r="H100" s="1028"/>
      <c r="I100" s="1235"/>
      <c r="J100" s="1045"/>
      <c r="K100" s="100" t="s">
        <v>160</v>
      </c>
      <c r="L100" s="101" t="s">
        <v>161</v>
      </c>
      <c r="M100" s="79"/>
      <c r="O100" s="37">
        <v>7</v>
      </c>
      <c r="P100" s="38" t="s">
        <v>157</v>
      </c>
    </row>
    <row r="101" spans="1:16" ht="30" customHeight="1" x14ac:dyDescent="0.2">
      <c r="B101" s="1039"/>
      <c r="C101" s="1260" t="s">
        <v>164</v>
      </c>
      <c r="D101" s="1261"/>
      <c r="E101" s="1258" t="s">
        <v>165</v>
      </c>
      <c r="F101" s="1258"/>
      <c r="G101" s="1258" t="s">
        <v>166</v>
      </c>
      <c r="H101" s="1259"/>
      <c r="I101" s="1235"/>
      <c r="J101" s="1045"/>
      <c r="K101" s="100" t="s">
        <v>160</v>
      </c>
      <c r="L101" s="101" t="s">
        <v>161</v>
      </c>
      <c r="M101" s="79"/>
      <c r="O101" s="37">
        <v>7</v>
      </c>
      <c r="P101" s="38" t="s">
        <v>157</v>
      </c>
    </row>
    <row r="102" spans="1:16" ht="30" customHeight="1" x14ac:dyDescent="0.2">
      <c r="B102" s="1005"/>
      <c r="C102" s="1116" t="s">
        <v>167</v>
      </c>
      <c r="D102" s="1034"/>
      <c r="E102" s="102"/>
      <c r="F102" s="102"/>
      <c r="G102" s="102"/>
      <c r="H102" s="103"/>
      <c r="I102" s="936"/>
      <c r="J102" s="916"/>
      <c r="K102" s="100"/>
      <c r="L102" s="101"/>
      <c r="M102" s="79"/>
      <c r="O102" s="37"/>
      <c r="P102" s="38"/>
    </row>
    <row r="103" spans="1:16" ht="30" customHeight="1" x14ac:dyDescent="0.2">
      <c r="A103" s="104"/>
      <c r="B103" s="1262" t="s">
        <v>168</v>
      </c>
      <c r="C103" s="1257" t="s">
        <v>27</v>
      </c>
      <c r="D103" s="1258"/>
      <c r="E103" s="1258" t="s">
        <v>169</v>
      </c>
      <c r="F103" s="1258"/>
      <c r="G103" s="1258" t="s">
        <v>170</v>
      </c>
      <c r="H103" s="1259"/>
      <c r="I103" s="1253">
        <v>20</v>
      </c>
      <c r="J103" s="1255">
        <v>0.9</v>
      </c>
      <c r="K103" s="100" t="s">
        <v>171</v>
      </c>
      <c r="L103" s="101" t="s">
        <v>161</v>
      </c>
      <c r="M103" s="79"/>
      <c r="N103" s="46" t="s">
        <v>30</v>
      </c>
      <c r="O103" s="37">
        <v>7</v>
      </c>
      <c r="P103" s="38" t="s">
        <v>157</v>
      </c>
    </row>
    <row r="104" spans="1:16" ht="30" customHeight="1" x14ac:dyDescent="0.2">
      <c r="A104" s="104"/>
      <c r="B104" s="1263"/>
      <c r="C104" s="1257" t="s">
        <v>172</v>
      </c>
      <c r="D104" s="1258"/>
      <c r="E104" s="1258" t="s">
        <v>173</v>
      </c>
      <c r="F104" s="1258"/>
      <c r="G104" s="1258" t="s">
        <v>174</v>
      </c>
      <c r="H104" s="1259"/>
      <c r="I104" s="1254"/>
      <c r="J104" s="1256"/>
      <c r="K104" s="100" t="s">
        <v>171</v>
      </c>
      <c r="L104" s="101" t="s">
        <v>161</v>
      </c>
      <c r="M104" s="79"/>
      <c r="O104" s="37">
        <v>7</v>
      </c>
      <c r="P104" s="38" t="s">
        <v>157</v>
      </c>
    </row>
    <row r="105" spans="1:16" ht="30" customHeight="1" x14ac:dyDescent="0.2">
      <c r="A105" s="104"/>
      <c r="B105" s="1263"/>
      <c r="C105" s="1257" t="s">
        <v>175</v>
      </c>
      <c r="D105" s="1258"/>
      <c r="E105" s="1258" t="s">
        <v>176</v>
      </c>
      <c r="F105" s="1258"/>
      <c r="G105" s="1258" t="s">
        <v>81</v>
      </c>
      <c r="H105" s="1259"/>
      <c r="I105" s="1254"/>
      <c r="J105" s="1256"/>
      <c r="K105" s="100" t="s">
        <v>171</v>
      </c>
      <c r="L105" s="101" t="s">
        <v>161</v>
      </c>
      <c r="M105" s="79"/>
      <c r="O105" s="37">
        <v>7</v>
      </c>
      <c r="P105" s="38" t="s">
        <v>157</v>
      </c>
    </row>
    <row r="106" spans="1:16" ht="30" customHeight="1" x14ac:dyDescent="0.2">
      <c r="A106" s="104"/>
      <c r="B106" s="1263"/>
      <c r="C106" s="1257" t="s">
        <v>82</v>
      </c>
      <c r="D106" s="1258"/>
      <c r="E106" s="1258" t="s">
        <v>177</v>
      </c>
      <c r="F106" s="1258"/>
      <c r="G106" s="1180" t="s">
        <v>84</v>
      </c>
      <c r="H106" s="1227"/>
      <c r="I106" s="1254"/>
      <c r="J106" s="1256"/>
      <c r="K106" s="100" t="s">
        <v>171</v>
      </c>
      <c r="L106" s="101" t="s">
        <v>161</v>
      </c>
      <c r="M106" s="79"/>
      <c r="O106" s="37">
        <v>7</v>
      </c>
      <c r="P106" s="38" t="s">
        <v>157</v>
      </c>
    </row>
    <row r="107" spans="1:16" ht="36.75" customHeight="1" x14ac:dyDescent="0.2">
      <c r="A107" s="49" t="s">
        <v>69</v>
      </c>
      <c r="B107" s="1263"/>
      <c r="C107" s="1264" t="s">
        <v>178</v>
      </c>
      <c r="D107" s="1265"/>
      <c r="E107" s="1265"/>
      <c r="F107" s="1265"/>
      <c r="G107" s="1265"/>
      <c r="H107" s="1266"/>
      <c r="I107" s="1254"/>
      <c r="J107" s="1256"/>
      <c r="K107" s="100" t="s">
        <v>171</v>
      </c>
      <c r="L107" s="101" t="s">
        <v>161</v>
      </c>
      <c r="M107" s="79"/>
      <c r="O107" s="37">
        <v>7</v>
      </c>
      <c r="P107" s="38" t="s">
        <v>157</v>
      </c>
    </row>
    <row r="108" spans="1:16" ht="71.25" customHeight="1" x14ac:dyDescent="0.2">
      <c r="A108" s="49"/>
      <c r="B108" s="105" t="s">
        <v>179</v>
      </c>
      <c r="C108" s="1250" t="s">
        <v>180</v>
      </c>
      <c r="D108" s="1251"/>
      <c r="E108" s="1251" t="s">
        <v>181</v>
      </c>
      <c r="F108" s="1251"/>
      <c r="G108" s="106"/>
      <c r="H108" s="107"/>
      <c r="I108" s="108">
        <v>60</v>
      </c>
      <c r="J108" s="109">
        <v>0.7</v>
      </c>
      <c r="K108" s="100" t="s">
        <v>182</v>
      </c>
      <c r="L108" s="101" t="s">
        <v>161</v>
      </c>
      <c r="M108" s="79"/>
      <c r="N108" s="46" t="s">
        <v>30</v>
      </c>
      <c r="O108" s="37">
        <v>7</v>
      </c>
      <c r="P108" s="38" t="s">
        <v>157</v>
      </c>
    </row>
    <row r="109" spans="1:16" ht="100.5" customHeight="1" x14ac:dyDescent="0.2">
      <c r="A109" s="49"/>
      <c r="B109" s="1161" t="s">
        <v>183</v>
      </c>
      <c r="C109" s="1162"/>
      <c r="D109" s="1162"/>
      <c r="E109" s="1162"/>
      <c r="F109" s="1162"/>
      <c r="G109" s="1162"/>
      <c r="H109" s="1162"/>
      <c r="I109" s="1162"/>
      <c r="J109" s="1163"/>
      <c r="K109" s="100"/>
      <c r="L109" s="101"/>
      <c r="M109" s="79"/>
      <c r="N109" s="46"/>
      <c r="O109" s="37"/>
      <c r="P109" s="38"/>
    </row>
    <row r="110" spans="1:16" ht="22.5" customHeight="1" x14ac:dyDescent="0.2">
      <c r="A110" s="49"/>
      <c r="B110" s="1252" t="s">
        <v>184</v>
      </c>
      <c r="C110" s="1252"/>
      <c r="D110" s="1252"/>
      <c r="E110" s="1252"/>
      <c r="F110" s="1252"/>
      <c r="G110" s="1252"/>
      <c r="H110" s="1252"/>
      <c r="I110" s="1252"/>
      <c r="J110" s="1252"/>
      <c r="K110" s="100"/>
      <c r="L110" s="101"/>
      <c r="M110" s="79"/>
      <c r="N110" s="46"/>
      <c r="O110" s="37"/>
      <c r="P110" s="38"/>
    </row>
    <row r="111" spans="1:16" ht="19.5" customHeight="1" x14ac:dyDescent="0.2">
      <c r="A111" s="24"/>
      <c r="B111" s="110"/>
      <c r="C111" s="111"/>
      <c r="D111" s="112"/>
      <c r="E111" s="112"/>
      <c r="F111" s="112"/>
      <c r="G111" s="112"/>
      <c r="H111" s="112"/>
      <c r="I111" s="113"/>
      <c r="J111" s="114"/>
      <c r="L111" s="21"/>
      <c r="M111" s="22"/>
      <c r="O111" s="21"/>
      <c r="P111" s="24"/>
    </row>
    <row r="112" spans="1:16" ht="30" customHeight="1" x14ac:dyDescent="0.2">
      <c r="A112" s="24"/>
      <c r="B112" s="904" t="s">
        <v>185</v>
      </c>
      <c r="C112" s="905"/>
      <c r="D112" s="905"/>
      <c r="E112" s="905"/>
      <c r="F112" s="905"/>
      <c r="G112" s="905"/>
      <c r="H112" s="906"/>
      <c r="I112" s="34" t="s">
        <v>17</v>
      </c>
      <c r="J112" s="35" t="s">
        <v>18</v>
      </c>
      <c r="K112" s="36" t="s">
        <v>186</v>
      </c>
      <c r="L112" s="37">
        <v>8</v>
      </c>
      <c r="N112" s="46" t="s">
        <v>30</v>
      </c>
      <c r="O112" s="37">
        <v>8</v>
      </c>
      <c r="P112" s="38" t="s">
        <v>187</v>
      </c>
    </row>
    <row r="113" spans="1:16" ht="30" customHeight="1" x14ac:dyDescent="0.2">
      <c r="A113" s="24"/>
      <c r="B113" s="946" t="s">
        <v>158</v>
      </c>
      <c r="C113" s="947"/>
      <c r="D113" s="947"/>
      <c r="E113" s="947"/>
      <c r="F113" s="947"/>
      <c r="G113" s="947"/>
      <c r="H113" s="947"/>
      <c r="I113" s="947"/>
      <c r="J113" s="948"/>
      <c r="O113" s="37">
        <v>8</v>
      </c>
      <c r="P113" s="38" t="s">
        <v>187</v>
      </c>
    </row>
    <row r="114" spans="1:16" s="45" customFormat="1" ht="169.5" customHeight="1" x14ac:dyDescent="0.2">
      <c r="A114" s="39"/>
      <c r="B114" s="115" t="s">
        <v>188</v>
      </c>
      <c r="C114" s="1023" t="s">
        <v>189</v>
      </c>
      <c r="D114" s="1024"/>
      <c r="E114" s="1024"/>
      <c r="F114" s="1024"/>
      <c r="G114" s="1024"/>
      <c r="H114" s="1025"/>
      <c r="I114" s="116">
        <v>40</v>
      </c>
      <c r="J114" s="42">
        <v>1</v>
      </c>
      <c r="K114" s="117" t="s">
        <v>24</v>
      </c>
      <c r="L114" s="117" t="s">
        <v>190</v>
      </c>
      <c r="M114" s="4"/>
      <c r="N114" s="46" t="s">
        <v>30</v>
      </c>
      <c r="O114" s="37">
        <v>8</v>
      </c>
      <c r="P114" s="38" t="s">
        <v>187</v>
      </c>
    </row>
    <row r="115" spans="1:16" ht="30" customHeight="1" x14ac:dyDescent="0.2">
      <c r="A115" s="24"/>
      <c r="B115" s="1236" t="s">
        <v>191</v>
      </c>
      <c r="C115" s="1217" t="s">
        <v>192</v>
      </c>
      <c r="D115" s="1016"/>
      <c r="E115" s="1016" t="s">
        <v>193</v>
      </c>
      <c r="F115" s="1016"/>
      <c r="G115" s="1016" t="s">
        <v>194</v>
      </c>
      <c r="H115" s="1125"/>
      <c r="I115" s="1239">
        <v>35</v>
      </c>
      <c r="J115" s="1241">
        <v>0.9</v>
      </c>
      <c r="K115" s="118" t="s">
        <v>26</v>
      </c>
      <c r="L115" s="117" t="s">
        <v>190</v>
      </c>
      <c r="M115" s="79"/>
      <c r="N115" s="46" t="s">
        <v>30</v>
      </c>
      <c r="O115" s="37">
        <v>8</v>
      </c>
      <c r="P115" s="38" t="s">
        <v>187</v>
      </c>
    </row>
    <row r="116" spans="1:16" ht="30" customHeight="1" x14ac:dyDescent="0.2">
      <c r="A116" s="24"/>
      <c r="B116" s="1237"/>
      <c r="C116" s="1244" t="s">
        <v>195</v>
      </c>
      <c r="D116" s="1245"/>
      <c r="E116" s="1245" t="s">
        <v>196</v>
      </c>
      <c r="F116" s="1245"/>
      <c r="G116" s="1245" t="s">
        <v>197</v>
      </c>
      <c r="H116" s="1246"/>
      <c r="I116" s="1240"/>
      <c r="J116" s="1242"/>
      <c r="K116" s="118" t="s">
        <v>26</v>
      </c>
      <c r="L116" s="117" t="s">
        <v>190</v>
      </c>
      <c r="M116" s="79"/>
      <c r="O116" s="37">
        <v>8</v>
      </c>
      <c r="P116" s="38" t="s">
        <v>187</v>
      </c>
    </row>
    <row r="117" spans="1:16" ht="30" customHeight="1" x14ac:dyDescent="0.2">
      <c r="A117" s="24"/>
      <c r="B117" s="1237"/>
      <c r="C117" s="1247" t="s">
        <v>31</v>
      </c>
      <c r="D117" s="1248"/>
      <c r="E117" s="1022" t="s">
        <v>198</v>
      </c>
      <c r="F117" s="1022"/>
      <c r="G117" s="1245" t="s">
        <v>199</v>
      </c>
      <c r="H117" s="1246"/>
      <c r="I117" s="1240"/>
      <c r="J117" s="1242"/>
      <c r="K117" s="118" t="s">
        <v>26</v>
      </c>
      <c r="L117" s="117" t="s">
        <v>190</v>
      </c>
      <c r="M117" s="79"/>
      <c r="O117" s="37">
        <v>8</v>
      </c>
      <c r="P117" s="38" t="s">
        <v>187</v>
      </c>
    </row>
    <row r="118" spans="1:16" ht="30" customHeight="1" x14ac:dyDescent="0.2">
      <c r="A118" s="24"/>
      <c r="B118" s="1237"/>
      <c r="C118" s="1046" t="s">
        <v>32</v>
      </c>
      <c r="D118" s="1022"/>
      <c r="E118" s="1022" t="s">
        <v>29</v>
      </c>
      <c r="F118" s="1022"/>
      <c r="G118" s="1022" t="s">
        <v>200</v>
      </c>
      <c r="H118" s="1028"/>
      <c r="I118" s="1240"/>
      <c r="J118" s="1242"/>
      <c r="K118" s="118" t="s">
        <v>26</v>
      </c>
      <c r="L118" s="117" t="s">
        <v>190</v>
      </c>
      <c r="M118" s="79"/>
      <c r="O118" s="37">
        <v>8</v>
      </c>
      <c r="P118" s="38" t="s">
        <v>187</v>
      </c>
    </row>
    <row r="119" spans="1:16" ht="30" customHeight="1" x14ac:dyDescent="0.2">
      <c r="A119" s="24"/>
      <c r="B119" s="1237"/>
      <c r="C119" s="1046" t="s">
        <v>38</v>
      </c>
      <c r="D119" s="1022"/>
      <c r="E119" s="1180" t="s">
        <v>34</v>
      </c>
      <c r="F119" s="1180"/>
      <c r="G119" s="1022" t="s">
        <v>27</v>
      </c>
      <c r="H119" s="1028"/>
      <c r="I119" s="1240"/>
      <c r="J119" s="1242"/>
      <c r="K119" s="118" t="s">
        <v>26</v>
      </c>
      <c r="L119" s="117" t="s">
        <v>190</v>
      </c>
      <c r="M119" s="79"/>
      <c r="O119" s="37">
        <v>8</v>
      </c>
      <c r="P119" s="38" t="s">
        <v>187</v>
      </c>
    </row>
    <row r="120" spans="1:16" ht="30" customHeight="1" x14ac:dyDescent="0.2">
      <c r="A120" s="24"/>
      <c r="B120" s="1238"/>
      <c r="C120" s="1181" t="s">
        <v>37</v>
      </c>
      <c r="D120" s="1182"/>
      <c r="E120" s="1177" t="s">
        <v>39</v>
      </c>
      <c r="F120" s="1177"/>
      <c r="G120" s="1034"/>
      <c r="H120" s="1035"/>
      <c r="I120" s="1249"/>
      <c r="J120" s="1243"/>
      <c r="K120" s="118" t="s">
        <v>26</v>
      </c>
      <c r="L120" s="117" t="s">
        <v>190</v>
      </c>
      <c r="M120" s="79"/>
      <c r="O120" s="37">
        <v>8</v>
      </c>
      <c r="P120" s="38" t="s">
        <v>187</v>
      </c>
    </row>
    <row r="121" spans="1:16" ht="39.950000000000003" customHeight="1" x14ac:dyDescent="0.2">
      <c r="A121" s="24"/>
      <c r="B121" s="1236" t="s">
        <v>201</v>
      </c>
      <c r="C121" s="1150" t="s">
        <v>42</v>
      </c>
      <c r="D121" s="1149"/>
      <c r="E121" s="1188" t="s">
        <v>202</v>
      </c>
      <c r="F121" s="1188"/>
      <c r="G121" s="1188" t="s">
        <v>203</v>
      </c>
      <c r="H121" s="1189"/>
      <c r="I121" s="1239">
        <v>35</v>
      </c>
      <c r="J121" s="1241">
        <v>0.9</v>
      </c>
      <c r="K121" s="118" t="s">
        <v>40</v>
      </c>
      <c r="L121" s="117" t="s">
        <v>190</v>
      </c>
      <c r="M121" s="79"/>
      <c r="N121" s="46" t="s">
        <v>30</v>
      </c>
      <c r="O121" s="37">
        <v>8</v>
      </c>
      <c r="P121" s="38" t="s">
        <v>187</v>
      </c>
    </row>
    <row r="122" spans="1:16" ht="39.950000000000003" customHeight="1" x14ac:dyDescent="0.2">
      <c r="A122" s="24"/>
      <c r="B122" s="1237"/>
      <c r="C122" s="1144" t="s">
        <v>204</v>
      </c>
      <c r="D122" s="1145"/>
      <c r="E122" s="1145" t="s">
        <v>205</v>
      </c>
      <c r="F122" s="1145"/>
      <c r="G122" s="1145" t="s">
        <v>206</v>
      </c>
      <c r="H122" s="1146"/>
      <c r="I122" s="1240"/>
      <c r="J122" s="1242"/>
      <c r="K122" s="118" t="s">
        <v>40</v>
      </c>
      <c r="L122" s="117" t="s">
        <v>190</v>
      </c>
      <c r="M122" s="79"/>
      <c r="O122" s="37">
        <v>8</v>
      </c>
      <c r="P122" s="38" t="s">
        <v>187</v>
      </c>
    </row>
    <row r="123" spans="1:16" ht="39.950000000000003" customHeight="1" x14ac:dyDescent="0.2">
      <c r="A123" s="24"/>
      <c r="B123" s="1237"/>
      <c r="C123" s="1144" t="s">
        <v>207</v>
      </c>
      <c r="D123" s="1145"/>
      <c r="E123" s="1145" t="s">
        <v>208</v>
      </c>
      <c r="F123" s="1145"/>
      <c r="G123" s="957" t="s">
        <v>63</v>
      </c>
      <c r="H123" s="958"/>
      <c r="I123" s="1240"/>
      <c r="J123" s="1242"/>
      <c r="K123" s="118" t="s">
        <v>40</v>
      </c>
      <c r="L123" s="117" t="s">
        <v>190</v>
      </c>
      <c r="M123" s="79"/>
      <c r="O123" s="37">
        <v>8</v>
      </c>
      <c r="P123" s="38" t="s">
        <v>187</v>
      </c>
    </row>
    <row r="124" spans="1:16" ht="39.950000000000003" customHeight="1" x14ac:dyDescent="0.2">
      <c r="A124" s="24"/>
      <c r="B124" s="1237"/>
      <c r="C124" s="1144" t="s">
        <v>209</v>
      </c>
      <c r="D124" s="1145"/>
      <c r="E124" s="1145" t="s">
        <v>44</v>
      </c>
      <c r="F124" s="1145"/>
      <c r="G124" s="1145" t="s">
        <v>48</v>
      </c>
      <c r="H124" s="1146"/>
      <c r="I124" s="1240"/>
      <c r="J124" s="1242"/>
      <c r="K124" s="118" t="s">
        <v>40</v>
      </c>
      <c r="L124" s="117" t="s">
        <v>190</v>
      </c>
      <c r="M124" s="79"/>
      <c r="O124" s="37">
        <v>8</v>
      </c>
      <c r="P124" s="38" t="s">
        <v>187</v>
      </c>
    </row>
    <row r="125" spans="1:16" ht="39.950000000000003" customHeight="1" x14ac:dyDescent="0.2">
      <c r="A125" s="24"/>
      <c r="B125" s="1237"/>
      <c r="C125" s="965" t="s">
        <v>54</v>
      </c>
      <c r="D125" s="957"/>
      <c r="E125" s="957" t="s">
        <v>58</v>
      </c>
      <c r="F125" s="957"/>
      <c r="G125" s="1145"/>
      <c r="H125" s="1146"/>
      <c r="I125" s="1240"/>
      <c r="J125" s="1242"/>
      <c r="K125" s="118" t="s">
        <v>40</v>
      </c>
      <c r="L125" s="117" t="s">
        <v>190</v>
      </c>
      <c r="M125" s="79"/>
      <c r="O125" s="37">
        <v>8</v>
      </c>
      <c r="P125" s="38" t="s">
        <v>187</v>
      </c>
    </row>
    <row r="126" spans="1:16" ht="30" customHeight="1" x14ac:dyDescent="0.2">
      <c r="A126" s="24"/>
      <c r="B126" s="1237"/>
      <c r="C126" s="1147" t="s">
        <v>210</v>
      </c>
      <c r="D126" s="1148"/>
      <c r="E126" s="1148"/>
      <c r="F126" s="1148"/>
      <c r="G126" s="1148"/>
      <c r="H126" s="1152"/>
      <c r="I126" s="1240"/>
      <c r="J126" s="1242"/>
      <c r="K126" s="118" t="s">
        <v>40</v>
      </c>
      <c r="L126" s="117" t="s">
        <v>190</v>
      </c>
      <c r="M126" s="79"/>
      <c r="O126" s="37">
        <v>8</v>
      </c>
      <c r="P126" s="38" t="s">
        <v>187</v>
      </c>
    </row>
    <row r="127" spans="1:16" ht="30" customHeight="1" x14ac:dyDescent="0.2">
      <c r="A127" s="49"/>
      <c r="B127" s="1047" t="s">
        <v>211</v>
      </c>
      <c r="C127" s="1217" t="s">
        <v>212</v>
      </c>
      <c r="D127" s="1016"/>
      <c r="E127" s="1016" t="s">
        <v>213</v>
      </c>
      <c r="F127" s="1016"/>
      <c r="G127" s="1016" t="s">
        <v>214</v>
      </c>
      <c r="H127" s="1125"/>
      <c r="I127" s="1224">
        <v>40</v>
      </c>
      <c r="J127" s="915">
        <v>0.9</v>
      </c>
      <c r="K127" s="118" t="s">
        <v>71</v>
      </c>
      <c r="L127" s="117" t="s">
        <v>190</v>
      </c>
      <c r="M127" s="79"/>
      <c r="N127" s="46" t="s">
        <v>30</v>
      </c>
      <c r="O127" s="37">
        <v>8</v>
      </c>
      <c r="P127" s="38" t="s">
        <v>187</v>
      </c>
    </row>
    <row r="128" spans="1:16" ht="30" customHeight="1" x14ac:dyDescent="0.2">
      <c r="A128" s="49"/>
      <c r="B128" s="1109"/>
      <c r="C128" s="1216" t="s">
        <v>215</v>
      </c>
      <c r="D128" s="1108"/>
      <c r="E128" s="1180" t="s">
        <v>216</v>
      </c>
      <c r="F128" s="1180"/>
      <c r="G128" s="1180" t="s">
        <v>79</v>
      </c>
      <c r="H128" s="1227"/>
      <c r="I128" s="1224"/>
      <c r="J128" s="1045"/>
      <c r="K128" s="118" t="s">
        <v>71</v>
      </c>
      <c r="L128" s="117" t="s">
        <v>190</v>
      </c>
      <c r="M128" s="79"/>
      <c r="O128" s="37">
        <v>8</v>
      </c>
      <c r="P128" s="38" t="s">
        <v>187</v>
      </c>
    </row>
    <row r="129" spans="1:16" ht="30" customHeight="1" x14ac:dyDescent="0.2">
      <c r="A129" s="24"/>
      <c r="B129" s="1109"/>
      <c r="C129" s="1218" t="s">
        <v>74</v>
      </c>
      <c r="D129" s="1180"/>
      <c r="E129" s="1180" t="s">
        <v>217</v>
      </c>
      <c r="F129" s="1180"/>
      <c r="G129" s="1022" t="s">
        <v>82</v>
      </c>
      <c r="H129" s="1028"/>
      <c r="I129" s="1224"/>
      <c r="J129" s="1045"/>
      <c r="K129" s="118" t="s">
        <v>71</v>
      </c>
      <c r="L129" s="117" t="s">
        <v>190</v>
      </c>
      <c r="M129" s="79"/>
      <c r="O129" s="37">
        <v>8</v>
      </c>
      <c r="P129" s="38" t="s">
        <v>187</v>
      </c>
    </row>
    <row r="130" spans="1:16" ht="30" customHeight="1" x14ac:dyDescent="0.2">
      <c r="A130" s="24"/>
      <c r="B130" s="1109"/>
      <c r="C130" s="1046" t="s">
        <v>80</v>
      </c>
      <c r="D130" s="1022"/>
      <c r="E130" s="1180" t="s">
        <v>72</v>
      </c>
      <c r="F130" s="1180"/>
      <c r="G130" s="1180" t="s">
        <v>75</v>
      </c>
      <c r="H130" s="1227"/>
      <c r="I130" s="1224"/>
      <c r="J130" s="1045"/>
      <c r="K130" s="118" t="s">
        <v>71</v>
      </c>
      <c r="L130" s="117" t="s">
        <v>190</v>
      </c>
      <c r="M130" s="79"/>
      <c r="O130" s="37">
        <v>8</v>
      </c>
      <c r="P130" s="38" t="s">
        <v>187</v>
      </c>
    </row>
    <row r="131" spans="1:16" ht="30" customHeight="1" x14ac:dyDescent="0.2">
      <c r="A131" s="24"/>
      <c r="B131" s="1109"/>
      <c r="C131" s="1218" t="s">
        <v>76</v>
      </c>
      <c r="D131" s="1180"/>
      <c r="E131" s="1022" t="s">
        <v>81</v>
      </c>
      <c r="F131" s="1022"/>
      <c r="G131" s="1180" t="s">
        <v>73</v>
      </c>
      <c r="H131" s="1227"/>
      <c r="I131" s="1224"/>
      <c r="J131" s="1045"/>
      <c r="K131" s="118" t="s">
        <v>71</v>
      </c>
      <c r="L131" s="117" t="s">
        <v>190</v>
      </c>
      <c r="M131" s="79"/>
      <c r="O131" s="37">
        <v>8</v>
      </c>
      <c r="P131" s="38" t="s">
        <v>187</v>
      </c>
    </row>
    <row r="132" spans="1:16" ht="30" customHeight="1" x14ac:dyDescent="0.2">
      <c r="A132" s="24"/>
      <c r="B132" s="1109"/>
      <c r="C132" s="1046" t="s">
        <v>78</v>
      </c>
      <c r="D132" s="1022"/>
      <c r="E132" s="1180" t="s">
        <v>77</v>
      </c>
      <c r="F132" s="1180"/>
      <c r="G132" s="1022" t="s">
        <v>218</v>
      </c>
      <c r="H132" s="1028"/>
      <c r="I132" s="1224"/>
      <c r="J132" s="1045"/>
      <c r="K132" s="118" t="s">
        <v>71</v>
      </c>
      <c r="L132" s="117" t="s">
        <v>190</v>
      </c>
      <c r="M132" s="79"/>
      <c r="O132" s="37">
        <v>8</v>
      </c>
      <c r="P132" s="38" t="s">
        <v>187</v>
      </c>
    </row>
    <row r="133" spans="1:16" ht="39.950000000000003" customHeight="1" x14ac:dyDescent="0.2">
      <c r="B133" s="119" t="s">
        <v>219</v>
      </c>
      <c r="C133" s="1208" t="s">
        <v>86</v>
      </c>
      <c r="D133" s="1209"/>
      <c r="E133" s="865"/>
      <c r="F133" s="865"/>
      <c r="G133" s="1233"/>
      <c r="H133" s="1234"/>
      <c r="I133" s="120">
        <v>40</v>
      </c>
      <c r="J133" s="121">
        <v>0.85</v>
      </c>
      <c r="K133" s="118" t="s">
        <v>85</v>
      </c>
      <c r="L133" s="117" t="s">
        <v>190</v>
      </c>
      <c r="M133" s="79"/>
      <c r="N133" s="46" t="s">
        <v>30</v>
      </c>
      <c r="O133" s="37">
        <v>8</v>
      </c>
      <c r="P133" s="38" t="s">
        <v>187</v>
      </c>
    </row>
    <row r="134" spans="1:16" ht="30" customHeight="1" x14ac:dyDescent="0.2">
      <c r="B134" s="1236" t="s">
        <v>220</v>
      </c>
      <c r="C134" s="1187" t="s">
        <v>88</v>
      </c>
      <c r="D134" s="1188"/>
      <c r="E134" s="1130" t="s">
        <v>89</v>
      </c>
      <c r="F134" s="1130"/>
      <c r="G134" s="1195" t="s">
        <v>90</v>
      </c>
      <c r="H134" s="1226"/>
      <c r="I134" s="935">
        <v>45</v>
      </c>
      <c r="J134" s="915">
        <v>0.85</v>
      </c>
      <c r="K134" s="118" t="s">
        <v>87</v>
      </c>
      <c r="L134" s="117" t="s">
        <v>190</v>
      </c>
      <c r="M134" s="79"/>
      <c r="N134" s="46" t="s">
        <v>30</v>
      </c>
      <c r="O134" s="37">
        <v>8</v>
      </c>
      <c r="P134" s="38" t="s">
        <v>187</v>
      </c>
    </row>
    <row r="135" spans="1:16" ht="30" customHeight="1" x14ac:dyDescent="0.2">
      <c r="B135" s="1237"/>
      <c r="C135" s="1211" t="s">
        <v>92</v>
      </c>
      <c r="D135" s="1190"/>
      <c r="E135" s="969" t="s">
        <v>221</v>
      </c>
      <c r="F135" s="969"/>
      <c r="G135" s="969" t="s">
        <v>222</v>
      </c>
      <c r="H135" s="1193"/>
      <c r="I135" s="1235"/>
      <c r="J135" s="1045"/>
      <c r="K135" s="118" t="s">
        <v>87</v>
      </c>
      <c r="L135" s="117" t="s">
        <v>190</v>
      </c>
      <c r="M135" s="79"/>
      <c r="N135" s="122"/>
      <c r="O135" s="37">
        <v>8</v>
      </c>
      <c r="P135" s="38" t="s">
        <v>187</v>
      </c>
    </row>
    <row r="136" spans="1:16" ht="30" customHeight="1" x14ac:dyDescent="0.2">
      <c r="B136" s="1237"/>
      <c r="C136" s="1046" t="s">
        <v>223</v>
      </c>
      <c r="D136" s="1022"/>
      <c r="E136" s="1022" t="s">
        <v>224</v>
      </c>
      <c r="F136" s="1022"/>
      <c r="G136" s="957" t="s">
        <v>225</v>
      </c>
      <c r="H136" s="958"/>
      <c r="I136" s="1235"/>
      <c r="J136" s="1045"/>
      <c r="K136" s="118" t="s">
        <v>87</v>
      </c>
      <c r="L136" s="117" t="s">
        <v>190</v>
      </c>
      <c r="M136" s="79"/>
      <c r="N136" s="122"/>
      <c r="O136" s="37">
        <v>8</v>
      </c>
      <c r="P136" s="38" t="s">
        <v>187</v>
      </c>
    </row>
    <row r="137" spans="1:16" ht="30" customHeight="1" x14ac:dyDescent="0.2">
      <c r="B137" s="1237"/>
      <c r="C137" s="1046" t="s">
        <v>226</v>
      </c>
      <c r="D137" s="1022"/>
      <c r="E137" s="1022" t="s">
        <v>227</v>
      </c>
      <c r="F137" s="1022"/>
      <c r="G137" s="24" t="s">
        <v>94</v>
      </c>
      <c r="H137" s="123"/>
      <c r="I137" s="1235"/>
      <c r="J137" s="1045"/>
      <c r="K137" s="118" t="s">
        <v>87</v>
      </c>
      <c r="L137" s="117" t="s">
        <v>190</v>
      </c>
      <c r="M137" s="79"/>
      <c r="N137" s="122"/>
      <c r="O137" s="37">
        <v>8</v>
      </c>
      <c r="P137" s="38" t="s">
        <v>187</v>
      </c>
    </row>
    <row r="138" spans="1:16" ht="30" customHeight="1" x14ac:dyDescent="0.2">
      <c r="B138" s="1238"/>
      <c r="C138" s="1116" t="s">
        <v>95</v>
      </c>
      <c r="D138" s="1034"/>
      <c r="E138" s="90"/>
      <c r="F138" s="90"/>
      <c r="G138" s="50"/>
      <c r="H138" s="124"/>
      <c r="I138" s="936"/>
      <c r="J138" s="916"/>
      <c r="K138" s="118" t="s">
        <v>87</v>
      </c>
      <c r="L138" s="117" t="s">
        <v>190</v>
      </c>
      <c r="M138" s="79"/>
      <c r="N138" s="122"/>
      <c r="O138" s="37">
        <v>8</v>
      </c>
      <c r="P138" s="38" t="s">
        <v>187</v>
      </c>
    </row>
    <row r="139" spans="1:16" ht="20.100000000000001" customHeight="1" x14ac:dyDescent="0.2">
      <c r="B139" s="125"/>
      <c r="C139" s="126"/>
      <c r="D139" s="126"/>
      <c r="E139" s="126"/>
      <c r="F139" s="126"/>
      <c r="G139" s="126"/>
      <c r="H139" s="126"/>
      <c r="I139" s="127"/>
      <c r="J139" s="128"/>
      <c r="L139" s="98"/>
      <c r="O139" s="98"/>
    </row>
    <row r="140" spans="1:16" ht="30" customHeight="1" x14ac:dyDescent="0.2">
      <c r="B140" s="904" t="s">
        <v>228</v>
      </c>
      <c r="C140" s="905"/>
      <c r="D140" s="905"/>
      <c r="E140" s="905"/>
      <c r="F140" s="905"/>
      <c r="G140" s="905"/>
      <c r="H140" s="906"/>
      <c r="I140" s="34" t="s">
        <v>229</v>
      </c>
      <c r="J140" s="35" t="s">
        <v>18</v>
      </c>
      <c r="K140" s="36" t="s">
        <v>230</v>
      </c>
      <c r="L140" s="37">
        <v>9</v>
      </c>
      <c r="N140" s="46" t="s">
        <v>30</v>
      </c>
      <c r="O140" s="37">
        <v>9</v>
      </c>
    </row>
    <row r="141" spans="1:16" ht="30" customHeight="1" x14ac:dyDescent="0.2">
      <c r="B141" s="946" t="s">
        <v>158</v>
      </c>
      <c r="C141" s="947"/>
      <c r="D141" s="947"/>
      <c r="E141" s="947"/>
      <c r="F141" s="947"/>
      <c r="G141" s="947"/>
      <c r="H141" s="947"/>
      <c r="I141" s="947"/>
      <c r="J141" s="948"/>
      <c r="K141" s="36" t="s">
        <v>230</v>
      </c>
      <c r="L141" s="37">
        <v>9</v>
      </c>
      <c r="O141" s="37">
        <v>9</v>
      </c>
    </row>
    <row r="142" spans="1:16" ht="39.950000000000003" customHeight="1" x14ac:dyDescent="0.2">
      <c r="B142" s="1200" t="s">
        <v>26</v>
      </c>
      <c r="C142" s="1203" t="s">
        <v>217</v>
      </c>
      <c r="D142" s="1204"/>
      <c r="E142" s="1204" t="s">
        <v>231</v>
      </c>
      <c r="F142" s="1204"/>
      <c r="G142" s="1204" t="s">
        <v>226</v>
      </c>
      <c r="H142" s="1205"/>
      <c r="I142" s="1110" t="s">
        <v>232</v>
      </c>
      <c r="J142" s="915">
        <v>1</v>
      </c>
      <c r="K142" s="36" t="s">
        <v>230</v>
      </c>
      <c r="L142" s="37">
        <v>9</v>
      </c>
      <c r="O142" s="37">
        <v>9</v>
      </c>
    </row>
    <row r="143" spans="1:16" ht="30" customHeight="1" x14ac:dyDescent="0.2">
      <c r="B143" s="1201"/>
      <c r="C143" s="129" t="s">
        <v>196</v>
      </c>
      <c r="D143" s="47"/>
      <c r="E143" s="969" t="s">
        <v>233</v>
      </c>
      <c r="F143" s="969"/>
      <c r="G143" s="969" t="s">
        <v>234</v>
      </c>
      <c r="H143" s="1193"/>
      <c r="I143" s="1111"/>
      <c r="J143" s="1045"/>
      <c r="K143" s="36" t="s">
        <v>230</v>
      </c>
      <c r="L143" s="37">
        <v>9</v>
      </c>
      <c r="O143" s="37">
        <v>9</v>
      </c>
    </row>
    <row r="144" spans="1:16" ht="30" customHeight="1" x14ac:dyDescent="0.2">
      <c r="B144" s="1202"/>
      <c r="C144" s="130" t="s">
        <v>198</v>
      </c>
      <c r="D144" s="131"/>
      <c r="E144" s="132"/>
      <c r="F144" s="132"/>
      <c r="G144" s="132"/>
      <c r="H144" s="133"/>
      <c r="I144" s="1112"/>
      <c r="J144" s="916"/>
      <c r="K144" s="36" t="s">
        <v>230</v>
      </c>
      <c r="L144" s="37">
        <v>9</v>
      </c>
      <c r="O144" s="37">
        <v>9</v>
      </c>
    </row>
    <row r="145" spans="1:16" ht="85.5" customHeight="1" x14ac:dyDescent="0.2">
      <c r="B145" s="1232" t="s">
        <v>235</v>
      </c>
      <c r="C145" s="1233"/>
      <c r="D145" s="1233"/>
      <c r="E145" s="1233"/>
      <c r="F145" s="1233"/>
      <c r="G145" s="1233"/>
      <c r="H145" s="1233"/>
      <c r="I145" s="1233"/>
      <c r="J145" s="1234"/>
      <c r="K145" s="36" t="s">
        <v>230</v>
      </c>
      <c r="L145" s="37">
        <v>9</v>
      </c>
      <c r="O145" s="37">
        <v>9</v>
      </c>
    </row>
    <row r="146" spans="1:16" ht="20.100000000000001" customHeight="1" x14ac:dyDescent="0.2">
      <c r="B146" s="134"/>
      <c r="C146" s="134"/>
      <c r="D146" s="134"/>
      <c r="E146" s="134"/>
      <c r="F146" s="134"/>
      <c r="G146" s="134"/>
      <c r="H146" s="134"/>
      <c r="I146" s="134"/>
      <c r="J146" s="135"/>
      <c r="K146" s="18"/>
      <c r="L146" s="4"/>
      <c r="O146" s="4" t="s">
        <v>236</v>
      </c>
    </row>
    <row r="147" spans="1:16" ht="30" customHeight="1" x14ac:dyDescent="0.2">
      <c r="B147" s="904" t="s">
        <v>237</v>
      </c>
      <c r="C147" s="905"/>
      <c r="D147" s="905"/>
      <c r="E147" s="905"/>
      <c r="F147" s="905"/>
      <c r="G147" s="905"/>
      <c r="H147" s="906"/>
      <c r="I147" s="34" t="s">
        <v>238</v>
      </c>
      <c r="J147" s="35" t="s">
        <v>18</v>
      </c>
      <c r="K147" s="18"/>
      <c r="L147" s="4"/>
      <c r="O147" s="4"/>
    </row>
    <row r="148" spans="1:16" ht="36.75" customHeight="1" x14ac:dyDescent="0.2">
      <c r="B148" s="136" t="s">
        <v>26</v>
      </c>
      <c r="C148" s="901" t="s">
        <v>239</v>
      </c>
      <c r="D148" s="902"/>
      <c r="E148" s="902"/>
      <c r="F148" s="902"/>
      <c r="G148" s="902"/>
      <c r="H148" s="903"/>
      <c r="I148" s="74">
        <v>170</v>
      </c>
      <c r="J148" s="75">
        <v>1</v>
      </c>
      <c r="K148" s="18"/>
      <c r="L148" s="4"/>
      <c r="O148" s="4"/>
    </row>
    <row r="149" spans="1:16" ht="20.100000000000001" customHeight="1" x14ac:dyDescent="0.2">
      <c r="B149" s="125"/>
      <c r="C149" s="21"/>
      <c r="D149" s="47"/>
      <c r="E149" s="47"/>
      <c r="F149" s="47"/>
      <c r="G149" s="47"/>
      <c r="H149" s="47"/>
      <c r="I149" s="64"/>
      <c r="J149" s="65"/>
    </row>
    <row r="150" spans="1:16" ht="30" customHeight="1" x14ac:dyDescent="0.2">
      <c r="A150" s="24"/>
      <c r="B150" s="904" t="s">
        <v>240</v>
      </c>
      <c r="C150" s="905"/>
      <c r="D150" s="905"/>
      <c r="E150" s="905"/>
      <c r="F150" s="905"/>
      <c r="G150" s="905"/>
      <c r="H150" s="906"/>
      <c r="I150" s="34" t="s">
        <v>241</v>
      </c>
      <c r="J150" s="35" t="s">
        <v>18</v>
      </c>
      <c r="K150" s="36" t="s">
        <v>242</v>
      </c>
      <c r="L150" s="37">
        <v>10</v>
      </c>
      <c r="N150" s="46" t="s">
        <v>30</v>
      </c>
      <c r="O150" s="37">
        <v>10</v>
      </c>
      <c r="P150" s="38" t="s">
        <v>243</v>
      </c>
    </row>
    <row r="151" spans="1:16" ht="30" customHeight="1" x14ac:dyDescent="0.2">
      <c r="A151" s="24"/>
      <c r="B151" s="946" t="s">
        <v>244</v>
      </c>
      <c r="C151" s="947"/>
      <c r="D151" s="947"/>
      <c r="E151" s="947"/>
      <c r="F151" s="947"/>
      <c r="G151" s="947"/>
      <c r="H151" s="947"/>
      <c r="I151" s="947"/>
      <c r="J151" s="948"/>
      <c r="O151" s="37">
        <v>10</v>
      </c>
      <c r="P151" s="38" t="s">
        <v>243</v>
      </c>
    </row>
    <row r="152" spans="1:16" ht="30" customHeight="1" x14ac:dyDescent="0.2">
      <c r="A152" s="24"/>
      <c r="B152" s="1231" t="s">
        <v>26</v>
      </c>
      <c r="C152" s="1203" t="s">
        <v>32</v>
      </c>
      <c r="D152" s="1204"/>
      <c r="E152" s="1188" t="s">
        <v>245</v>
      </c>
      <c r="F152" s="1188"/>
      <c r="G152" s="1204" t="s">
        <v>35</v>
      </c>
      <c r="H152" s="1205"/>
      <c r="I152" s="1110" t="s">
        <v>924</v>
      </c>
      <c r="J152" s="915">
        <v>0.9</v>
      </c>
      <c r="K152" s="43" t="s">
        <v>26</v>
      </c>
      <c r="L152" s="44" t="s">
        <v>246</v>
      </c>
      <c r="M152" s="79"/>
      <c r="O152" s="37">
        <v>10</v>
      </c>
      <c r="P152" s="38" t="s">
        <v>243</v>
      </c>
    </row>
    <row r="153" spans="1:16" ht="30" customHeight="1" x14ac:dyDescent="0.2">
      <c r="A153" s="24"/>
      <c r="B153" s="1052"/>
      <c r="C153" s="137" t="s">
        <v>29</v>
      </c>
      <c r="D153" s="134"/>
      <c r="E153" s="1180" t="s">
        <v>31</v>
      </c>
      <c r="F153" s="1180"/>
      <c r="G153" s="1192" t="s">
        <v>27</v>
      </c>
      <c r="H153" s="1215"/>
      <c r="I153" s="1111"/>
      <c r="J153" s="1045"/>
      <c r="K153" s="43" t="s">
        <v>26</v>
      </c>
      <c r="L153" s="44" t="s">
        <v>246</v>
      </c>
      <c r="M153" s="79"/>
      <c r="O153" s="37">
        <v>10</v>
      </c>
      <c r="P153" s="38" t="s">
        <v>243</v>
      </c>
    </row>
    <row r="154" spans="1:16" ht="30" customHeight="1" x14ac:dyDescent="0.2">
      <c r="A154" s="24"/>
      <c r="B154" s="1053"/>
      <c r="C154" s="1194" t="s">
        <v>38</v>
      </c>
      <c r="D154" s="1177"/>
      <c r="E154" s="1213"/>
      <c r="F154" s="1213"/>
      <c r="G154" s="862"/>
      <c r="H154" s="863"/>
      <c r="I154" s="1112"/>
      <c r="J154" s="916"/>
      <c r="K154" s="43" t="s">
        <v>26</v>
      </c>
      <c r="L154" s="44" t="s">
        <v>246</v>
      </c>
      <c r="M154" s="79"/>
      <c r="O154" s="37">
        <v>10</v>
      </c>
      <c r="P154" s="38" t="s">
        <v>243</v>
      </c>
    </row>
    <row r="155" spans="1:16" s="139" customFormat="1" ht="39.950000000000003" customHeight="1" x14ac:dyDescent="0.2">
      <c r="A155" s="138"/>
      <c r="B155" s="1047" t="s">
        <v>40</v>
      </c>
      <c r="C155" s="1214" t="s">
        <v>42</v>
      </c>
      <c r="D155" s="1195"/>
      <c r="E155" s="1195" t="s">
        <v>44</v>
      </c>
      <c r="F155" s="1195"/>
      <c r="G155" s="1195" t="s">
        <v>45</v>
      </c>
      <c r="H155" s="1226"/>
      <c r="I155" s="1228" t="s">
        <v>924</v>
      </c>
      <c r="J155" s="915">
        <v>0.9</v>
      </c>
      <c r="K155" s="43" t="s">
        <v>40</v>
      </c>
      <c r="L155" s="44" t="s">
        <v>246</v>
      </c>
      <c r="M155" s="79"/>
      <c r="N155" s="46" t="s">
        <v>30</v>
      </c>
      <c r="O155" s="37">
        <v>10</v>
      </c>
      <c r="P155" s="38" t="s">
        <v>243</v>
      </c>
    </row>
    <row r="156" spans="1:16" s="139" customFormat="1" ht="39.950000000000003" customHeight="1" x14ac:dyDescent="0.2">
      <c r="A156" s="138"/>
      <c r="B156" s="1109"/>
      <c r="C156" s="1133" t="s">
        <v>55</v>
      </c>
      <c r="D156" s="1132"/>
      <c r="E156" s="1132" t="s">
        <v>47</v>
      </c>
      <c r="F156" s="1132"/>
      <c r="G156" s="1190" t="s">
        <v>48</v>
      </c>
      <c r="H156" s="1212"/>
      <c r="I156" s="1229"/>
      <c r="J156" s="1045"/>
      <c r="K156" s="43" t="s">
        <v>40</v>
      </c>
      <c r="L156" s="44" t="s">
        <v>246</v>
      </c>
      <c r="M156" s="79"/>
      <c r="N156" s="4"/>
      <c r="O156" s="37">
        <v>10</v>
      </c>
      <c r="P156" s="38" t="s">
        <v>243</v>
      </c>
    </row>
    <row r="157" spans="1:16" s="139" customFormat="1" ht="39.950000000000003" customHeight="1" x14ac:dyDescent="0.2">
      <c r="A157" s="138"/>
      <c r="B157" s="1109"/>
      <c r="C157" s="1211" t="s">
        <v>46</v>
      </c>
      <c r="D157" s="1190"/>
      <c r="E157" s="1132" t="s">
        <v>247</v>
      </c>
      <c r="F157" s="1132"/>
      <c r="G157" s="1132" t="s">
        <v>64</v>
      </c>
      <c r="H157" s="1134"/>
      <c r="I157" s="1229"/>
      <c r="J157" s="1045"/>
      <c r="K157" s="43" t="s">
        <v>40</v>
      </c>
      <c r="L157" s="44" t="s">
        <v>246</v>
      </c>
      <c r="M157" s="79"/>
      <c r="N157" s="4"/>
      <c r="O157" s="37">
        <v>10</v>
      </c>
      <c r="P157" s="38" t="s">
        <v>243</v>
      </c>
    </row>
    <row r="158" spans="1:16" s="139" customFormat="1" ht="50.1" customHeight="1" x14ac:dyDescent="0.2">
      <c r="A158" s="138"/>
      <c r="B158" s="1109"/>
      <c r="C158" s="1211" t="s">
        <v>49</v>
      </c>
      <c r="D158" s="1190"/>
      <c r="E158" s="1132" t="s">
        <v>62</v>
      </c>
      <c r="F158" s="1132"/>
      <c r="G158" s="1132" t="s">
        <v>54</v>
      </c>
      <c r="H158" s="1134"/>
      <c r="I158" s="1229"/>
      <c r="J158" s="1045"/>
      <c r="K158" s="43" t="s">
        <v>40</v>
      </c>
      <c r="L158" s="44" t="s">
        <v>246</v>
      </c>
      <c r="M158" s="79"/>
      <c r="N158" s="4"/>
      <c r="O158" s="37">
        <v>10</v>
      </c>
      <c r="P158" s="38" t="s">
        <v>243</v>
      </c>
    </row>
    <row r="159" spans="1:16" s="139" customFormat="1" ht="39.950000000000003" customHeight="1" x14ac:dyDescent="0.2">
      <c r="A159" s="138"/>
      <c r="B159" s="1109"/>
      <c r="C159" s="1132" t="s">
        <v>248</v>
      </c>
      <c r="D159" s="1132"/>
      <c r="E159" s="1132" t="s">
        <v>56</v>
      </c>
      <c r="F159" s="1132"/>
      <c r="G159" s="1132" t="s">
        <v>58</v>
      </c>
      <c r="H159" s="1134"/>
      <c r="I159" s="1229"/>
      <c r="J159" s="1045"/>
      <c r="K159" s="43" t="s">
        <v>40</v>
      </c>
      <c r="L159" s="44" t="s">
        <v>246</v>
      </c>
      <c r="M159" s="79"/>
      <c r="N159" s="4"/>
      <c r="O159" s="37">
        <v>10</v>
      </c>
      <c r="P159" s="38" t="s">
        <v>243</v>
      </c>
    </row>
    <row r="160" spans="1:16" ht="39.950000000000003" customHeight="1" x14ac:dyDescent="0.2">
      <c r="A160" s="49" t="s">
        <v>69</v>
      </c>
      <c r="B160" s="1048"/>
      <c r="C160" s="1206" t="s">
        <v>249</v>
      </c>
      <c r="D160" s="1207"/>
      <c r="E160" s="1207"/>
      <c r="F160" s="1207"/>
      <c r="G160" s="1207"/>
      <c r="H160" s="1222"/>
      <c r="I160" s="1230"/>
      <c r="J160" s="916"/>
      <c r="K160" s="43" t="s">
        <v>40</v>
      </c>
      <c r="L160" s="44" t="s">
        <v>246</v>
      </c>
      <c r="M160" s="79"/>
      <c r="O160" s="37">
        <v>10</v>
      </c>
      <c r="P160" s="38" t="s">
        <v>243</v>
      </c>
    </row>
    <row r="161" spans="1:16" ht="33" customHeight="1" x14ac:dyDescent="0.2">
      <c r="A161" s="138"/>
      <c r="B161" s="1047" t="s">
        <v>71</v>
      </c>
      <c r="C161" s="1187" t="s">
        <v>72</v>
      </c>
      <c r="D161" s="1188"/>
      <c r="E161" s="1188" t="s">
        <v>74</v>
      </c>
      <c r="F161" s="1188"/>
      <c r="G161" s="1188" t="s">
        <v>75</v>
      </c>
      <c r="H161" s="1189"/>
      <c r="I161" s="1110" t="s">
        <v>924</v>
      </c>
      <c r="J161" s="915">
        <v>0.85</v>
      </c>
      <c r="K161" s="43" t="s">
        <v>71</v>
      </c>
      <c r="L161" s="44" t="s">
        <v>246</v>
      </c>
      <c r="M161" s="79"/>
      <c r="N161" s="46" t="s">
        <v>30</v>
      </c>
      <c r="O161" s="37">
        <v>10</v>
      </c>
      <c r="P161" s="38" t="s">
        <v>243</v>
      </c>
    </row>
    <row r="162" spans="1:16" ht="33" customHeight="1" x14ac:dyDescent="0.2">
      <c r="A162" s="138"/>
      <c r="B162" s="1109"/>
      <c r="C162" s="968" t="s">
        <v>81</v>
      </c>
      <c r="D162" s="969"/>
      <c r="E162" s="969" t="s">
        <v>82</v>
      </c>
      <c r="F162" s="969"/>
      <c r="G162" s="1180" t="s">
        <v>80</v>
      </c>
      <c r="H162" s="1227"/>
      <c r="I162" s="1111"/>
      <c r="J162" s="1045"/>
      <c r="K162" s="43" t="s">
        <v>71</v>
      </c>
      <c r="L162" s="44" t="s">
        <v>246</v>
      </c>
      <c r="M162" s="79"/>
      <c r="O162" s="37">
        <v>10</v>
      </c>
      <c r="P162" s="38" t="s">
        <v>243</v>
      </c>
    </row>
    <row r="163" spans="1:16" ht="33" customHeight="1" x14ac:dyDescent="0.2">
      <c r="A163" s="138"/>
      <c r="B163" s="1109"/>
      <c r="C163" s="1211" t="s">
        <v>77</v>
      </c>
      <c r="D163" s="1190"/>
      <c r="E163" s="1190" t="s">
        <v>76</v>
      </c>
      <c r="F163" s="1190"/>
      <c r="G163" s="24" t="s">
        <v>78</v>
      </c>
      <c r="H163" s="123"/>
      <c r="I163" s="1111"/>
      <c r="J163" s="1045"/>
      <c r="K163" s="43" t="s">
        <v>71</v>
      </c>
      <c r="L163" s="44" t="s">
        <v>246</v>
      </c>
      <c r="M163" s="79"/>
      <c r="O163" s="37">
        <v>10</v>
      </c>
      <c r="P163" s="38" t="s">
        <v>243</v>
      </c>
    </row>
    <row r="164" spans="1:16" ht="33" customHeight="1" x14ac:dyDescent="0.2">
      <c r="A164" s="138"/>
      <c r="B164" s="1048"/>
      <c r="C164" s="1206" t="s">
        <v>39</v>
      </c>
      <c r="D164" s="1207"/>
      <c r="E164" s="140"/>
      <c r="F164" s="140"/>
      <c r="G164" s="24"/>
      <c r="H164" s="123"/>
      <c r="I164" s="1112"/>
      <c r="J164" s="916"/>
      <c r="K164" s="43"/>
      <c r="L164" s="44"/>
      <c r="M164" s="79"/>
      <c r="O164" s="37"/>
      <c r="P164" s="38"/>
    </row>
    <row r="165" spans="1:16" ht="30" customHeight="1" x14ac:dyDescent="0.2">
      <c r="A165" s="138"/>
      <c r="B165" s="60" t="s">
        <v>85</v>
      </c>
      <c r="C165" s="1208" t="s">
        <v>86</v>
      </c>
      <c r="D165" s="1209"/>
      <c r="E165" s="1209"/>
      <c r="F165" s="1209"/>
      <c r="G165" s="1209"/>
      <c r="H165" s="1210"/>
      <c r="I165" s="120" t="s">
        <v>924</v>
      </c>
      <c r="J165" s="121">
        <v>0.85</v>
      </c>
      <c r="K165" s="43" t="s">
        <v>85</v>
      </c>
      <c r="L165" s="44" t="s">
        <v>246</v>
      </c>
      <c r="M165" s="79"/>
      <c r="N165" s="46" t="s">
        <v>30</v>
      </c>
      <c r="O165" s="37">
        <v>10</v>
      </c>
      <c r="P165" s="38" t="s">
        <v>243</v>
      </c>
    </row>
    <row r="166" spans="1:16" ht="30" customHeight="1" x14ac:dyDescent="0.2">
      <c r="A166" s="138"/>
      <c r="B166" s="1047" t="s">
        <v>87</v>
      </c>
      <c r="C166" s="1214" t="s">
        <v>88</v>
      </c>
      <c r="D166" s="1195"/>
      <c r="E166" s="1195" t="s">
        <v>89</v>
      </c>
      <c r="F166" s="1195"/>
      <c r="G166" s="1195" t="s">
        <v>90</v>
      </c>
      <c r="H166" s="1226"/>
      <c r="I166" s="1110" t="s">
        <v>924</v>
      </c>
      <c r="J166" s="915">
        <v>0.85</v>
      </c>
      <c r="K166" s="43" t="s">
        <v>87</v>
      </c>
      <c r="L166" s="44" t="s">
        <v>246</v>
      </c>
      <c r="M166" s="79"/>
      <c r="N166" s="46" t="s">
        <v>30</v>
      </c>
      <c r="O166" s="37">
        <v>10</v>
      </c>
      <c r="P166" s="38" t="s">
        <v>243</v>
      </c>
    </row>
    <row r="167" spans="1:16" ht="30" customHeight="1" x14ac:dyDescent="0.2">
      <c r="A167" s="138"/>
      <c r="B167" s="1048"/>
      <c r="C167" s="1206" t="s">
        <v>93</v>
      </c>
      <c r="D167" s="1207"/>
      <c r="E167" s="1207" t="s">
        <v>92</v>
      </c>
      <c r="F167" s="1207"/>
      <c r="G167" s="1207" t="s">
        <v>96</v>
      </c>
      <c r="H167" s="1222"/>
      <c r="I167" s="1112"/>
      <c r="J167" s="916"/>
      <c r="K167" s="43" t="s">
        <v>87</v>
      </c>
      <c r="L167" s="44" t="s">
        <v>246</v>
      </c>
      <c r="M167" s="79"/>
      <c r="N167" s="23"/>
      <c r="O167" s="37">
        <v>10</v>
      </c>
      <c r="P167" s="38" t="s">
        <v>243</v>
      </c>
    </row>
    <row r="168" spans="1:16" ht="20.100000000000001" customHeight="1" x14ac:dyDescent="0.2">
      <c r="A168" s="24"/>
      <c r="B168" s="125"/>
      <c r="C168" s="134"/>
      <c r="D168" s="134"/>
      <c r="E168" s="134"/>
      <c r="F168" s="134"/>
      <c r="G168" s="134"/>
      <c r="H168" s="134"/>
      <c r="I168" s="141"/>
      <c r="J168" s="142"/>
      <c r="L168" s="143"/>
      <c r="M168" s="22"/>
      <c r="N168" s="23"/>
      <c r="O168" s="143"/>
      <c r="P168" s="24"/>
    </row>
    <row r="169" spans="1:16" ht="30" customHeight="1" x14ac:dyDescent="0.2">
      <c r="A169" s="24"/>
      <c r="B169" s="972" t="s">
        <v>250</v>
      </c>
      <c r="C169" s="975"/>
      <c r="D169" s="975"/>
      <c r="E169" s="975"/>
      <c r="F169" s="975"/>
      <c r="G169" s="975"/>
      <c r="H169" s="975"/>
      <c r="I169" s="144" t="s">
        <v>17</v>
      </c>
      <c r="J169" s="35" t="s">
        <v>251</v>
      </c>
      <c r="N169" s="46" t="s">
        <v>30</v>
      </c>
    </row>
    <row r="170" spans="1:16" ht="45.75" customHeight="1" x14ac:dyDescent="0.2">
      <c r="A170" s="24"/>
      <c r="B170" s="1116" t="s">
        <v>252</v>
      </c>
      <c r="C170" s="1034"/>
      <c r="D170" s="1034"/>
      <c r="E170" s="1034"/>
      <c r="F170" s="1034"/>
      <c r="G170" s="1034"/>
      <c r="H170" s="1034"/>
      <c r="I170" s="145" t="s">
        <v>253</v>
      </c>
      <c r="J170" s="146" t="s">
        <v>253</v>
      </c>
      <c r="L170" s="4"/>
      <c r="N170" s="23"/>
      <c r="O170" s="4"/>
    </row>
    <row r="171" spans="1:16" ht="20.100000000000001" customHeight="1" x14ac:dyDescent="0.2">
      <c r="A171" s="24"/>
      <c r="B171" s="85"/>
      <c r="C171" s="85"/>
      <c r="D171" s="85"/>
      <c r="E171" s="85"/>
      <c r="F171" s="85"/>
      <c r="G171" s="85"/>
      <c r="H171" s="85"/>
      <c r="I171" s="147"/>
      <c r="J171" s="128"/>
      <c r="L171" s="4"/>
      <c r="N171" s="23"/>
      <c r="O171" s="4"/>
    </row>
    <row r="172" spans="1:16" s="45" customFormat="1" ht="30" customHeight="1" x14ac:dyDescent="0.2">
      <c r="B172" s="1223" t="s">
        <v>254</v>
      </c>
      <c r="C172" s="1223"/>
      <c r="D172" s="1223"/>
      <c r="E172" s="1223"/>
      <c r="F172" s="1223"/>
      <c r="G172" s="1223"/>
      <c r="H172" s="1223"/>
      <c r="I172" s="34" t="s">
        <v>130</v>
      </c>
      <c r="J172" s="35" t="s">
        <v>18</v>
      </c>
      <c r="K172" s="148"/>
      <c r="L172" s="67"/>
      <c r="M172" s="68"/>
      <c r="N172" s="46" t="s">
        <v>30</v>
      </c>
      <c r="O172" s="67"/>
      <c r="P172" s="66"/>
    </row>
    <row r="173" spans="1:16" s="45" customFormat="1" ht="69.95" customHeight="1" x14ac:dyDescent="0.2">
      <c r="B173" s="1203" t="s">
        <v>255</v>
      </c>
      <c r="C173" s="1204"/>
      <c r="D173" s="1204"/>
      <c r="E173" s="1204"/>
      <c r="F173" s="1204"/>
      <c r="G173" s="1204"/>
      <c r="H173" s="1205"/>
      <c r="I173" s="1224" t="s">
        <v>256</v>
      </c>
      <c r="J173" s="1225" t="s">
        <v>256</v>
      </c>
      <c r="K173" s="148"/>
      <c r="L173" s="67"/>
      <c r="M173" s="68"/>
      <c r="N173" s="149"/>
      <c r="O173" s="67"/>
      <c r="P173" s="66"/>
    </row>
    <row r="174" spans="1:16" s="45" customFormat="1" ht="45.75" customHeight="1" x14ac:dyDescent="0.2">
      <c r="B174" s="861"/>
      <c r="C174" s="862"/>
      <c r="D174" s="862"/>
      <c r="E174" s="862"/>
      <c r="F174" s="862"/>
      <c r="G174" s="862"/>
      <c r="H174" s="863"/>
      <c r="I174" s="1224"/>
      <c r="J174" s="1225"/>
      <c r="K174" s="148"/>
      <c r="L174" s="67"/>
      <c r="M174" s="68"/>
      <c r="N174" s="149"/>
      <c r="O174" s="67"/>
      <c r="P174" s="66"/>
    </row>
    <row r="175" spans="1:16" ht="20.100000000000001" customHeight="1" x14ac:dyDescent="0.2">
      <c r="A175" s="24"/>
      <c r="B175" s="47"/>
      <c r="C175" s="150"/>
      <c r="D175" s="150"/>
      <c r="E175" s="150"/>
      <c r="F175" s="150"/>
      <c r="G175" s="150"/>
      <c r="H175" s="150"/>
      <c r="I175" s="147"/>
      <c r="J175" s="128"/>
      <c r="N175" s="23"/>
    </row>
    <row r="176" spans="1:16" ht="30" customHeight="1" x14ac:dyDescent="0.2">
      <c r="A176" s="24"/>
      <c r="B176" s="904" t="s">
        <v>257</v>
      </c>
      <c r="C176" s="905"/>
      <c r="D176" s="905"/>
      <c r="E176" s="905"/>
      <c r="F176" s="905"/>
      <c r="G176" s="905"/>
      <c r="H176" s="906"/>
      <c r="I176" s="34" t="s">
        <v>17</v>
      </c>
      <c r="J176" s="35" t="s">
        <v>18</v>
      </c>
      <c r="K176" s="36" t="s">
        <v>258</v>
      </c>
      <c r="L176" s="37">
        <v>11</v>
      </c>
      <c r="M176" s="22"/>
      <c r="N176" s="46" t="s">
        <v>30</v>
      </c>
      <c r="O176" s="37">
        <v>11</v>
      </c>
      <c r="P176" s="38" t="s">
        <v>259</v>
      </c>
    </row>
    <row r="177" spans="1:16" ht="30" customHeight="1" x14ac:dyDescent="0.2">
      <c r="A177" s="24"/>
      <c r="B177" s="979" t="s">
        <v>260</v>
      </c>
      <c r="C177" s="980"/>
      <c r="D177" s="980"/>
      <c r="E177" s="980"/>
      <c r="F177" s="980"/>
      <c r="G177" s="980"/>
      <c r="H177" s="980"/>
      <c r="I177" s="980"/>
      <c r="J177" s="981"/>
      <c r="L177" s="21"/>
      <c r="M177" s="22"/>
      <c r="N177" s="23"/>
      <c r="O177" s="37">
        <v>11</v>
      </c>
      <c r="P177" s="38" t="s">
        <v>259</v>
      </c>
    </row>
    <row r="178" spans="1:16" s="45" customFormat="1" ht="210.75" customHeight="1" x14ac:dyDescent="0.2">
      <c r="A178" s="39"/>
      <c r="B178" s="115" t="s">
        <v>22</v>
      </c>
      <c r="C178" s="1023" t="s">
        <v>261</v>
      </c>
      <c r="D178" s="1024"/>
      <c r="E178" s="1024"/>
      <c r="F178" s="1024"/>
      <c r="G178" s="1024"/>
      <c r="H178" s="1025"/>
      <c r="I178" s="41">
        <v>0</v>
      </c>
      <c r="J178" s="42">
        <v>1</v>
      </c>
      <c r="K178" s="43" t="s">
        <v>24</v>
      </c>
      <c r="L178" s="44" t="s">
        <v>262</v>
      </c>
      <c r="M178" s="4"/>
      <c r="N178" s="46" t="s">
        <v>30</v>
      </c>
      <c r="O178" s="37">
        <v>11</v>
      </c>
      <c r="P178" s="38" t="s">
        <v>259</v>
      </c>
    </row>
    <row r="179" spans="1:16" ht="30" customHeight="1" x14ac:dyDescent="0.2">
      <c r="A179" s="24"/>
      <c r="B179" s="1200" t="s">
        <v>26</v>
      </c>
      <c r="C179" s="1203" t="s">
        <v>32</v>
      </c>
      <c r="D179" s="1204"/>
      <c r="E179" s="1204" t="s">
        <v>245</v>
      </c>
      <c r="F179" s="1204"/>
      <c r="G179" s="1204" t="s">
        <v>35</v>
      </c>
      <c r="H179" s="1205"/>
      <c r="I179" s="1110">
        <v>0</v>
      </c>
      <c r="J179" s="915">
        <v>1</v>
      </c>
      <c r="K179" s="43" t="s">
        <v>26</v>
      </c>
      <c r="L179" s="44" t="s">
        <v>262</v>
      </c>
      <c r="M179" s="79"/>
      <c r="N179" s="46" t="s">
        <v>30</v>
      </c>
      <c r="O179" s="37">
        <v>11</v>
      </c>
      <c r="P179" s="38" t="s">
        <v>259</v>
      </c>
    </row>
    <row r="180" spans="1:16" ht="30" customHeight="1" x14ac:dyDescent="0.2">
      <c r="A180" s="24"/>
      <c r="B180" s="1201"/>
      <c r="C180" s="137" t="s">
        <v>29</v>
      </c>
      <c r="D180" s="134"/>
      <c r="E180" s="1180" t="s">
        <v>31</v>
      </c>
      <c r="F180" s="1180"/>
      <c r="G180" s="1192" t="s">
        <v>27</v>
      </c>
      <c r="H180" s="1215"/>
      <c r="I180" s="1111"/>
      <c r="J180" s="1045"/>
      <c r="K180" s="43" t="s">
        <v>26</v>
      </c>
      <c r="L180" s="44" t="s">
        <v>262</v>
      </c>
      <c r="M180" s="79"/>
      <c r="N180" s="23"/>
      <c r="O180" s="37">
        <v>11</v>
      </c>
      <c r="P180" s="38" t="s">
        <v>259</v>
      </c>
    </row>
    <row r="181" spans="1:16" ht="30" customHeight="1" x14ac:dyDescent="0.2">
      <c r="A181" s="24"/>
      <c r="B181" s="1202"/>
      <c r="C181" s="1116" t="s">
        <v>38</v>
      </c>
      <c r="D181" s="1034"/>
      <c r="E181" s="1213"/>
      <c r="F181" s="1213"/>
      <c r="G181" s="862"/>
      <c r="H181" s="863"/>
      <c r="I181" s="1112"/>
      <c r="J181" s="916"/>
      <c r="K181" s="43" t="s">
        <v>26</v>
      </c>
      <c r="L181" s="44" t="s">
        <v>262</v>
      </c>
      <c r="M181" s="79"/>
      <c r="N181" s="23"/>
      <c r="O181" s="37">
        <v>11</v>
      </c>
      <c r="P181" s="38" t="s">
        <v>259</v>
      </c>
    </row>
    <row r="182" spans="1:16" ht="39.950000000000003" customHeight="1" x14ac:dyDescent="0.2">
      <c r="A182" s="24"/>
      <c r="B182" s="1039" t="s">
        <v>40</v>
      </c>
      <c r="C182" s="1211" t="s">
        <v>42</v>
      </c>
      <c r="D182" s="1190"/>
      <c r="E182" s="1190" t="s">
        <v>45</v>
      </c>
      <c r="F182" s="1190"/>
      <c r="G182" s="1191" t="s">
        <v>64</v>
      </c>
      <c r="H182" s="1221"/>
      <c r="I182" s="1043">
        <v>0</v>
      </c>
      <c r="J182" s="1045">
        <v>1</v>
      </c>
      <c r="K182" s="43" t="s">
        <v>40</v>
      </c>
      <c r="L182" s="44" t="s">
        <v>262</v>
      </c>
      <c r="M182" s="79"/>
      <c r="N182" s="46" t="s">
        <v>30</v>
      </c>
      <c r="O182" s="37">
        <v>11</v>
      </c>
      <c r="P182" s="38" t="s">
        <v>259</v>
      </c>
    </row>
    <row r="183" spans="1:16" ht="39.950000000000003" customHeight="1" x14ac:dyDescent="0.2">
      <c r="A183" s="24"/>
      <c r="B183" s="1039"/>
      <c r="C183" s="1211" t="s">
        <v>44</v>
      </c>
      <c r="D183" s="1190"/>
      <c r="E183" s="1190" t="s">
        <v>48</v>
      </c>
      <c r="F183" s="1190"/>
      <c r="G183" s="1190" t="s">
        <v>46</v>
      </c>
      <c r="H183" s="1212"/>
      <c r="I183" s="1043"/>
      <c r="J183" s="1045"/>
      <c r="K183" s="43" t="s">
        <v>40</v>
      </c>
      <c r="L183" s="44" t="s">
        <v>262</v>
      </c>
      <c r="M183" s="79"/>
      <c r="O183" s="37">
        <v>11</v>
      </c>
      <c r="P183" s="38" t="s">
        <v>259</v>
      </c>
    </row>
    <row r="184" spans="1:16" ht="42.75" customHeight="1" x14ac:dyDescent="0.2">
      <c r="A184" s="24"/>
      <c r="B184" s="1039"/>
      <c r="C184" s="1133" t="s">
        <v>47</v>
      </c>
      <c r="D184" s="1132"/>
      <c r="E184" s="1190" t="s">
        <v>58</v>
      </c>
      <c r="F184" s="1190"/>
      <c r="G184" s="1190" t="s">
        <v>49</v>
      </c>
      <c r="H184" s="1212"/>
      <c r="I184" s="1043"/>
      <c r="J184" s="1045"/>
      <c r="K184" s="43" t="s">
        <v>40</v>
      </c>
      <c r="L184" s="44" t="s">
        <v>262</v>
      </c>
      <c r="M184" s="79"/>
      <c r="O184" s="37">
        <v>11</v>
      </c>
      <c r="P184" s="38" t="s">
        <v>259</v>
      </c>
    </row>
    <row r="185" spans="1:16" ht="50.1" customHeight="1" x14ac:dyDescent="0.2">
      <c r="A185" s="24"/>
      <c r="B185" s="1039"/>
      <c r="C185" s="1211" t="s">
        <v>62</v>
      </c>
      <c r="D185" s="1190"/>
      <c r="E185" s="1191" t="s">
        <v>54</v>
      </c>
      <c r="F185" s="1191"/>
      <c r="G185" s="1190" t="s">
        <v>68</v>
      </c>
      <c r="H185" s="1212"/>
      <c r="I185" s="1043"/>
      <c r="J185" s="1045"/>
      <c r="K185" s="43" t="s">
        <v>40</v>
      </c>
      <c r="L185" s="44" t="s">
        <v>262</v>
      </c>
      <c r="M185" s="79"/>
      <c r="O185" s="37">
        <v>11</v>
      </c>
      <c r="P185" s="38" t="s">
        <v>259</v>
      </c>
    </row>
    <row r="186" spans="1:16" ht="39.950000000000003" customHeight="1" x14ac:dyDescent="0.2">
      <c r="A186" s="24"/>
      <c r="B186" s="1039"/>
      <c r="C186" s="1133" t="s">
        <v>63</v>
      </c>
      <c r="D186" s="1132"/>
      <c r="E186" s="1191" t="s">
        <v>57</v>
      </c>
      <c r="F186" s="1191"/>
      <c r="G186" s="1132" t="s">
        <v>55</v>
      </c>
      <c r="H186" s="1134"/>
      <c r="I186" s="1043"/>
      <c r="J186" s="1045"/>
      <c r="K186" s="43" t="s">
        <v>40</v>
      </c>
      <c r="L186" s="44" t="s">
        <v>262</v>
      </c>
      <c r="M186" s="79"/>
      <c r="O186" s="37">
        <v>11</v>
      </c>
      <c r="P186" s="38" t="s">
        <v>259</v>
      </c>
    </row>
    <row r="187" spans="1:16" ht="39.950000000000003" customHeight="1" x14ac:dyDescent="0.2">
      <c r="A187" s="24"/>
      <c r="B187" s="1039"/>
      <c r="C187" s="1211" t="s">
        <v>56</v>
      </c>
      <c r="D187" s="1190"/>
      <c r="E187" s="1132"/>
      <c r="F187" s="1132"/>
      <c r="G187" s="24"/>
      <c r="H187" s="123"/>
      <c r="I187" s="1043"/>
      <c r="J187" s="1045"/>
      <c r="K187" s="43" t="s">
        <v>40</v>
      </c>
      <c r="L187" s="44" t="s">
        <v>262</v>
      </c>
      <c r="M187" s="79"/>
      <c r="O187" s="37">
        <v>11</v>
      </c>
      <c r="P187" s="38" t="s">
        <v>259</v>
      </c>
    </row>
    <row r="188" spans="1:16" ht="39.950000000000003" customHeight="1" x14ac:dyDescent="0.2">
      <c r="A188" s="49" t="s">
        <v>69</v>
      </c>
      <c r="B188" s="1005"/>
      <c r="C188" s="1206" t="s">
        <v>70</v>
      </c>
      <c r="D188" s="1207"/>
      <c r="E188" s="1207"/>
      <c r="F188" s="1207"/>
      <c r="G188" s="1207"/>
      <c r="H188" s="1222"/>
      <c r="I188" s="1044"/>
      <c r="J188" s="916"/>
      <c r="K188" s="43" t="s">
        <v>40</v>
      </c>
      <c r="L188" s="44" t="s">
        <v>262</v>
      </c>
      <c r="M188" s="79"/>
      <c r="O188" s="37">
        <v>11</v>
      </c>
      <c r="P188" s="38" t="s">
        <v>259</v>
      </c>
    </row>
    <row r="189" spans="1:16" ht="39.950000000000003" customHeight="1" x14ac:dyDescent="0.2">
      <c r="A189" s="24"/>
      <c r="B189" s="1004" t="s">
        <v>71</v>
      </c>
      <c r="C189" s="1187" t="s">
        <v>72</v>
      </c>
      <c r="D189" s="1188"/>
      <c r="E189" s="1188" t="s">
        <v>74</v>
      </c>
      <c r="F189" s="1188"/>
      <c r="G189" s="1188" t="s">
        <v>75</v>
      </c>
      <c r="H189" s="1189"/>
      <c r="I189" s="1110">
        <v>0</v>
      </c>
      <c r="J189" s="915">
        <v>0.95</v>
      </c>
      <c r="K189" s="43" t="s">
        <v>71</v>
      </c>
      <c r="L189" s="44" t="s">
        <v>262</v>
      </c>
      <c r="M189" s="79"/>
      <c r="N189" s="46" t="s">
        <v>30</v>
      </c>
      <c r="O189" s="37">
        <v>11</v>
      </c>
      <c r="P189" s="38" t="s">
        <v>259</v>
      </c>
    </row>
    <row r="190" spans="1:16" ht="30" customHeight="1" x14ac:dyDescent="0.2">
      <c r="A190" s="24"/>
      <c r="B190" s="1039"/>
      <c r="C190" s="1218" t="s">
        <v>76</v>
      </c>
      <c r="D190" s="1180"/>
      <c r="E190" s="1180" t="s">
        <v>80</v>
      </c>
      <c r="F190" s="1180"/>
      <c r="G190" s="969" t="s">
        <v>81</v>
      </c>
      <c r="H190" s="1193"/>
      <c r="I190" s="1111"/>
      <c r="J190" s="1045"/>
      <c r="K190" s="43" t="s">
        <v>71</v>
      </c>
      <c r="L190" s="44" t="s">
        <v>262</v>
      </c>
      <c r="M190" s="79"/>
      <c r="O190" s="37">
        <v>11</v>
      </c>
      <c r="P190" s="38" t="s">
        <v>259</v>
      </c>
    </row>
    <row r="191" spans="1:16" ht="30" customHeight="1" x14ac:dyDescent="0.2">
      <c r="A191" s="24"/>
      <c r="B191" s="1039"/>
      <c r="C191" s="968" t="s">
        <v>82</v>
      </c>
      <c r="D191" s="969"/>
      <c r="E191" s="1219" t="s">
        <v>77</v>
      </c>
      <c r="F191" s="1219"/>
      <c r="G191" s="1219" t="s">
        <v>78</v>
      </c>
      <c r="H191" s="1220"/>
      <c r="I191" s="1111"/>
      <c r="J191" s="1045"/>
      <c r="K191" s="43" t="s">
        <v>71</v>
      </c>
      <c r="L191" s="44" t="s">
        <v>262</v>
      </c>
      <c r="M191" s="79"/>
      <c r="O191" s="37">
        <v>11</v>
      </c>
      <c r="P191" s="38" t="s">
        <v>259</v>
      </c>
    </row>
    <row r="192" spans="1:16" ht="30" customHeight="1" x14ac:dyDescent="0.2">
      <c r="A192" s="24"/>
      <c r="B192" s="1005"/>
      <c r="C192" s="861" t="s">
        <v>39</v>
      </c>
      <c r="D192" s="862"/>
      <c r="E192" s="151"/>
      <c r="F192" s="151"/>
      <c r="G192" s="151"/>
      <c r="H192" s="152"/>
      <c r="I192" s="1112"/>
      <c r="J192" s="916"/>
      <c r="K192" s="43"/>
      <c r="L192" s="44"/>
      <c r="M192" s="79"/>
      <c r="O192" s="37"/>
      <c r="P192" s="38"/>
    </row>
    <row r="193" spans="1:16" ht="39.950000000000003" customHeight="1" x14ac:dyDescent="0.2">
      <c r="A193" s="24"/>
      <c r="B193" s="153" t="s">
        <v>85</v>
      </c>
      <c r="C193" s="1211" t="s">
        <v>86</v>
      </c>
      <c r="D193" s="1190"/>
      <c r="E193" s="1195"/>
      <c r="F193" s="1195"/>
      <c r="G193" s="1195"/>
      <c r="H193" s="1195"/>
      <c r="I193" s="154">
        <v>0</v>
      </c>
      <c r="J193" s="121">
        <v>0.95</v>
      </c>
      <c r="K193" s="43" t="s">
        <v>85</v>
      </c>
      <c r="L193" s="44" t="s">
        <v>262</v>
      </c>
      <c r="M193" s="79"/>
      <c r="N193" s="46" t="s">
        <v>30</v>
      </c>
      <c r="O193" s="37">
        <v>11</v>
      </c>
      <c r="P193" s="38" t="s">
        <v>259</v>
      </c>
    </row>
    <row r="194" spans="1:16" ht="39.950000000000003" customHeight="1" x14ac:dyDescent="0.2">
      <c r="A194" s="24"/>
      <c r="B194" s="1004" t="s">
        <v>87</v>
      </c>
      <c r="C194" s="1217" t="s">
        <v>88</v>
      </c>
      <c r="D194" s="1016"/>
      <c r="E194" s="1016" t="s">
        <v>89</v>
      </c>
      <c r="F194" s="1016"/>
      <c r="G194" s="1016" t="s">
        <v>90</v>
      </c>
      <c r="H194" s="1125"/>
      <c r="I194" s="1042">
        <v>0</v>
      </c>
      <c r="J194" s="915">
        <v>0.95</v>
      </c>
      <c r="K194" s="43" t="s">
        <v>87</v>
      </c>
      <c r="L194" s="44" t="s">
        <v>262</v>
      </c>
      <c r="M194" s="79"/>
      <c r="N194" s="46" t="s">
        <v>30</v>
      </c>
      <c r="O194" s="37">
        <v>11</v>
      </c>
      <c r="P194" s="38" t="s">
        <v>259</v>
      </c>
    </row>
    <row r="195" spans="1:16" ht="30" customHeight="1" x14ac:dyDescent="0.2">
      <c r="A195" s="24"/>
      <c r="B195" s="1039"/>
      <c r="C195" s="1216" t="s">
        <v>92</v>
      </c>
      <c r="D195" s="1108"/>
      <c r="E195" s="1022" t="s">
        <v>93</v>
      </c>
      <c r="F195" s="1022"/>
      <c r="G195" s="1022" t="s">
        <v>94</v>
      </c>
      <c r="H195" s="1028"/>
      <c r="I195" s="1043"/>
      <c r="J195" s="1045"/>
      <c r="K195" s="43" t="s">
        <v>87</v>
      </c>
      <c r="L195" s="44" t="s">
        <v>262</v>
      </c>
      <c r="M195" s="79"/>
      <c r="O195" s="37">
        <v>11</v>
      </c>
      <c r="P195" s="38" t="s">
        <v>259</v>
      </c>
    </row>
    <row r="196" spans="1:16" ht="30" customHeight="1" x14ac:dyDescent="0.2">
      <c r="A196" s="24"/>
      <c r="B196" s="1039"/>
      <c r="C196" s="155" t="s">
        <v>98</v>
      </c>
      <c r="D196" s="139"/>
      <c r="E196" s="85"/>
      <c r="F196" s="85"/>
      <c r="G196" s="85"/>
      <c r="H196" s="156"/>
      <c r="I196" s="1043"/>
      <c r="J196" s="1045"/>
      <c r="K196" s="43" t="s">
        <v>87</v>
      </c>
      <c r="L196" s="44" t="s">
        <v>262</v>
      </c>
      <c r="M196" s="79"/>
      <c r="O196" s="37">
        <v>11</v>
      </c>
      <c r="P196" s="38" t="s">
        <v>259</v>
      </c>
    </row>
    <row r="197" spans="1:16" ht="39.75" customHeight="1" x14ac:dyDescent="0.2">
      <c r="A197" s="24"/>
      <c r="B197" s="1005"/>
      <c r="C197" s="1116" t="s">
        <v>263</v>
      </c>
      <c r="D197" s="1034"/>
      <c r="E197" s="1034"/>
      <c r="F197" s="1034"/>
      <c r="G197" s="1034"/>
      <c r="H197" s="1035"/>
      <c r="I197" s="1044"/>
      <c r="J197" s="916"/>
      <c r="K197" s="43" t="s">
        <v>87</v>
      </c>
      <c r="L197" s="44" t="s">
        <v>262</v>
      </c>
      <c r="M197" s="79"/>
      <c r="O197" s="37">
        <v>11</v>
      </c>
      <c r="P197" s="38" t="s">
        <v>259</v>
      </c>
    </row>
    <row r="198" spans="1:16" ht="30" customHeight="1" x14ac:dyDescent="0.2">
      <c r="B198" s="941" t="s">
        <v>264</v>
      </c>
      <c r="C198" s="942"/>
      <c r="D198" s="942"/>
      <c r="E198" s="942"/>
      <c r="F198" s="942"/>
      <c r="G198" s="942"/>
      <c r="H198" s="942"/>
      <c r="I198" s="942"/>
      <c r="J198" s="943"/>
      <c r="N198" s="46" t="s">
        <v>30</v>
      </c>
      <c r="O198" s="37">
        <v>11</v>
      </c>
      <c r="P198" s="157" t="s">
        <v>265</v>
      </c>
    </row>
    <row r="199" spans="1:16" ht="30" customHeight="1" x14ac:dyDescent="0.2">
      <c r="B199" s="1200" t="s">
        <v>26</v>
      </c>
      <c r="C199" s="1203" t="s">
        <v>32</v>
      </c>
      <c r="D199" s="1204"/>
      <c r="E199" s="1204" t="s">
        <v>170</v>
      </c>
      <c r="F199" s="1204"/>
      <c r="G199" s="1204" t="s">
        <v>35</v>
      </c>
      <c r="H199" s="1205"/>
      <c r="I199" s="1110" t="s">
        <v>924</v>
      </c>
      <c r="J199" s="915">
        <v>0.9</v>
      </c>
      <c r="K199" s="43" t="s">
        <v>26</v>
      </c>
      <c r="L199" s="44" t="s">
        <v>266</v>
      </c>
      <c r="M199" s="79"/>
      <c r="O199" s="37">
        <v>11</v>
      </c>
      <c r="P199" s="157" t="s">
        <v>265</v>
      </c>
    </row>
    <row r="200" spans="1:16" ht="30" customHeight="1" x14ac:dyDescent="0.2">
      <c r="B200" s="1201"/>
      <c r="C200" s="968" t="s">
        <v>29</v>
      </c>
      <c r="D200" s="969"/>
      <c r="E200" s="1180" t="s">
        <v>31</v>
      </c>
      <c r="F200" s="1180"/>
      <c r="G200" s="1192" t="s">
        <v>27</v>
      </c>
      <c r="H200" s="1215"/>
      <c r="I200" s="1111"/>
      <c r="J200" s="1045"/>
      <c r="K200" s="43" t="s">
        <v>26</v>
      </c>
      <c r="L200" s="44" t="s">
        <v>266</v>
      </c>
      <c r="M200" s="79"/>
      <c r="O200" s="37">
        <v>11</v>
      </c>
      <c r="P200" s="157" t="s">
        <v>265</v>
      </c>
    </row>
    <row r="201" spans="1:16" ht="30" customHeight="1" x14ac:dyDescent="0.2">
      <c r="B201" s="1202"/>
      <c r="C201" s="1116" t="s">
        <v>38</v>
      </c>
      <c r="D201" s="1034"/>
      <c r="E201" s="1213"/>
      <c r="F201" s="1213"/>
      <c r="G201" s="862"/>
      <c r="H201" s="863"/>
      <c r="I201" s="1112"/>
      <c r="J201" s="916"/>
      <c r="K201" s="43" t="s">
        <v>26</v>
      </c>
      <c r="L201" s="44" t="s">
        <v>266</v>
      </c>
      <c r="M201" s="79"/>
      <c r="O201" s="37">
        <v>11</v>
      </c>
      <c r="P201" s="157" t="s">
        <v>265</v>
      </c>
    </row>
    <row r="202" spans="1:16" ht="39.950000000000003" customHeight="1" x14ac:dyDescent="0.2">
      <c r="B202" s="1047" t="s">
        <v>40</v>
      </c>
      <c r="C202" s="1214" t="s">
        <v>42</v>
      </c>
      <c r="D202" s="1195"/>
      <c r="E202" s="1195" t="s">
        <v>45</v>
      </c>
      <c r="F202" s="1195"/>
      <c r="G202" s="1130" t="s">
        <v>56</v>
      </c>
      <c r="H202" s="1130"/>
      <c r="I202" s="1110" t="s">
        <v>924</v>
      </c>
      <c r="J202" s="915">
        <v>0.9</v>
      </c>
      <c r="K202" s="43" t="s">
        <v>40</v>
      </c>
      <c r="L202" s="44" t="s">
        <v>266</v>
      </c>
      <c r="M202" s="79"/>
      <c r="N202" s="46" t="s">
        <v>30</v>
      </c>
      <c r="O202" s="37">
        <v>11</v>
      </c>
      <c r="P202" s="157" t="s">
        <v>265</v>
      </c>
    </row>
    <row r="203" spans="1:16" ht="39.950000000000003" customHeight="1" x14ac:dyDescent="0.2">
      <c r="B203" s="1109"/>
      <c r="C203" s="1211" t="s">
        <v>44</v>
      </c>
      <c r="D203" s="1190"/>
      <c r="E203" s="1190" t="s">
        <v>48</v>
      </c>
      <c r="F203" s="1190"/>
      <c r="G203" s="1190" t="s">
        <v>46</v>
      </c>
      <c r="H203" s="1190"/>
      <c r="I203" s="1111"/>
      <c r="J203" s="1045"/>
      <c r="K203" s="43" t="s">
        <v>40</v>
      </c>
      <c r="L203" s="44" t="s">
        <v>266</v>
      </c>
      <c r="M203" s="79"/>
      <c r="O203" s="37">
        <v>11</v>
      </c>
      <c r="P203" s="157" t="s">
        <v>265</v>
      </c>
    </row>
    <row r="204" spans="1:16" ht="30" customHeight="1" x14ac:dyDescent="0.2">
      <c r="B204" s="1109"/>
      <c r="C204" s="1133" t="s">
        <v>47</v>
      </c>
      <c r="D204" s="1132"/>
      <c r="E204" s="1190" t="s">
        <v>267</v>
      </c>
      <c r="F204" s="1190"/>
      <c r="G204" s="1190" t="s">
        <v>49</v>
      </c>
      <c r="H204" s="1190"/>
      <c r="I204" s="1111"/>
      <c r="J204" s="1045"/>
      <c r="K204" s="43" t="s">
        <v>40</v>
      </c>
      <c r="L204" s="44" t="s">
        <v>266</v>
      </c>
      <c r="M204" s="79"/>
      <c r="O204" s="37">
        <v>11</v>
      </c>
      <c r="P204" s="157" t="s">
        <v>265</v>
      </c>
    </row>
    <row r="205" spans="1:16" ht="50.1" customHeight="1" x14ac:dyDescent="0.2">
      <c r="B205" s="1109"/>
      <c r="C205" s="1133" t="s">
        <v>62</v>
      </c>
      <c r="D205" s="1132"/>
      <c r="E205" s="1132" t="s">
        <v>54</v>
      </c>
      <c r="F205" s="1132"/>
      <c r="G205" s="1132" t="s">
        <v>68</v>
      </c>
      <c r="H205" s="1134"/>
      <c r="I205" s="1111"/>
      <c r="J205" s="1045"/>
      <c r="K205" s="43" t="s">
        <v>40</v>
      </c>
      <c r="L205" s="44" t="s">
        <v>266</v>
      </c>
      <c r="M205" s="79"/>
      <c r="O205" s="37">
        <v>11</v>
      </c>
      <c r="P205" s="157" t="s">
        <v>265</v>
      </c>
    </row>
    <row r="206" spans="1:16" ht="39.950000000000003" customHeight="1" x14ac:dyDescent="0.2">
      <c r="B206" s="1109"/>
      <c r="C206" s="1132" t="s">
        <v>64</v>
      </c>
      <c r="D206" s="1132"/>
      <c r="E206" s="1132" t="s">
        <v>58</v>
      </c>
      <c r="F206" s="1132"/>
      <c r="G206" s="1132" t="s">
        <v>55</v>
      </c>
      <c r="H206" s="1132"/>
      <c r="I206" s="1111"/>
      <c r="J206" s="1045"/>
      <c r="K206" s="43" t="s">
        <v>40</v>
      </c>
      <c r="L206" s="44" t="s">
        <v>266</v>
      </c>
      <c r="M206" s="79"/>
      <c r="O206" s="37">
        <v>11</v>
      </c>
      <c r="P206" s="157" t="s">
        <v>265</v>
      </c>
    </row>
    <row r="207" spans="1:16" ht="39.950000000000003" customHeight="1" x14ac:dyDescent="0.2">
      <c r="A207" s="49" t="s">
        <v>69</v>
      </c>
      <c r="B207" s="1048"/>
      <c r="C207" s="1206" t="s">
        <v>70</v>
      </c>
      <c r="D207" s="1207"/>
      <c r="E207" s="1207"/>
      <c r="F207" s="1207"/>
      <c r="G207" s="1207"/>
      <c r="H207" s="1207"/>
      <c r="I207" s="1112"/>
      <c r="J207" s="916"/>
      <c r="K207" s="43" t="s">
        <v>40</v>
      </c>
      <c r="L207" s="44" t="s">
        <v>266</v>
      </c>
      <c r="M207" s="79"/>
      <c r="O207" s="37">
        <v>11</v>
      </c>
      <c r="P207" s="157" t="s">
        <v>265</v>
      </c>
    </row>
    <row r="208" spans="1:16" ht="39.950000000000003" customHeight="1" x14ac:dyDescent="0.2">
      <c r="B208" s="1047" t="s">
        <v>71</v>
      </c>
      <c r="C208" s="1187" t="s">
        <v>72</v>
      </c>
      <c r="D208" s="1188"/>
      <c r="E208" s="1188" t="s">
        <v>74</v>
      </c>
      <c r="F208" s="1188"/>
      <c r="G208" s="1188" t="s">
        <v>80</v>
      </c>
      <c r="H208" s="1189"/>
      <c r="I208" s="1110" t="s">
        <v>924</v>
      </c>
      <c r="J208" s="915">
        <v>0.85</v>
      </c>
      <c r="K208" s="43" t="s">
        <v>71</v>
      </c>
      <c r="L208" s="44" t="s">
        <v>266</v>
      </c>
      <c r="M208" s="79"/>
      <c r="N208" s="46" t="s">
        <v>30</v>
      </c>
      <c r="O208" s="37">
        <v>11</v>
      </c>
      <c r="P208" s="157" t="s">
        <v>265</v>
      </c>
    </row>
    <row r="209" spans="1:16" ht="39.950000000000003" customHeight="1" x14ac:dyDescent="0.2">
      <c r="B209" s="1109"/>
      <c r="C209" s="158" t="s">
        <v>75</v>
      </c>
      <c r="D209" s="24"/>
      <c r="E209" s="969" t="s">
        <v>81</v>
      </c>
      <c r="F209" s="969"/>
      <c r="G209" s="969" t="s">
        <v>82</v>
      </c>
      <c r="H209" s="1193"/>
      <c r="I209" s="1111"/>
      <c r="J209" s="1045"/>
      <c r="K209" s="43" t="s">
        <v>71</v>
      </c>
      <c r="L209" s="44" t="s">
        <v>266</v>
      </c>
      <c r="M209" s="79"/>
      <c r="O209" s="37">
        <v>11</v>
      </c>
      <c r="P209" s="157" t="s">
        <v>265</v>
      </c>
    </row>
    <row r="210" spans="1:16" ht="35.25" customHeight="1" x14ac:dyDescent="0.2">
      <c r="B210" s="1109"/>
      <c r="C210" s="1144" t="s">
        <v>77</v>
      </c>
      <c r="D210" s="1145"/>
      <c r="E210" s="1145" t="s">
        <v>76</v>
      </c>
      <c r="F210" s="1145"/>
      <c r="G210" s="969" t="s">
        <v>78</v>
      </c>
      <c r="H210" s="1193"/>
      <c r="I210" s="1111"/>
      <c r="J210" s="1045"/>
      <c r="K210" s="43" t="s">
        <v>71</v>
      </c>
      <c r="L210" s="44" t="s">
        <v>266</v>
      </c>
      <c r="M210" s="79"/>
      <c r="O210" s="37">
        <v>11</v>
      </c>
      <c r="P210" s="157" t="s">
        <v>265</v>
      </c>
    </row>
    <row r="211" spans="1:16" ht="34.5" customHeight="1" x14ac:dyDescent="0.2">
      <c r="B211" s="1048"/>
      <c r="C211" s="1144" t="s">
        <v>39</v>
      </c>
      <c r="D211" s="1145"/>
      <c r="E211" s="159"/>
      <c r="F211" s="159"/>
      <c r="G211" s="134"/>
      <c r="H211" s="160"/>
      <c r="I211" s="1112"/>
      <c r="J211" s="916"/>
      <c r="K211" s="43"/>
      <c r="L211" s="44"/>
      <c r="M211" s="79"/>
      <c r="O211" s="37"/>
      <c r="P211" s="157"/>
    </row>
    <row r="212" spans="1:16" ht="39.950000000000003" customHeight="1" x14ac:dyDescent="0.2">
      <c r="B212" s="161" t="s">
        <v>85</v>
      </c>
      <c r="C212" s="1208" t="s">
        <v>86</v>
      </c>
      <c r="D212" s="1209"/>
      <c r="E212" s="1209"/>
      <c r="F212" s="1209"/>
      <c r="G212" s="1209"/>
      <c r="H212" s="1210"/>
      <c r="I212" s="120" t="s">
        <v>924</v>
      </c>
      <c r="J212" s="121">
        <v>0.85</v>
      </c>
      <c r="K212" s="43" t="s">
        <v>85</v>
      </c>
      <c r="L212" s="44" t="s">
        <v>266</v>
      </c>
      <c r="M212" s="79"/>
      <c r="N212" s="46" t="s">
        <v>30</v>
      </c>
      <c r="O212" s="37">
        <v>11</v>
      </c>
      <c r="P212" s="157" t="s">
        <v>265</v>
      </c>
    </row>
    <row r="213" spans="1:16" ht="30" customHeight="1" x14ac:dyDescent="0.2">
      <c r="B213" s="1004" t="s">
        <v>87</v>
      </c>
      <c r="C213" s="1211" t="s">
        <v>88</v>
      </c>
      <c r="D213" s="1190"/>
      <c r="E213" s="1190" t="s">
        <v>89</v>
      </c>
      <c r="F213" s="1190"/>
      <c r="G213" s="1190" t="s">
        <v>90</v>
      </c>
      <c r="H213" s="1212"/>
      <c r="I213" s="1042" t="s">
        <v>924</v>
      </c>
      <c r="J213" s="915">
        <v>0.85</v>
      </c>
      <c r="K213" s="43" t="s">
        <v>87</v>
      </c>
      <c r="L213" s="44" t="s">
        <v>266</v>
      </c>
      <c r="M213" s="79"/>
      <c r="N213" s="46" t="s">
        <v>30</v>
      </c>
      <c r="O213" s="37">
        <v>11</v>
      </c>
      <c r="P213" s="157" t="s">
        <v>265</v>
      </c>
    </row>
    <row r="214" spans="1:16" ht="30" customHeight="1" x14ac:dyDescent="0.2">
      <c r="B214" s="1005"/>
      <c r="C214" s="1206" t="s">
        <v>92</v>
      </c>
      <c r="D214" s="1207"/>
      <c r="E214" s="1207" t="s">
        <v>93</v>
      </c>
      <c r="F214" s="1207"/>
      <c r="G214" s="1182"/>
      <c r="H214" s="1183"/>
      <c r="I214" s="1044"/>
      <c r="J214" s="916"/>
      <c r="K214" s="43" t="s">
        <v>87</v>
      </c>
      <c r="L214" s="44" t="s">
        <v>266</v>
      </c>
      <c r="M214" s="79"/>
      <c r="O214" s="37">
        <v>11</v>
      </c>
      <c r="P214" s="157" t="s">
        <v>265</v>
      </c>
    </row>
    <row r="215" spans="1:16" ht="20.100000000000001" customHeight="1" x14ac:dyDescent="0.2">
      <c r="B215" s="162"/>
      <c r="C215" s="140"/>
      <c r="D215" s="140"/>
      <c r="E215" s="140"/>
      <c r="F215" s="140"/>
      <c r="G215" s="139"/>
      <c r="H215" s="139"/>
      <c r="I215" s="127"/>
      <c r="J215" s="128"/>
      <c r="K215" s="18"/>
      <c r="L215" s="58"/>
      <c r="M215" s="79"/>
      <c r="O215" s="4"/>
      <c r="P215" s="59"/>
    </row>
    <row r="216" spans="1:16" ht="30" customHeight="1" x14ac:dyDescent="0.2">
      <c r="A216" s="24"/>
      <c r="B216" s="904" t="s">
        <v>268</v>
      </c>
      <c r="C216" s="905"/>
      <c r="D216" s="905"/>
      <c r="E216" s="905"/>
      <c r="F216" s="905"/>
      <c r="G216" s="905"/>
      <c r="H216" s="906"/>
      <c r="I216" s="34" t="s">
        <v>17</v>
      </c>
      <c r="J216" s="35" t="s">
        <v>18</v>
      </c>
      <c r="K216" s="18"/>
      <c r="L216" s="4"/>
      <c r="M216" s="22"/>
      <c r="N216" s="46" t="s">
        <v>30</v>
      </c>
      <c r="O216" s="4"/>
      <c r="P216" s="59"/>
    </row>
    <row r="217" spans="1:16" ht="30" customHeight="1" x14ac:dyDescent="0.2">
      <c r="B217" s="949" t="s">
        <v>269</v>
      </c>
      <c r="C217" s="950"/>
      <c r="D217" s="950"/>
      <c r="E217" s="950"/>
      <c r="F217" s="950"/>
      <c r="G217" s="950"/>
      <c r="H217" s="950"/>
      <c r="I217" s="950"/>
      <c r="J217" s="951"/>
      <c r="K217" s="18"/>
      <c r="L217" s="4"/>
      <c r="O217" s="4"/>
      <c r="P217" s="59"/>
    </row>
    <row r="218" spans="1:16" ht="54.75" customHeight="1" x14ac:dyDescent="0.2">
      <c r="B218" s="1169" t="s">
        <v>270</v>
      </c>
      <c r="C218" s="1170"/>
      <c r="D218" s="1170"/>
      <c r="E218" s="1170"/>
      <c r="F218" s="1170"/>
      <c r="G218" s="1170"/>
      <c r="H218" s="1170"/>
      <c r="I218" s="1170"/>
      <c r="J218" s="1171"/>
      <c r="K218" s="18"/>
      <c r="L218" s="58"/>
      <c r="M218" s="79"/>
      <c r="O218" s="4"/>
      <c r="P218" s="59"/>
    </row>
    <row r="219" spans="1:16" ht="45" customHeight="1" x14ac:dyDescent="0.2">
      <c r="B219" s="163" t="s">
        <v>22</v>
      </c>
      <c r="C219" s="1166" t="s">
        <v>271</v>
      </c>
      <c r="D219" s="1167"/>
      <c r="E219" s="1167" t="s">
        <v>272</v>
      </c>
      <c r="F219" s="1167"/>
      <c r="G219" s="1167" t="s">
        <v>136</v>
      </c>
      <c r="H219" s="1168"/>
      <c r="I219" s="164">
        <v>0</v>
      </c>
      <c r="J219" s="165">
        <v>1</v>
      </c>
      <c r="K219" s="18"/>
      <c r="L219" s="58"/>
      <c r="M219" s="79"/>
      <c r="O219" s="4"/>
      <c r="P219" s="59"/>
    </row>
    <row r="220" spans="1:16" ht="30" customHeight="1" x14ac:dyDescent="0.2">
      <c r="B220" s="1200" t="s">
        <v>26</v>
      </c>
      <c r="C220" s="1203" t="s">
        <v>32</v>
      </c>
      <c r="D220" s="1204"/>
      <c r="E220" s="1204" t="s">
        <v>78</v>
      </c>
      <c r="F220" s="1204"/>
      <c r="G220" s="1204" t="s">
        <v>29</v>
      </c>
      <c r="H220" s="1205"/>
      <c r="I220" s="1042">
        <v>0</v>
      </c>
      <c r="J220" s="1175">
        <v>1</v>
      </c>
      <c r="K220" s="18"/>
      <c r="L220" s="58"/>
      <c r="M220" s="79"/>
      <c r="N220" s="46" t="s">
        <v>30</v>
      </c>
      <c r="O220" s="4"/>
      <c r="P220" s="59"/>
    </row>
    <row r="221" spans="1:16" ht="30" customHeight="1" x14ac:dyDescent="0.2">
      <c r="B221" s="1201"/>
      <c r="C221" s="968" t="s">
        <v>273</v>
      </c>
      <c r="D221" s="969"/>
      <c r="E221" s="1192" t="s">
        <v>31</v>
      </c>
      <c r="F221" s="1192"/>
      <c r="G221" s="969" t="s">
        <v>27</v>
      </c>
      <c r="H221" s="1193"/>
      <c r="I221" s="1043"/>
      <c r="J221" s="1179"/>
      <c r="K221" s="18"/>
      <c r="L221" s="58"/>
      <c r="M221" s="79"/>
      <c r="O221" s="4"/>
      <c r="P221" s="59"/>
    </row>
    <row r="222" spans="1:16" ht="30" customHeight="1" x14ac:dyDescent="0.2">
      <c r="B222" s="1202"/>
      <c r="C222" s="1194" t="s">
        <v>34</v>
      </c>
      <c r="D222" s="1177"/>
      <c r="E222" s="166"/>
      <c r="F222" s="166"/>
      <c r="G222" s="132"/>
      <c r="H222" s="133"/>
      <c r="I222" s="1044"/>
      <c r="J222" s="1176"/>
      <c r="K222" s="18"/>
      <c r="L222" s="58"/>
      <c r="M222" s="79"/>
      <c r="O222" s="4"/>
      <c r="P222" s="59"/>
    </row>
    <row r="223" spans="1:16" ht="35.1" customHeight="1" x14ac:dyDescent="0.2">
      <c r="B223" s="1047" t="s">
        <v>40</v>
      </c>
      <c r="C223" s="1195" t="s">
        <v>42</v>
      </c>
      <c r="D223" s="1195"/>
      <c r="E223" s="1195" t="s">
        <v>41</v>
      </c>
      <c r="F223" s="1195"/>
      <c r="G223" s="1196" t="s">
        <v>274</v>
      </c>
      <c r="H223" s="1196"/>
      <c r="I223" s="1110">
        <v>0</v>
      </c>
      <c r="J223" s="1175">
        <v>1</v>
      </c>
      <c r="K223" s="18"/>
      <c r="L223" s="58"/>
      <c r="M223" s="79"/>
      <c r="N223" s="46" t="s">
        <v>30</v>
      </c>
      <c r="O223" s="4"/>
      <c r="P223" s="59"/>
    </row>
    <row r="224" spans="1:16" ht="35.1" customHeight="1" x14ac:dyDescent="0.2">
      <c r="B224" s="1109"/>
      <c r="C224" s="1190" t="s">
        <v>275</v>
      </c>
      <c r="D224" s="1190"/>
      <c r="E224" s="1191" t="s">
        <v>276</v>
      </c>
      <c r="F224" s="1191"/>
      <c r="G224" s="1190" t="s">
        <v>277</v>
      </c>
      <c r="H224" s="1190"/>
      <c r="I224" s="1111"/>
      <c r="J224" s="1179"/>
      <c r="K224" s="18"/>
      <c r="L224" s="58"/>
      <c r="M224" s="79"/>
      <c r="O224" s="4"/>
      <c r="P224" s="59"/>
    </row>
    <row r="225" spans="1:16" ht="35.1" customHeight="1" x14ac:dyDescent="0.2">
      <c r="B225" s="1109"/>
      <c r="C225" s="1190" t="s">
        <v>278</v>
      </c>
      <c r="D225" s="1190"/>
      <c r="E225" s="1190" t="s">
        <v>279</v>
      </c>
      <c r="F225" s="1190"/>
      <c r="G225" s="1190" t="s">
        <v>280</v>
      </c>
      <c r="H225" s="1190"/>
      <c r="I225" s="1111"/>
      <c r="J225" s="1179"/>
      <c r="K225" s="18"/>
      <c r="L225" s="58"/>
      <c r="M225" s="79"/>
      <c r="O225" s="4"/>
      <c r="P225" s="59"/>
    </row>
    <row r="226" spans="1:16" ht="35.1" customHeight="1" x14ac:dyDescent="0.2">
      <c r="B226" s="1109"/>
      <c r="C226" s="1190" t="s">
        <v>281</v>
      </c>
      <c r="D226" s="1190"/>
      <c r="E226" s="1190" t="s">
        <v>282</v>
      </c>
      <c r="F226" s="1190"/>
      <c r="G226" s="1190" t="s">
        <v>283</v>
      </c>
      <c r="H226" s="1190"/>
      <c r="I226" s="1111"/>
      <c r="J226" s="1179"/>
      <c r="K226" s="18"/>
      <c r="L226" s="58"/>
      <c r="M226" s="79"/>
      <c r="O226" s="4"/>
      <c r="P226" s="59"/>
    </row>
    <row r="227" spans="1:16" ht="35.1" customHeight="1" x14ac:dyDescent="0.2">
      <c r="B227" s="1109"/>
      <c r="C227" s="1191" t="s">
        <v>284</v>
      </c>
      <c r="D227" s="1191"/>
      <c r="E227" s="1191" t="s">
        <v>285</v>
      </c>
      <c r="F227" s="1191"/>
      <c r="G227" s="1191" t="s">
        <v>286</v>
      </c>
      <c r="H227" s="1191"/>
      <c r="I227" s="1111"/>
      <c r="J227" s="1179"/>
      <c r="K227" s="18"/>
      <c r="L227" s="58"/>
      <c r="M227" s="79"/>
      <c r="O227" s="4"/>
      <c r="P227" s="59"/>
    </row>
    <row r="228" spans="1:16" ht="35.1" customHeight="1" x14ac:dyDescent="0.2">
      <c r="B228" s="1109"/>
      <c r="C228" s="1191" t="s">
        <v>287</v>
      </c>
      <c r="D228" s="1191"/>
      <c r="E228" s="1190" t="s">
        <v>288</v>
      </c>
      <c r="F228" s="1190"/>
      <c r="G228" s="1190" t="s">
        <v>43</v>
      </c>
      <c r="H228" s="1190"/>
      <c r="I228" s="1111"/>
      <c r="J228" s="1179"/>
      <c r="K228" s="18"/>
      <c r="L228" s="58"/>
      <c r="M228" s="79"/>
      <c r="O228" s="4"/>
      <c r="P228" s="59"/>
    </row>
    <row r="229" spans="1:16" ht="35.1" customHeight="1" x14ac:dyDescent="0.2">
      <c r="B229" s="1109"/>
      <c r="C229" s="1190" t="s">
        <v>289</v>
      </c>
      <c r="D229" s="1190"/>
      <c r="E229" s="1191" t="s">
        <v>290</v>
      </c>
      <c r="F229" s="1191"/>
      <c r="G229" s="1191" t="s">
        <v>291</v>
      </c>
      <c r="H229" s="1191"/>
      <c r="I229" s="1111"/>
      <c r="J229" s="1179"/>
      <c r="K229" s="18"/>
      <c r="L229" s="58"/>
      <c r="M229" s="79"/>
      <c r="O229" s="4"/>
      <c r="P229" s="59"/>
    </row>
    <row r="230" spans="1:16" ht="35.1" customHeight="1" x14ac:dyDescent="0.2">
      <c r="B230" s="1109"/>
      <c r="C230" s="1190" t="s">
        <v>292</v>
      </c>
      <c r="D230" s="1190"/>
      <c r="E230" s="1191" t="s">
        <v>293</v>
      </c>
      <c r="F230" s="1191"/>
      <c r="G230" s="1190" t="s">
        <v>294</v>
      </c>
      <c r="H230" s="1190"/>
      <c r="I230" s="1111"/>
      <c r="J230" s="1179"/>
      <c r="K230" s="18"/>
      <c r="L230" s="58"/>
      <c r="M230" s="79"/>
      <c r="O230" s="4"/>
      <c r="P230" s="59"/>
    </row>
    <row r="231" spans="1:16" ht="35.1" customHeight="1" x14ac:dyDescent="0.2">
      <c r="B231" s="1109"/>
      <c r="C231" s="1190" t="s">
        <v>295</v>
      </c>
      <c r="D231" s="1190"/>
      <c r="E231" s="1190" t="s">
        <v>296</v>
      </c>
      <c r="F231" s="1190"/>
      <c r="G231" s="1132"/>
      <c r="H231" s="1134"/>
      <c r="I231" s="1111"/>
      <c r="J231" s="1179"/>
      <c r="K231" s="18"/>
      <c r="L231" s="58"/>
      <c r="M231" s="79"/>
      <c r="O231" s="4"/>
      <c r="P231" s="59"/>
    </row>
    <row r="232" spans="1:16" ht="52.5" customHeight="1" x14ac:dyDescent="0.2">
      <c r="B232" s="1048"/>
      <c r="C232" s="1197" t="s">
        <v>297</v>
      </c>
      <c r="D232" s="1198"/>
      <c r="E232" s="1198"/>
      <c r="F232" s="1198"/>
      <c r="G232" s="1198"/>
      <c r="H232" s="1199"/>
      <c r="I232" s="1112"/>
      <c r="J232" s="1176"/>
      <c r="K232" s="18"/>
      <c r="L232" s="58"/>
      <c r="M232" s="79"/>
      <c r="O232" s="4"/>
      <c r="P232" s="59"/>
    </row>
    <row r="233" spans="1:16" ht="30" customHeight="1" x14ac:dyDescent="0.2">
      <c r="B233" s="1004" t="s">
        <v>71</v>
      </c>
      <c r="C233" s="1187" t="s">
        <v>72</v>
      </c>
      <c r="D233" s="1188"/>
      <c r="E233" s="1188" t="s">
        <v>74</v>
      </c>
      <c r="F233" s="1188"/>
      <c r="G233" s="1188" t="s">
        <v>75</v>
      </c>
      <c r="H233" s="1189"/>
      <c r="I233" s="1042">
        <v>0</v>
      </c>
      <c r="J233" s="1175">
        <v>1</v>
      </c>
      <c r="K233" s="18"/>
      <c r="L233" s="58"/>
      <c r="M233" s="79"/>
      <c r="N233" s="46" t="s">
        <v>30</v>
      </c>
      <c r="O233" s="4"/>
      <c r="P233" s="59"/>
    </row>
    <row r="234" spans="1:16" ht="30" customHeight="1" x14ac:dyDescent="0.2">
      <c r="B234" s="1039"/>
      <c r="C234" s="1046" t="s">
        <v>82</v>
      </c>
      <c r="D234" s="1022"/>
      <c r="E234" s="1180" t="s">
        <v>80</v>
      </c>
      <c r="F234" s="1180"/>
      <c r="G234" s="1022" t="s">
        <v>81</v>
      </c>
      <c r="H234" s="1028"/>
      <c r="I234" s="1043"/>
      <c r="J234" s="1179"/>
      <c r="K234" s="18"/>
      <c r="L234" s="58"/>
      <c r="M234" s="79"/>
      <c r="O234" s="4"/>
      <c r="P234" s="59"/>
    </row>
    <row r="235" spans="1:16" ht="30" customHeight="1" x14ac:dyDescent="0.2">
      <c r="B235" s="1005"/>
      <c r="C235" s="1181" t="s">
        <v>39</v>
      </c>
      <c r="D235" s="1182"/>
      <c r="E235" s="1182" t="s">
        <v>79</v>
      </c>
      <c r="F235" s="1182"/>
      <c r="G235" s="1182"/>
      <c r="H235" s="1183"/>
      <c r="I235" s="1043"/>
      <c r="J235" s="1179"/>
      <c r="K235" s="18"/>
      <c r="L235" s="58"/>
      <c r="M235" s="79"/>
      <c r="O235" s="4"/>
      <c r="P235" s="59"/>
    </row>
    <row r="236" spans="1:16" ht="30" customHeight="1" x14ac:dyDescent="0.2">
      <c r="B236" s="1004" t="s">
        <v>87</v>
      </c>
      <c r="C236" s="1014" t="s">
        <v>92</v>
      </c>
      <c r="D236" s="1015"/>
      <c r="E236" s="1016" t="s">
        <v>89</v>
      </c>
      <c r="F236" s="1016"/>
      <c r="G236" s="1016" t="s">
        <v>90</v>
      </c>
      <c r="H236" s="1125"/>
      <c r="I236" s="1042">
        <v>0</v>
      </c>
      <c r="J236" s="1175">
        <v>1</v>
      </c>
      <c r="K236" s="18"/>
      <c r="L236" s="58"/>
      <c r="M236" s="79"/>
      <c r="O236" s="4"/>
      <c r="P236" s="59"/>
    </row>
    <row r="237" spans="1:16" ht="30" customHeight="1" x14ac:dyDescent="0.2">
      <c r="B237" s="1005"/>
      <c r="C237" s="1116" t="s">
        <v>88</v>
      </c>
      <c r="D237" s="1034"/>
      <c r="E237" s="1177" t="s">
        <v>94</v>
      </c>
      <c r="F237" s="1177"/>
      <c r="G237" s="1177"/>
      <c r="H237" s="1178"/>
      <c r="I237" s="1044"/>
      <c r="J237" s="1176"/>
      <c r="K237" s="18"/>
      <c r="L237" s="58"/>
      <c r="M237" s="79"/>
      <c r="O237" s="4"/>
      <c r="P237" s="59"/>
    </row>
    <row r="238" spans="1:16" customFormat="1" ht="30" customHeight="1" x14ac:dyDescent="0.2">
      <c r="A238" s="167"/>
      <c r="B238" s="949" t="s">
        <v>298</v>
      </c>
      <c r="C238" s="950"/>
      <c r="D238" s="950"/>
      <c r="E238" s="950"/>
      <c r="F238" s="950"/>
      <c r="G238" s="950"/>
      <c r="H238" s="950"/>
      <c r="I238" s="950"/>
      <c r="J238" s="950"/>
    </row>
    <row r="239" spans="1:16" ht="30" customHeight="1" x14ac:dyDescent="0.2">
      <c r="B239" s="1169" t="s">
        <v>299</v>
      </c>
      <c r="C239" s="1170"/>
      <c r="D239" s="1170"/>
      <c r="E239" s="1170"/>
      <c r="F239" s="1170"/>
      <c r="G239" s="1170"/>
      <c r="H239" s="1170"/>
      <c r="I239" s="1170"/>
      <c r="J239" s="1171"/>
      <c r="K239" s="18"/>
      <c r="L239" s="58"/>
      <c r="O239" s="4"/>
    </row>
    <row r="240" spans="1:16" ht="76.5" customHeight="1" x14ac:dyDescent="0.2">
      <c r="B240" s="1164" t="s">
        <v>300</v>
      </c>
      <c r="C240" s="1166" t="s">
        <v>301</v>
      </c>
      <c r="D240" s="1167"/>
      <c r="E240" s="1167"/>
      <c r="F240" s="1167"/>
      <c r="G240" s="1167"/>
      <c r="H240" s="1168"/>
      <c r="I240" s="168">
        <v>0</v>
      </c>
      <c r="J240" s="165">
        <v>1</v>
      </c>
      <c r="K240" s="18"/>
      <c r="L240" s="58"/>
      <c r="O240" s="4"/>
    </row>
    <row r="241" spans="1:25" ht="91.5" customHeight="1" x14ac:dyDescent="0.2">
      <c r="B241" s="1165"/>
      <c r="C241" s="1166" t="s">
        <v>302</v>
      </c>
      <c r="D241" s="1167"/>
      <c r="E241" s="1167"/>
      <c r="F241" s="1167"/>
      <c r="G241" s="1167"/>
      <c r="H241" s="1168"/>
      <c r="I241" s="168">
        <v>0</v>
      </c>
      <c r="J241" s="165">
        <v>1</v>
      </c>
      <c r="K241" s="18"/>
      <c r="L241" s="58"/>
      <c r="O241" s="4"/>
    </row>
    <row r="242" spans="1:25" ht="30" customHeight="1" x14ac:dyDescent="0.2">
      <c r="B242" s="1166" t="s">
        <v>303</v>
      </c>
      <c r="C242" s="1167"/>
      <c r="D242" s="1167"/>
      <c r="E242" s="1167"/>
      <c r="F242" s="1167"/>
      <c r="G242" s="1167"/>
      <c r="H242" s="1167"/>
      <c r="I242" s="1167"/>
      <c r="J242" s="1168"/>
      <c r="K242" s="18"/>
      <c r="L242" s="58"/>
      <c r="O242" s="4"/>
    </row>
    <row r="243" spans="1:25" s="172" customFormat="1" ht="20.100000000000001" customHeight="1" x14ac:dyDescent="0.2">
      <c r="A243" s="169"/>
      <c r="B243" s="1161" t="s">
        <v>304</v>
      </c>
      <c r="C243" s="1162"/>
      <c r="D243" s="1162"/>
      <c r="E243" s="1162"/>
      <c r="F243" s="1162"/>
      <c r="G243" s="1162"/>
      <c r="H243" s="1162"/>
      <c r="I243" s="1162"/>
      <c r="J243" s="1163"/>
      <c r="K243" s="169"/>
      <c r="L243" s="170"/>
      <c r="M243" s="6"/>
      <c r="N243" s="171"/>
      <c r="O243" s="171"/>
      <c r="P243" s="169"/>
    </row>
    <row r="244" spans="1:25" ht="39.950000000000003" customHeight="1" x14ac:dyDescent="0.2">
      <c r="B244" s="1164" t="s">
        <v>305</v>
      </c>
      <c r="C244" s="1166" t="s">
        <v>306</v>
      </c>
      <c r="D244" s="1167"/>
      <c r="E244" s="1167" t="s">
        <v>307</v>
      </c>
      <c r="F244" s="1167"/>
      <c r="G244" s="24"/>
      <c r="H244" s="173"/>
      <c r="I244" s="173"/>
      <c r="J244" s="174"/>
      <c r="K244" s="18"/>
      <c r="L244" s="58"/>
      <c r="O244" s="4"/>
    </row>
    <row r="245" spans="1:25" ht="33.75" customHeight="1" x14ac:dyDescent="0.2">
      <c r="B245" s="1165"/>
      <c r="C245" s="1166" t="s">
        <v>308</v>
      </c>
      <c r="D245" s="1167"/>
      <c r="E245" s="1167"/>
      <c r="F245" s="1167"/>
      <c r="G245" s="1167"/>
      <c r="H245" s="1167"/>
      <c r="I245" s="1167"/>
      <c r="J245" s="1168"/>
      <c r="K245" s="18"/>
      <c r="L245" s="58"/>
      <c r="O245" s="4"/>
    </row>
    <row r="246" spans="1:25" ht="20.100000000000001" customHeight="1" x14ac:dyDescent="0.2">
      <c r="A246" s="24"/>
      <c r="B246" s="47"/>
      <c r="C246" s="150"/>
      <c r="D246" s="150"/>
      <c r="E246" s="150"/>
      <c r="F246" s="150"/>
      <c r="G246" s="150"/>
      <c r="H246" s="150"/>
      <c r="I246" s="147"/>
      <c r="J246" s="128"/>
      <c r="N246" s="23"/>
    </row>
    <row r="247" spans="1:25" ht="30" customHeight="1" x14ac:dyDescent="0.2">
      <c r="A247" s="24"/>
      <c r="B247" s="904" t="s">
        <v>309</v>
      </c>
      <c r="C247" s="905"/>
      <c r="D247" s="905"/>
      <c r="E247" s="905"/>
      <c r="F247" s="905"/>
      <c r="G247" s="905"/>
      <c r="H247" s="906"/>
      <c r="I247" s="34" t="s">
        <v>17</v>
      </c>
      <c r="J247" s="35" t="s">
        <v>18</v>
      </c>
      <c r="K247" s="36" t="s">
        <v>310</v>
      </c>
      <c r="L247" s="37">
        <v>12</v>
      </c>
      <c r="N247" s="46" t="s">
        <v>30</v>
      </c>
      <c r="O247" s="37">
        <v>12</v>
      </c>
    </row>
    <row r="248" spans="1:25" ht="186.75" customHeight="1" x14ac:dyDescent="0.2">
      <c r="A248" s="24"/>
      <c r="B248" s="901" t="s">
        <v>311</v>
      </c>
      <c r="C248" s="902"/>
      <c r="D248" s="902"/>
      <c r="E248" s="902"/>
      <c r="F248" s="902"/>
      <c r="G248" s="902"/>
      <c r="H248" s="902"/>
      <c r="I248" s="902"/>
      <c r="J248" s="903"/>
      <c r="K248" s="36" t="s">
        <v>310</v>
      </c>
      <c r="L248" s="37">
        <v>12</v>
      </c>
      <c r="M248" s="22"/>
      <c r="O248" s="37">
        <v>12</v>
      </c>
    </row>
    <row r="249" spans="1:25" ht="65.25" customHeight="1" x14ac:dyDescent="0.2">
      <c r="A249" s="24"/>
      <c r="B249" s="96" t="s">
        <v>312</v>
      </c>
      <c r="C249" s="901" t="s">
        <v>313</v>
      </c>
      <c r="D249" s="902"/>
      <c r="E249" s="902"/>
      <c r="F249" s="902"/>
      <c r="G249" s="902"/>
      <c r="H249" s="903"/>
      <c r="I249" s="74">
        <v>0</v>
      </c>
      <c r="J249" s="75">
        <v>1</v>
      </c>
      <c r="K249" s="36" t="s">
        <v>310</v>
      </c>
      <c r="L249" s="37">
        <v>12</v>
      </c>
      <c r="N249" s="46" t="s">
        <v>30</v>
      </c>
      <c r="O249" s="37">
        <v>12</v>
      </c>
    </row>
    <row r="250" spans="1:25" ht="394.5" customHeight="1" x14ac:dyDescent="0.2">
      <c r="A250" s="24"/>
      <c r="B250" s="60" t="s">
        <v>314</v>
      </c>
      <c r="C250" s="867" t="s">
        <v>315</v>
      </c>
      <c r="D250" s="868"/>
      <c r="E250" s="868"/>
      <c r="F250" s="868"/>
      <c r="G250" s="868"/>
      <c r="H250" s="869"/>
      <c r="I250" s="175">
        <v>0</v>
      </c>
      <c r="J250" s="42">
        <v>1</v>
      </c>
      <c r="K250" s="176" t="s">
        <v>310</v>
      </c>
      <c r="L250" s="37">
        <v>12</v>
      </c>
      <c r="N250" s="46" t="s">
        <v>30</v>
      </c>
      <c r="O250" s="37">
        <v>12</v>
      </c>
    </row>
    <row r="251" spans="1:25" ht="117.75" customHeight="1" x14ac:dyDescent="0.2">
      <c r="A251" s="24"/>
      <c r="B251" s="60" t="s">
        <v>316</v>
      </c>
      <c r="C251" s="1184" t="s">
        <v>317</v>
      </c>
      <c r="D251" s="1185"/>
      <c r="E251" s="1185"/>
      <c r="F251" s="1185"/>
      <c r="G251" s="1185"/>
      <c r="H251" s="1186"/>
      <c r="I251" s="61">
        <v>0</v>
      </c>
      <c r="J251" s="42">
        <v>1</v>
      </c>
      <c r="K251" s="176" t="s">
        <v>310</v>
      </c>
      <c r="L251" s="37">
        <v>12</v>
      </c>
      <c r="N251" s="46" t="s">
        <v>30</v>
      </c>
      <c r="O251" s="37">
        <v>12</v>
      </c>
    </row>
    <row r="252" spans="1:25" ht="20.100000000000001" customHeight="1" x14ac:dyDescent="0.2">
      <c r="A252" s="24"/>
      <c r="B252" s="177"/>
      <c r="C252" s="178"/>
      <c r="D252" s="178"/>
      <c r="E252" s="178"/>
      <c r="F252" s="178"/>
      <c r="G252" s="178"/>
      <c r="H252" s="178"/>
      <c r="I252" s="179"/>
      <c r="J252" s="180"/>
    </row>
    <row r="253" spans="1:25" s="45" customFormat="1" ht="30" customHeight="1" x14ac:dyDescent="0.2">
      <c r="B253" s="1159" t="s">
        <v>318</v>
      </c>
      <c r="C253" s="1160"/>
      <c r="D253" s="1160"/>
      <c r="E253" s="1160"/>
      <c r="F253" s="1160"/>
      <c r="G253" s="1160"/>
      <c r="H253" s="1160"/>
      <c r="I253" s="34" t="s">
        <v>130</v>
      </c>
      <c r="J253" s="89" t="s">
        <v>18</v>
      </c>
      <c r="K253" s="36" t="s">
        <v>319</v>
      </c>
      <c r="L253" s="36" t="s">
        <v>319</v>
      </c>
      <c r="M253" s="181"/>
      <c r="N253" s="182" t="s">
        <v>30</v>
      </c>
      <c r="O253" s="183">
        <v>13</v>
      </c>
      <c r="P253"/>
    </row>
    <row r="254" spans="1:25" s="45" customFormat="1" ht="51.75" customHeight="1" x14ac:dyDescent="0.2">
      <c r="B254" s="949" t="s">
        <v>320</v>
      </c>
      <c r="C254" s="950"/>
      <c r="D254" s="950"/>
      <c r="E254" s="950"/>
      <c r="F254" s="950"/>
      <c r="G254" s="950"/>
      <c r="H254" s="950"/>
      <c r="I254" s="950"/>
      <c r="J254" s="951"/>
      <c r="K254" s="36" t="s">
        <v>319</v>
      </c>
      <c r="L254" s="36" t="s">
        <v>319</v>
      </c>
      <c r="M254" s="181"/>
      <c r="N254" s="67"/>
      <c r="O254" s="67"/>
      <c r="P254"/>
    </row>
    <row r="255" spans="1:25" s="45" customFormat="1" ht="32.25" customHeight="1" x14ac:dyDescent="0.2">
      <c r="B255" s="1172" t="s">
        <v>26</v>
      </c>
      <c r="C255" s="985" t="s">
        <v>32</v>
      </c>
      <c r="D255" s="986"/>
      <c r="E255" s="986" t="s">
        <v>200</v>
      </c>
      <c r="F255" s="986"/>
      <c r="G255" s="986" t="s">
        <v>29</v>
      </c>
      <c r="H255" s="987"/>
      <c r="I255" s="1138">
        <v>35</v>
      </c>
      <c r="J255" s="1141">
        <v>0.9</v>
      </c>
      <c r="K255" s="43" t="s">
        <v>26</v>
      </c>
      <c r="L255" s="36" t="s">
        <v>319</v>
      </c>
      <c r="M255" s="181"/>
      <c r="N255" s="182" t="s">
        <v>30</v>
      </c>
      <c r="O255" s="183">
        <v>13</v>
      </c>
      <c r="P255"/>
      <c r="U255" s="70"/>
      <c r="V255" s="184"/>
      <c r="W255" s="185"/>
      <c r="X255" s="186"/>
      <c r="Y255" s="69"/>
    </row>
    <row r="256" spans="1:25" s="45" customFormat="1" ht="31.5" customHeight="1" x14ac:dyDescent="0.2">
      <c r="B256" s="1173"/>
      <c r="C256" s="1144" t="s">
        <v>37</v>
      </c>
      <c r="D256" s="1145"/>
      <c r="E256" s="956" t="s">
        <v>27</v>
      </c>
      <c r="F256" s="956"/>
      <c r="G256" s="957" t="s">
        <v>36</v>
      </c>
      <c r="H256" s="958"/>
      <c r="I256" s="1139"/>
      <c r="J256" s="1142"/>
      <c r="K256" s="43" t="s">
        <v>26</v>
      </c>
      <c r="L256" s="36" t="s">
        <v>319</v>
      </c>
      <c r="M256" s="181"/>
      <c r="N256" s="4"/>
      <c r="O256" s="183">
        <v>13</v>
      </c>
      <c r="P256"/>
      <c r="U256" s="70"/>
      <c r="V256" s="70"/>
      <c r="W256" s="187"/>
      <c r="X256" s="69"/>
      <c r="Y256" s="69"/>
    </row>
    <row r="257" spans="1:25" s="45" customFormat="1" ht="34.5" customHeight="1" x14ac:dyDescent="0.2">
      <c r="B257" s="1174"/>
      <c r="C257" s="1147" t="s">
        <v>39</v>
      </c>
      <c r="D257" s="1148"/>
      <c r="E257" s="967"/>
      <c r="F257" s="967"/>
      <c r="G257" s="1148"/>
      <c r="H257" s="1152"/>
      <c r="I257" s="1140"/>
      <c r="J257" s="1143"/>
      <c r="K257" s="43" t="s">
        <v>26</v>
      </c>
      <c r="L257" s="36" t="s">
        <v>319</v>
      </c>
      <c r="M257" s="181"/>
      <c r="N257" s="4"/>
      <c r="O257" s="183">
        <v>13</v>
      </c>
      <c r="P257"/>
      <c r="U257" s="70"/>
      <c r="V257" s="70"/>
      <c r="W257" s="187"/>
      <c r="X257" s="69"/>
      <c r="Y257" s="69"/>
    </row>
    <row r="258" spans="1:25" s="45" customFormat="1" ht="39.950000000000003" customHeight="1" x14ac:dyDescent="0.2">
      <c r="B258" s="952" t="s">
        <v>40</v>
      </c>
      <c r="C258" s="985" t="s">
        <v>41</v>
      </c>
      <c r="D258" s="986"/>
      <c r="E258" s="1149" t="s">
        <v>42</v>
      </c>
      <c r="F258" s="1149"/>
      <c r="G258" s="986" t="s">
        <v>43</v>
      </c>
      <c r="H258" s="987"/>
      <c r="I258" s="1153">
        <v>35</v>
      </c>
      <c r="J258" s="1156">
        <v>0.9</v>
      </c>
      <c r="K258" s="43" t="s">
        <v>40</v>
      </c>
      <c r="L258" s="36" t="s">
        <v>319</v>
      </c>
      <c r="M258" s="181"/>
      <c r="N258" s="182" t="s">
        <v>30</v>
      </c>
      <c r="O258" s="183">
        <v>13</v>
      </c>
      <c r="P258"/>
      <c r="U258" s="70"/>
      <c r="V258" s="70"/>
      <c r="W258" s="187"/>
      <c r="X258" s="69"/>
      <c r="Y258" s="69"/>
    </row>
    <row r="259" spans="1:25" ht="39.950000000000003" customHeight="1" x14ac:dyDescent="0.2">
      <c r="A259" s="24"/>
      <c r="B259" s="953"/>
      <c r="C259" s="1144" t="s">
        <v>44</v>
      </c>
      <c r="D259" s="1145"/>
      <c r="E259" s="1145" t="s">
        <v>51</v>
      </c>
      <c r="F259" s="1145"/>
      <c r="G259" s="1145" t="s">
        <v>49</v>
      </c>
      <c r="H259" s="1146"/>
      <c r="I259" s="1154"/>
      <c r="J259" s="1157"/>
      <c r="K259" s="43" t="s">
        <v>40</v>
      </c>
      <c r="L259" s="36" t="s">
        <v>319</v>
      </c>
      <c r="M259" s="181"/>
      <c r="O259" s="183">
        <v>13</v>
      </c>
      <c r="P259"/>
    </row>
    <row r="260" spans="1:25" ht="39.950000000000003" customHeight="1" x14ac:dyDescent="0.2">
      <c r="A260" s="24"/>
      <c r="B260" s="953"/>
      <c r="C260" s="965" t="s">
        <v>59</v>
      </c>
      <c r="D260" s="957"/>
      <c r="E260" s="1145" t="s">
        <v>48</v>
      </c>
      <c r="F260" s="1145"/>
      <c r="G260" s="957" t="s">
        <v>62</v>
      </c>
      <c r="H260" s="957"/>
      <c r="I260" s="1154"/>
      <c r="J260" s="1157"/>
      <c r="K260" s="43" t="s">
        <v>40</v>
      </c>
      <c r="L260" s="36" t="s">
        <v>319</v>
      </c>
      <c r="M260" s="181"/>
      <c r="O260" s="183">
        <v>13</v>
      </c>
      <c r="P260"/>
    </row>
    <row r="261" spans="1:25" ht="39.950000000000003" customHeight="1" x14ac:dyDescent="0.2">
      <c r="B261" s="953"/>
      <c r="C261" s="965" t="s">
        <v>60</v>
      </c>
      <c r="D261" s="957"/>
      <c r="E261" s="1145" t="s">
        <v>54</v>
      </c>
      <c r="F261" s="1145"/>
      <c r="G261" s="957" t="s">
        <v>52</v>
      </c>
      <c r="H261" s="958"/>
      <c r="I261" s="1154"/>
      <c r="J261" s="1157"/>
      <c r="K261" s="43" t="s">
        <v>40</v>
      </c>
      <c r="L261" s="36" t="s">
        <v>319</v>
      </c>
      <c r="M261" s="181"/>
      <c r="O261" s="183">
        <v>13</v>
      </c>
      <c r="P261"/>
    </row>
    <row r="262" spans="1:25" ht="39.950000000000003" customHeight="1" x14ac:dyDescent="0.2">
      <c r="A262" s="24"/>
      <c r="B262" s="953"/>
      <c r="C262" s="965" t="s">
        <v>45</v>
      </c>
      <c r="D262" s="957"/>
      <c r="E262" s="957" t="s">
        <v>248</v>
      </c>
      <c r="F262" s="957"/>
      <c r="G262" s="957" t="s">
        <v>321</v>
      </c>
      <c r="H262" s="958"/>
      <c r="I262" s="1154"/>
      <c r="J262" s="1157"/>
      <c r="K262" s="43" t="s">
        <v>40</v>
      </c>
      <c r="L262" s="36" t="s">
        <v>319</v>
      </c>
      <c r="M262" s="181"/>
      <c r="O262" s="183">
        <v>13</v>
      </c>
      <c r="P262"/>
    </row>
    <row r="263" spans="1:25" ht="39.950000000000003" customHeight="1" x14ac:dyDescent="0.2">
      <c r="A263" s="24"/>
      <c r="B263" s="954"/>
      <c r="C263" s="1147" t="s">
        <v>322</v>
      </c>
      <c r="D263" s="1148"/>
      <c r="E263" s="1148"/>
      <c r="F263" s="1148"/>
      <c r="G263" s="1148"/>
      <c r="H263" s="1152"/>
      <c r="I263" s="1155"/>
      <c r="J263" s="1158"/>
      <c r="K263" s="43" t="s">
        <v>40</v>
      </c>
      <c r="L263" s="36" t="s">
        <v>319</v>
      </c>
      <c r="M263" s="181"/>
      <c r="O263" s="183">
        <v>13</v>
      </c>
      <c r="P263"/>
    </row>
    <row r="264" spans="1:25" ht="30" customHeight="1" x14ac:dyDescent="0.2">
      <c r="A264" s="24"/>
      <c r="B264" s="952" t="s">
        <v>71</v>
      </c>
      <c r="C264" s="1150" t="s">
        <v>72</v>
      </c>
      <c r="D264" s="1149"/>
      <c r="E264" s="1149" t="s">
        <v>80</v>
      </c>
      <c r="F264" s="1149"/>
      <c r="G264" s="1149" t="s">
        <v>74</v>
      </c>
      <c r="H264" s="1151"/>
      <c r="I264" s="1138">
        <v>40</v>
      </c>
      <c r="J264" s="1141">
        <v>0.9</v>
      </c>
      <c r="K264" s="43" t="s">
        <v>71</v>
      </c>
      <c r="L264" s="36" t="s">
        <v>319</v>
      </c>
      <c r="M264" s="181"/>
      <c r="N264" s="182" t="s">
        <v>30</v>
      </c>
      <c r="O264" s="183">
        <v>13</v>
      </c>
      <c r="P264"/>
    </row>
    <row r="265" spans="1:25" ht="30" customHeight="1" x14ac:dyDescent="0.2">
      <c r="A265" s="24"/>
      <c r="B265" s="953"/>
      <c r="C265" s="1144" t="s">
        <v>75</v>
      </c>
      <c r="D265" s="1145"/>
      <c r="E265" s="1145" t="s">
        <v>82</v>
      </c>
      <c r="F265" s="1145"/>
      <c r="G265" s="1145" t="s">
        <v>73</v>
      </c>
      <c r="H265" s="1146"/>
      <c r="I265" s="1139"/>
      <c r="J265" s="1142"/>
      <c r="K265" s="43" t="s">
        <v>71</v>
      </c>
      <c r="L265" s="36" t="s">
        <v>319</v>
      </c>
      <c r="M265" s="181"/>
      <c r="O265" s="183">
        <v>13</v>
      </c>
      <c r="P265"/>
    </row>
    <row r="266" spans="1:25" ht="30" customHeight="1" x14ac:dyDescent="0.2">
      <c r="A266" s="24"/>
      <c r="B266" s="953"/>
      <c r="C266" s="1144" t="s">
        <v>81</v>
      </c>
      <c r="D266" s="1145"/>
      <c r="E266" s="1145" t="s">
        <v>79</v>
      </c>
      <c r="F266" s="1145"/>
      <c r="G266" s="1145" t="s">
        <v>78</v>
      </c>
      <c r="H266" s="1146"/>
      <c r="I266" s="1139"/>
      <c r="J266" s="1142"/>
      <c r="K266" s="43" t="s">
        <v>71</v>
      </c>
      <c r="L266" s="36" t="s">
        <v>319</v>
      </c>
      <c r="M266" s="181"/>
      <c r="O266" s="183">
        <v>13</v>
      </c>
      <c r="P266"/>
    </row>
    <row r="267" spans="1:25" ht="30" customHeight="1" x14ac:dyDescent="0.2">
      <c r="A267" s="24"/>
      <c r="B267" s="954"/>
      <c r="C267" s="971" t="s">
        <v>177</v>
      </c>
      <c r="D267" s="944"/>
      <c r="E267" s="944"/>
      <c r="F267" s="944"/>
      <c r="G267" s="944"/>
      <c r="H267" s="945"/>
      <c r="I267" s="1140"/>
      <c r="J267" s="1143"/>
      <c r="K267" s="43" t="s">
        <v>71</v>
      </c>
      <c r="L267" s="36" t="s">
        <v>319</v>
      </c>
      <c r="M267" s="181"/>
      <c r="O267" s="183">
        <v>13</v>
      </c>
      <c r="P267"/>
    </row>
    <row r="268" spans="1:25" ht="39.950000000000003" customHeight="1" x14ac:dyDescent="0.2">
      <c r="A268" s="24"/>
      <c r="B268" s="40" t="s">
        <v>85</v>
      </c>
      <c r="C268" s="1144" t="s">
        <v>86</v>
      </c>
      <c r="D268" s="1145"/>
      <c r="E268" s="1149"/>
      <c r="F268" s="1149"/>
      <c r="G268" s="986"/>
      <c r="H268" s="987"/>
      <c r="I268" s="188">
        <v>40</v>
      </c>
      <c r="J268" s="189">
        <v>0.85</v>
      </c>
      <c r="K268" s="43" t="s">
        <v>85</v>
      </c>
      <c r="L268" s="36" t="s">
        <v>319</v>
      </c>
      <c r="M268" s="181"/>
      <c r="N268" s="182" t="s">
        <v>30</v>
      </c>
      <c r="O268" s="183">
        <v>13</v>
      </c>
      <c r="P268"/>
    </row>
    <row r="269" spans="1:25" ht="30" customHeight="1" x14ac:dyDescent="0.2">
      <c r="A269" s="24"/>
      <c r="B269" s="952" t="s">
        <v>87</v>
      </c>
      <c r="C269" s="1150" t="s">
        <v>92</v>
      </c>
      <c r="D269" s="1149"/>
      <c r="E269" s="1149" t="s">
        <v>89</v>
      </c>
      <c r="F269" s="1149"/>
      <c r="G269" s="1149" t="s">
        <v>90</v>
      </c>
      <c r="H269" s="1151"/>
      <c r="I269" s="1138">
        <v>45</v>
      </c>
      <c r="J269" s="1141">
        <v>0.85</v>
      </c>
      <c r="K269" s="43" t="s">
        <v>87</v>
      </c>
      <c r="L269" s="36" t="s">
        <v>319</v>
      </c>
      <c r="M269" s="181"/>
      <c r="N269" s="182" t="s">
        <v>30</v>
      </c>
      <c r="O269" s="183">
        <v>13</v>
      </c>
      <c r="P269"/>
    </row>
    <row r="270" spans="1:25" ht="30" customHeight="1" x14ac:dyDescent="0.2">
      <c r="A270" s="24"/>
      <c r="B270" s="953"/>
      <c r="C270" s="1144" t="s">
        <v>88</v>
      </c>
      <c r="D270" s="1145"/>
      <c r="E270" s="1145" t="s">
        <v>323</v>
      </c>
      <c r="F270" s="1145"/>
      <c r="G270" s="1145" t="s">
        <v>94</v>
      </c>
      <c r="H270" s="1146"/>
      <c r="I270" s="1139"/>
      <c r="J270" s="1142"/>
      <c r="K270" s="43" t="s">
        <v>87</v>
      </c>
      <c r="L270" s="36" t="s">
        <v>319</v>
      </c>
      <c r="M270" s="181"/>
      <c r="O270" s="183">
        <v>13</v>
      </c>
      <c r="P270"/>
    </row>
    <row r="271" spans="1:25" ht="30" customHeight="1" x14ac:dyDescent="0.2">
      <c r="A271" s="24"/>
      <c r="B271" s="954"/>
      <c r="C271" s="1147" t="s">
        <v>95</v>
      </c>
      <c r="D271" s="1148"/>
      <c r="E271" s="190"/>
      <c r="F271" s="190"/>
      <c r="G271" s="190"/>
      <c r="H271" s="191"/>
      <c r="I271" s="1140"/>
      <c r="J271" s="1143"/>
      <c r="K271" s="43" t="s">
        <v>87</v>
      </c>
      <c r="L271" s="36" t="s">
        <v>319</v>
      </c>
      <c r="M271" s="181"/>
      <c r="O271" s="183">
        <v>13</v>
      </c>
      <c r="P271"/>
    </row>
    <row r="272" spans="1:25" ht="60" customHeight="1" x14ac:dyDescent="0.2">
      <c r="A272" s="24"/>
      <c r="B272" s="96" t="s">
        <v>312</v>
      </c>
      <c r="C272" s="1034" t="s">
        <v>324</v>
      </c>
      <c r="D272" s="1034"/>
      <c r="E272" s="1034"/>
      <c r="F272" s="1034"/>
      <c r="G272" s="1034"/>
      <c r="H272" s="1035"/>
      <c r="I272" s="74">
        <v>0</v>
      </c>
      <c r="J272" s="75">
        <v>1</v>
      </c>
      <c r="K272" s="18"/>
      <c r="L272" s="4"/>
      <c r="M272" s="181"/>
      <c r="N272" s="182" t="s">
        <v>30</v>
      </c>
      <c r="O272" s="67"/>
    </row>
    <row r="273" spans="1:16" ht="30" customHeight="1" x14ac:dyDescent="0.2">
      <c r="A273" s="24"/>
      <c r="B273" s="901" t="s">
        <v>325</v>
      </c>
      <c r="C273" s="902"/>
      <c r="D273" s="902"/>
      <c r="E273" s="902"/>
      <c r="F273" s="902"/>
      <c r="G273" s="902"/>
      <c r="H273" s="902"/>
      <c r="I273" s="902"/>
      <c r="J273" s="903"/>
      <c r="K273" s="18"/>
      <c r="L273" s="18"/>
      <c r="M273" s="181"/>
      <c r="O273" s="67"/>
    </row>
    <row r="274" spans="1:16" ht="20.100000000000001" customHeight="1" x14ac:dyDescent="0.2">
      <c r="A274" s="24"/>
      <c r="B274" s="62"/>
      <c r="C274" s="192"/>
      <c r="D274" s="192"/>
      <c r="E274" s="192"/>
      <c r="F274" s="192"/>
      <c r="G274" s="192"/>
      <c r="H274" s="192"/>
      <c r="I274" s="64"/>
      <c r="J274" s="65"/>
    </row>
    <row r="275" spans="1:16" ht="30" customHeight="1" x14ac:dyDescent="0.2">
      <c r="A275" s="24"/>
      <c r="B275" s="1135" t="s">
        <v>326</v>
      </c>
      <c r="C275" s="1136"/>
      <c r="D275" s="1136"/>
      <c r="E275" s="1136"/>
      <c r="F275" s="1136"/>
      <c r="G275" s="1136"/>
      <c r="H275" s="1137"/>
      <c r="I275" s="34" t="s">
        <v>17</v>
      </c>
      <c r="J275" s="193" t="s">
        <v>18</v>
      </c>
      <c r="K275" s="194" t="s">
        <v>327</v>
      </c>
      <c r="L275" s="195">
        <v>14</v>
      </c>
      <c r="M275" s="22"/>
      <c r="N275" s="46" t="s">
        <v>30</v>
      </c>
      <c r="O275" s="195">
        <v>14</v>
      </c>
    </row>
    <row r="276" spans="1:16" ht="48" customHeight="1" x14ac:dyDescent="0.2">
      <c r="A276" s="24"/>
      <c r="B276" s="96" t="s">
        <v>328</v>
      </c>
      <c r="C276" s="901" t="s">
        <v>329</v>
      </c>
      <c r="D276" s="950"/>
      <c r="E276" s="950"/>
      <c r="F276" s="950"/>
      <c r="G276" s="950"/>
      <c r="H276" s="951"/>
      <c r="I276" s="74">
        <v>0</v>
      </c>
      <c r="J276" s="75">
        <v>1</v>
      </c>
      <c r="K276" s="194" t="s">
        <v>327</v>
      </c>
      <c r="L276" s="195">
        <v>14</v>
      </c>
      <c r="M276" s="196"/>
      <c r="O276" s="195">
        <v>14</v>
      </c>
    </row>
    <row r="277" spans="1:16" ht="20.100000000000001" customHeight="1" x14ac:dyDescent="0.2">
      <c r="A277" s="24"/>
      <c r="B277" s="62"/>
      <c r="C277" s="192"/>
      <c r="D277" s="192"/>
      <c r="E277" s="192"/>
      <c r="F277" s="192"/>
      <c r="G277" s="192"/>
      <c r="H277" s="192"/>
      <c r="I277" s="64"/>
      <c r="J277" s="65"/>
    </row>
    <row r="278" spans="1:16" ht="30" customHeight="1" x14ac:dyDescent="0.2">
      <c r="A278" s="24"/>
      <c r="B278" s="1135" t="s">
        <v>330</v>
      </c>
      <c r="C278" s="1136"/>
      <c r="D278" s="1136"/>
      <c r="E278" s="1136"/>
      <c r="F278" s="1136"/>
      <c r="G278" s="1136"/>
      <c r="H278" s="1137"/>
      <c r="I278" s="34" t="s">
        <v>17</v>
      </c>
      <c r="J278" s="193" t="s">
        <v>18</v>
      </c>
      <c r="K278" s="194" t="s">
        <v>331</v>
      </c>
      <c r="L278" s="195">
        <v>15</v>
      </c>
      <c r="M278" s="22"/>
      <c r="N278" s="46" t="s">
        <v>30</v>
      </c>
      <c r="O278" s="195">
        <v>15</v>
      </c>
    </row>
    <row r="279" spans="1:16" ht="30" customHeight="1" x14ac:dyDescent="0.2">
      <c r="A279" s="24"/>
      <c r="B279" s="924" t="s">
        <v>332</v>
      </c>
      <c r="C279" s="925"/>
      <c r="D279" s="925"/>
      <c r="E279" s="925"/>
      <c r="F279" s="925"/>
      <c r="G279" s="925"/>
      <c r="H279" s="925"/>
      <c r="I279" s="925"/>
      <c r="J279" s="926"/>
      <c r="K279" s="197" t="s">
        <v>331</v>
      </c>
      <c r="L279" s="195">
        <v>15</v>
      </c>
      <c r="O279" s="195">
        <v>15</v>
      </c>
    </row>
    <row r="280" spans="1:16" s="45" customFormat="1" ht="96.75" customHeight="1" x14ac:dyDescent="0.2">
      <c r="B280" s="60" t="s">
        <v>333</v>
      </c>
      <c r="C280" s="1050" t="s">
        <v>334</v>
      </c>
      <c r="D280" s="1050"/>
      <c r="E280" s="1050"/>
      <c r="F280" s="1050"/>
      <c r="G280" s="1050"/>
      <c r="H280" s="1050"/>
      <c r="I280" s="61">
        <v>0</v>
      </c>
      <c r="J280" s="42">
        <v>1</v>
      </c>
      <c r="K280" s="197" t="s">
        <v>331</v>
      </c>
      <c r="L280" s="195">
        <v>15</v>
      </c>
      <c r="M280" s="3"/>
      <c r="N280" s="4"/>
      <c r="O280" s="195">
        <v>15</v>
      </c>
    </row>
    <row r="281" spans="1:16" s="45" customFormat="1" ht="34.5" customHeight="1" x14ac:dyDescent="0.2">
      <c r="B281" s="1047" t="s">
        <v>335</v>
      </c>
      <c r="C281" s="1129" t="s">
        <v>336</v>
      </c>
      <c r="D281" s="1130"/>
      <c r="E281" s="1130"/>
      <c r="F281" s="1130"/>
      <c r="G281" s="1130"/>
      <c r="H281" s="1131"/>
      <c r="I281" s="1110">
        <v>0</v>
      </c>
      <c r="J281" s="915">
        <v>1</v>
      </c>
      <c r="K281" s="197" t="s">
        <v>331</v>
      </c>
      <c r="L281" s="195">
        <v>15</v>
      </c>
      <c r="M281" s="3"/>
      <c r="N281" s="46" t="s">
        <v>30</v>
      </c>
      <c r="O281" s="195">
        <v>15</v>
      </c>
    </row>
    <row r="282" spans="1:16" s="45" customFormat="1" ht="30" customHeight="1" x14ac:dyDescent="0.2">
      <c r="B282" s="1109"/>
      <c r="C282" s="1133" t="s">
        <v>337</v>
      </c>
      <c r="D282" s="1132"/>
      <c r="E282" s="1132" t="s">
        <v>338</v>
      </c>
      <c r="F282" s="1132"/>
      <c r="G282" s="1132" t="s">
        <v>239</v>
      </c>
      <c r="H282" s="1132"/>
      <c r="I282" s="1111"/>
      <c r="J282" s="1045"/>
      <c r="K282" s="197" t="s">
        <v>331</v>
      </c>
      <c r="L282" s="195">
        <v>15</v>
      </c>
      <c r="M282" s="3"/>
      <c r="N282" s="4"/>
      <c r="O282" s="195">
        <v>15</v>
      </c>
    </row>
    <row r="283" spans="1:16" s="45" customFormat="1" ht="20.100000000000001" customHeight="1" x14ac:dyDescent="0.2">
      <c r="B283" s="1048"/>
      <c r="C283" s="1119" t="s">
        <v>339</v>
      </c>
      <c r="D283" s="870"/>
      <c r="E283" s="870"/>
      <c r="F283" s="870"/>
      <c r="G283" s="870"/>
      <c r="H283" s="871"/>
      <c r="I283" s="1112"/>
      <c r="J283" s="916"/>
      <c r="K283" s="197" t="s">
        <v>331</v>
      </c>
      <c r="L283" s="195">
        <v>15</v>
      </c>
      <c r="M283" s="3"/>
      <c r="N283" s="4"/>
      <c r="O283" s="195">
        <v>15</v>
      </c>
    </row>
    <row r="284" spans="1:16" s="45" customFormat="1" ht="30" customHeight="1" x14ac:dyDescent="0.2">
      <c r="B284" s="1047" t="s">
        <v>340</v>
      </c>
      <c r="C284" s="1129" t="s">
        <v>341</v>
      </c>
      <c r="D284" s="1130"/>
      <c r="E284" s="1130"/>
      <c r="F284" s="1130"/>
      <c r="G284" s="1130"/>
      <c r="H284" s="1131"/>
      <c r="I284" s="1110">
        <v>0</v>
      </c>
      <c r="J284" s="915">
        <v>1</v>
      </c>
      <c r="K284" s="197" t="s">
        <v>331</v>
      </c>
      <c r="L284" s="195">
        <v>15</v>
      </c>
      <c r="M284" s="3"/>
      <c r="N284" s="46" t="s">
        <v>30</v>
      </c>
      <c r="O284" s="195">
        <v>15</v>
      </c>
    </row>
    <row r="285" spans="1:16" s="45" customFormat="1" ht="30" customHeight="1" x14ac:dyDescent="0.2">
      <c r="B285" s="1109"/>
      <c r="C285" s="1132" t="s">
        <v>342</v>
      </c>
      <c r="D285" s="1132"/>
      <c r="E285" s="957" t="s">
        <v>42</v>
      </c>
      <c r="F285" s="957"/>
      <c r="G285" s="1132" t="s">
        <v>92</v>
      </c>
      <c r="H285" s="1132"/>
      <c r="I285" s="1111"/>
      <c r="J285" s="1045"/>
      <c r="K285" s="197" t="s">
        <v>331</v>
      </c>
      <c r="L285" s="195">
        <v>15</v>
      </c>
      <c r="M285" s="3"/>
      <c r="N285" s="4"/>
      <c r="O285" s="195">
        <v>15</v>
      </c>
    </row>
    <row r="286" spans="1:16" s="45" customFormat="1" ht="39.950000000000003" customHeight="1" x14ac:dyDescent="0.2">
      <c r="B286" s="1109"/>
      <c r="C286" s="1133" t="s">
        <v>134</v>
      </c>
      <c r="D286" s="1132"/>
      <c r="E286" s="1132"/>
      <c r="F286" s="1132"/>
      <c r="G286" s="1132"/>
      <c r="H286" s="1134"/>
      <c r="I286" s="1111"/>
      <c r="J286" s="1045"/>
      <c r="K286" s="197" t="s">
        <v>331</v>
      </c>
      <c r="L286" s="195">
        <v>15</v>
      </c>
      <c r="M286" s="3"/>
      <c r="N286" s="4"/>
      <c r="O286" s="195">
        <v>15</v>
      </c>
    </row>
    <row r="287" spans="1:16" s="45" customFormat="1" ht="30" customHeight="1" x14ac:dyDescent="0.2">
      <c r="B287" s="1048"/>
      <c r="C287" s="1119" t="s">
        <v>339</v>
      </c>
      <c r="D287" s="870"/>
      <c r="E287" s="870"/>
      <c r="F287" s="870"/>
      <c r="G287" s="870"/>
      <c r="H287" s="871"/>
      <c r="I287" s="1112"/>
      <c r="J287" s="916"/>
      <c r="K287" s="197" t="s">
        <v>331</v>
      </c>
      <c r="L287" s="195">
        <v>15</v>
      </c>
      <c r="M287" s="3"/>
      <c r="N287" s="4"/>
      <c r="O287" s="195">
        <v>15</v>
      </c>
    </row>
    <row r="288" spans="1:16" ht="30" customHeight="1" x14ac:dyDescent="0.2">
      <c r="A288" s="24"/>
      <c r="B288" s="1120" t="s">
        <v>343</v>
      </c>
      <c r="C288" s="1123" t="s">
        <v>134</v>
      </c>
      <c r="D288" s="1124"/>
      <c r="E288" s="1124" t="s">
        <v>92</v>
      </c>
      <c r="F288" s="1124"/>
      <c r="G288" s="1016" t="s">
        <v>146</v>
      </c>
      <c r="H288" s="1125"/>
      <c r="I288" s="1126">
        <v>0</v>
      </c>
      <c r="J288" s="962">
        <v>1</v>
      </c>
      <c r="K288" s="197" t="s">
        <v>331</v>
      </c>
      <c r="L288" s="195">
        <v>15</v>
      </c>
      <c r="N288" s="46" t="s">
        <v>30</v>
      </c>
      <c r="O288" s="195">
        <v>15</v>
      </c>
      <c r="P288" s="24"/>
    </row>
    <row r="289" spans="2:15" s="24" customFormat="1" ht="30" customHeight="1" x14ac:dyDescent="0.2">
      <c r="B289" s="1121"/>
      <c r="C289" s="1046" t="s">
        <v>344</v>
      </c>
      <c r="D289" s="1022"/>
      <c r="E289" s="1022" t="s">
        <v>149</v>
      </c>
      <c r="F289" s="1022"/>
      <c r="G289" s="1022" t="s">
        <v>345</v>
      </c>
      <c r="H289" s="1028"/>
      <c r="I289" s="1127"/>
      <c r="J289" s="963"/>
      <c r="K289" s="197" t="s">
        <v>331</v>
      </c>
      <c r="L289" s="195">
        <v>15</v>
      </c>
      <c r="M289" s="3"/>
      <c r="N289" s="4"/>
      <c r="O289" s="195">
        <v>15</v>
      </c>
    </row>
    <row r="290" spans="2:15" s="24" customFormat="1" ht="30" customHeight="1" x14ac:dyDescent="0.2">
      <c r="B290" s="1121"/>
      <c r="C290" s="1046" t="s">
        <v>148</v>
      </c>
      <c r="D290" s="1022"/>
      <c r="E290" s="1022" t="s">
        <v>150</v>
      </c>
      <c r="F290" s="1022"/>
      <c r="G290" s="1117"/>
      <c r="H290" s="1118"/>
      <c r="I290" s="1127"/>
      <c r="J290" s="963"/>
      <c r="K290" s="197" t="s">
        <v>331</v>
      </c>
      <c r="L290" s="195">
        <v>15</v>
      </c>
      <c r="M290" s="3"/>
      <c r="N290" s="4"/>
      <c r="O290" s="195">
        <v>15</v>
      </c>
    </row>
    <row r="291" spans="2:15" s="24" customFormat="1" ht="30" customHeight="1" x14ac:dyDescent="0.2">
      <c r="B291" s="1122"/>
      <c r="C291" s="1116" t="s">
        <v>339</v>
      </c>
      <c r="D291" s="1034"/>
      <c r="E291" s="1034"/>
      <c r="F291" s="1034"/>
      <c r="G291" s="1034"/>
      <c r="H291" s="1035"/>
      <c r="I291" s="1128"/>
      <c r="J291" s="964"/>
      <c r="K291" s="197" t="s">
        <v>331</v>
      </c>
      <c r="L291" s="195">
        <v>15</v>
      </c>
      <c r="M291" s="3"/>
      <c r="N291" s="4"/>
      <c r="O291" s="195">
        <v>15</v>
      </c>
    </row>
    <row r="292" spans="2:15" s="24" customFormat="1" ht="30" customHeight="1" x14ac:dyDescent="0.2">
      <c r="B292" s="136" t="s">
        <v>346</v>
      </c>
      <c r="C292" s="1116" t="s">
        <v>347</v>
      </c>
      <c r="D292" s="1034"/>
      <c r="E292" s="1034"/>
      <c r="F292" s="1034"/>
      <c r="G292" s="1034"/>
      <c r="H292" s="1035"/>
      <c r="I292" s="74">
        <v>0</v>
      </c>
      <c r="J292" s="75">
        <v>1</v>
      </c>
      <c r="K292" s="197" t="s">
        <v>331</v>
      </c>
      <c r="L292" s="195">
        <v>15</v>
      </c>
      <c r="M292" s="3"/>
      <c r="N292" s="46" t="s">
        <v>30</v>
      </c>
      <c r="O292" s="195">
        <v>15</v>
      </c>
    </row>
    <row r="293" spans="2:15" s="24" customFormat="1" ht="30" customHeight="1" x14ac:dyDescent="0.2">
      <c r="B293" s="136" t="s">
        <v>348</v>
      </c>
      <c r="C293" s="901" t="s">
        <v>349</v>
      </c>
      <c r="D293" s="902"/>
      <c r="E293" s="902" t="s">
        <v>239</v>
      </c>
      <c r="F293" s="902"/>
      <c r="G293" s="902"/>
      <c r="H293" s="903"/>
      <c r="I293" s="74">
        <v>0</v>
      </c>
      <c r="J293" s="75">
        <v>1</v>
      </c>
      <c r="K293" s="197" t="s">
        <v>331</v>
      </c>
      <c r="L293" s="195">
        <v>15</v>
      </c>
      <c r="M293" s="3"/>
      <c r="N293" s="46" t="s">
        <v>30</v>
      </c>
      <c r="O293" s="195">
        <v>15</v>
      </c>
    </row>
    <row r="294" spans="2:15" s="24" customFormat="1" ht="99.95" customHeight="1" x14ac:dyDescent="0.2">
      <c r="B294" s="60" t="s">
        <v>350</v>
      </c>
      <c r="C294" s="1050" t="s">
        <v>351</v>
      </c>
      <c r="D294" s="1050"/>
      <c r="E294" s="1050"/>
      <c r="F294" s="1050"/>
      <c r="G294" s="1050"/>
      <c r="H294" s="1050"/>
      <c r="I294" s="61">
        <v>0</v>
      </c>
      <c r="J294" s="42">
        <v>1</v>
      </c>
      <c r="K294" s="197" t="s">
        <v>331</v>
      </c>
      <c r="L294" s="195">
        <v>15</v>
      </c>
      <c r="M294" s="3"/>
      <c r="N294" s="46" t="s">
        <v>30</v>
      </c>
      <c r="O294" s="195">
        <v>15</v>
      </c>
    </row>
    <row r="295" spans="2:15" s="24" customFormat="1" ht="60" customHeight="1" x14ac:dyDescent="0.2">
      <c r="B295" s="1047" t="s">
        <v>352</v>
      </c>
      <c r="C295" s="867" t="s">
        <v>353</v>
      </c>
      <c r="D295" s="868"/>
      <c r="E295" s="868"/>
      <c r="F295" s="868"/>
      <c r="G295" s="868"/>
      <c r="H295" s="869"/>
      <c r="I295" s="1110">
        <v>0</v>
      </c>
      <c r="J295" s="915">
        <v>1</v>
      </c>
      <c r="K295" s="197" t="s">
        <v>331</v>
      </c>
      <c r="L295" s="195">
        <v>15</v>
      </c>
      <c r="M295" s="3"/>
      <c r="N295" s="46" t="s">
        <v>30</v>
      </c>
      <c r="O295" s="195">
        <v>15</v>
      </c>
    </row>
    <row r="296" spans="2:15" s="24" customFormat="1" ht="60" customHeight="1" x14ac:dyDescent="0.2">
      <c r="B296" s="1109"/>
      <c r="C296" s="867" t="s">
        <v>354</v>
      </c>
      <c r="D296" s="868"/>
      <c r="E296" s="868"/>
      <c r="F296" s="868"/>
      <c r="G296" s="868"/>
      <c r="H296" s="869"/>
      <c r="I296" s="1111"/>
      <c r="J296" s="1045"/>
      <c r="K296" s="197" t="s">
        <v>331</v>
      </c>
      <c r="L296" s="195">
        <v>15</v>
      </c>
      <c r="M296" s="3"/>
      <c r="N296" s="4"/>
      <c r="O296" s="195">
        <v>15</v>
      </c>
    </row>
    <row r="297" spans="2:15" s="24" customFormat="1" ht="50.1" customHeight="1" x14ac:dyDescent="0.2">
      <c r="B297" s="1109"/>
      <c r="C297" s="867" t="s">
        <v>355</v>
      </c>
      <c r="D297" s="868"/>
      <c r="E297" s="868"/>
      <c r="F297" s="868"/>
      <c r="G297" s="868"/>
      <c r="H297" s="869"/>
      <c r="I297" s="1111"/>
      <c r="J297" s="1045"/>
      <c r="K297" s="197" t="s">
        <v>331</v>
      </c>
      <c r="L297" s="195">
        <v>15</v>
      </c>
      <c r="M297" s="3"/>
      <c r="N297" s="4"/>
      <c r="O297" s="195">
        <v>15</v>
      </c>
    </row>
    <row r="298" spans="2:15" s="24" customFormat="1" ht="39.950000000000003" customHeight="1" x14ac:dyDescent="0.2">
      <c r="B298" s="1109"/>
      <c r="C298" s="1113" t="s">
        <v>356</v>
      </c>
      <c r="D298" s="1114"/>
      <c r="E298" s="1114"/>
      <c r="F298" s="1114"/>
      <c r="G298" s="1114"/>
      <c r="H298" s="1115"/>
      <c r="I298" s="1111"/>
      <c r="J298" s="1045"/>
      <c r="K298" s="197" t="s">
        <v>331</v>
      </c>
      <c r="L298" s="195">
        <v>15</v>
      </c>
      <c r="M298" s="3"/>
      <c r="N298" s="4"/>
      <c r="O298" s="195">
        <v>15</v>
      </c>
    </row>
    <row r="299" spans="2:15" s="24" customFormat="1" ht="39.950000000000003" customHeight="1" x14ac:dyDescent="0.2">
      <c r="B299" s="1109"/>
      <c r="C299" s="867" t="s">
        <v>357</v>
      </c>
      <c r="D299" s="868"/>
      <c r="E299" s="868"/>
      <c r="F299" s="868"/>
      <c r="G299" s="868"/>
      <c r="H299" s="869"/>
      <c r="I299" s="1112"/>
      <c r="J299" s="916"/>
      <c r="K299" s="197" t="s">
        <v>331</v>
      </c>
      <c r="L299" s="195">
        <v>15</v>
      </c>
      <c r="M299" s="3"/>
      <c r="N299" s="4"/>
      <c r="O299" s="195">
        <v>15</v>
      </c>
    </row>
    <row r="300" spans="2:15" s="24" customFormat="1" ht="50.1" customHeight="1" x14ac:dyDescent="0.2">
      <c r="B300" s="1048"/>
      <c r="C300" s="867" t="s">
        <v>358</v>
      </c>
      <c r="D300" s="868"/>
      <c r="E300" s="868"/>
      <c r="F300" s="868"/>
      <c r="G300" s="868"/>
      <c r="H300" s="869"/>
      <c r="I300" s="198" t="s">
        <v>256</v>
      </c>
      <c r="J300" s="199" t="s">
        <v>256</v>
      </c>
      <c r="K300" s="197" t="s">
        <v>331</v>
      </c>
      <c r="L300" s="195">
        <v>15</v>
      </c>
      <c r="M300" s="3"/>
      <c r="N300" s="4"/>
      <c r="O300" s="195">
        <v>15</v>
      </c>
    </row>
    <row r="301" spans="2:15" s="24" customFormat="1" ht="39.950000000000003" customHeight="1" x14ac:dyDescent="0.2">
      <c r="B301" s="60" t="s">
        <v>359</v>
      </c>
      <c r="C301" s="1050" t="s">
        <v>360</v>
      </c>
      <c r="D301" s="1050"/>
      <c r="E301" s="1050"/>
      <c r="F301" s="1050"/>
      <c r="G301" s="1050"/>
      <c r="H301" s="1050"/>
      <c r="I301" s="61">
        <v>0</v>
      </c>
      <c r="J301" s="42">
        <v>1</v>
      </c>
      <c r="K301" s="197" t="s">
        <v>331</v>
      </c>
      <c r="L301" s="195">
        <v>15</v>
      </c>
      <c r="M301" s="3"/>
      <c r="N301" s="46" t="s">
        <v>30</v>
      </c>
      <c r="O301" s="195">
        <v>15</v>
      </c>
    </row>
    <row r="302" spans="2:15" s="24" customFormat="1" ht="39.75" customHeight="1" x14ac:dyDescent="0.2">
      <c r="B302" s="867" t="s">
        <v>361</v>
      </c>
      <c r="C302" s="868"/>
      <c r="D302" s="868"/>
      <c r="E302" s="868"/>
      <c r="F302" s="868"/>
      <c r="G302" s="868"/>
      <c r="H302" s="868"/>
      <c r="I302" s="868"/>
      <c r="J302" s="869"/>
      <c r="K302" s="197" t="s">
        <v>331</v>
      </c>
      <c r="L302" s="195">
        <v>15</v>
      </c>
      <c r="M302" s="3"/>
      <c r="N302" s="46" t="s">
        <v>30</v>
      </c>
      <c r="O302" s="195">
        <v>15</v>
      </c>
    </row>
    <row r="303" spans="2:15" s="24" customFormat="1" ht="20.100000000000001" customHeight="1" x14ac:dyDescent="0.2">
      <c r="B303" s="192"/>
      <c r="C303" s="192"/>
      <c r="D303" s="192"/>
      <c r="E303" s="192"/>
      <c r="F303" s="192"/>
      <c r="G303" s="192"/>
      <c r="H303" s="192"/>
      <c r="I303" s="192"/>
      <c r="J303" s="200"/>
      <c r="K303" s="197"/>
      <c r="L303" s="195"/>
      <c r="M303" s="3"/>
      <c r="N303" s="46"/>
      <c r="O303" s="195"/>
    </row>
    <row r="304" spans="2:15" s="24" customFormat="1" ht="30" customHeight="1" x14ac:dyDescent="0.2">
      <c r="B304" s="1070" t="s">
        <v>362</v>
      </c>
      <c r="C304" s="1070"/>
      <c r="D304" s="1070"/>
      <c r="E304" s="1070"/>
      <c r="F304" s="1070"/>
      <c r="G304" s="1070"/>
      <c r="H304" s="1070"/>
      <c r="I304" s="94" t="s">
        <v>130</v>
      </c>
      <c r="J304" s="35" t="s">
        <v>18</v>
      </c>
      <c r="K304" s="197" t="s">
        <v>331</v>
      </c>
      <c r="L304" s="195">
        <v>15</v>
      </c>
      <c r="M304" s="181"/>
      <c r="N304" s="46" t="s">
        <v>30</v>
      </c>
      <c r="O304" s="195">
        <v>15</v>
      </c>
    </row>
    <row r="305" spans="2:15" s="24" customFormat="1" ht="69.95" customHeight="1" x14ac:dyDescent="0.2">
      <c r="B305" s="867" t="s">
        <v>363</v>
      </c>
      <c r="C305" s="868"/>
      <c r="D305" s="868"/>
      <c r="E305" s="868"/>
      <c r="F305" s="868"/>
      <c r="G305" s="868"/>
      <c r="H305" s="868"/>
      <c r="I305" s="868"/>
      <c r="J305" s="869"/>
      <c r="K305" s="197" t="s">
        <v>331</v>
      </c>
      <c r="L305" s="195">
        <v>15</v>
      </c>
      <c r="M305" s="181"/>
      <c r="N305" s="67"/>
      <c r="O305" s="195">
        <v>15</v>
      </c>
    </row>
    <row r="306" spans="2:15" s="24" customFormat="1" ht="30" customHeight="1" x14ac:dyDescent="0.2">
      <c r="B306" s="1047" t="s">
        <v>364</v>
      </c>
      <c r="C306" s="1050" t="s">
        <v>365</v>
      </c>
      <c r="D306" s="1050"/>
      <c r="E306" s="1050"/>
      <c r="F306" s="1050"/>
      <c r="G306" s="1050"/>
      <c r="H306" s="1050"/>
      <c r="I306" s="1110">
        <v>0</v>
      </c>
      <c r="J306" s="915">
        <v>1</v>
      </c>
      <c r="K306" s="197" t="s">
        <v>331</v>
      </c>
      <c r="L306" s="195">
        <v>15</v>
      </c>
      <c r="M306" s="181"/>
      <c r="N306" s="67"/>
      <c r="O306" s="195">
        <v>15</v>
      </c>
    </row>
    <row r="307" spans="2:15" s="24" customFormat="1" ht="30" customHeight="1" x14ac:dyDescent="0.2">
      <c r="B307" s="1109"/>
      <c r="C307" s="1050" t="s">
        <v>366</v>
      </c>
      <c r="D307" s="1050"/>
      <c r="E307" s="1050"/>
      <c r="F307" s="1050"/>
      <c r="G307" s="1050"/>
      <c r="H307" s="1050"/>
      <c r="I307" s="1111"/>
      <c r="J307" s="1045"/>
      <c r="K307" s="197" t="s">
        <v>331</v>
      </c>
      <c r="L307" s="195">
        <v>15</v>
      </c>
      <c r="M307" s="181"/>
      <c r="N307" s="67"/>
      <c r="O307" s="195">
        <v>15</v>
      </c>
    </row>
    <row r="308" spans="2:15" s="24" customFormat="1" ht="30" customHeight="1" x14ac:dyDescent="0.2">
      <c r="B308" s="1048"/>
      <c r="C308" s="1050" t="s">
        <v>367</v>
      </c>
      <c r="D308" s="1050"/>
      <c r="E308" s="1050"/>
      <c r="F308" s="1050"/>
      <c r="G308" s="1050"/>
      <c r="H308" s="1050"/>
      <c r="I308" s="1112"/>
      <c r="J308" s="916"/>
      <c r="K308" s="197" t="s">
        <v>331</v>
      </c>
      <c r="L308" s="195">
        <v>15</v>
      </c>
      <c r="M308" s="181"/>
      <c r="N308" s="67"/>
      <c r="O308" s="195">
        <v>15</v>
      </c>
    </row>
    <row r="309" spans="2:15" s="24" customFormat="1" ht="90" customHeight="1" x14ac:dyDescent="0.2">
      <c r="B309" s="867" t="s">
        <v>368</v>
      </c>
      <c r="C309" s="868"/>
      <c r="D309" s="868"/>
      <c r="E309" s="868"/>
      <c r="F309" s="868"/>
      <c r="G309" s="868"/>
      <c r="H309" s="868"/>
      <c r="I309" s="868"/>
      <c r="J309" s="869"/>
      <c r="K309" s="197" t="s">
        <v>331</v>
      </c>
      <c r="L309" s="195">
        <v>15</v>
      </c>
      <c r="M309" s="181"/>
      <c r="N309" s="67"/>
      <c r="O309" s="195">
        <v>15</v>
      </c>
    </row>
    <row r="310" spans="2:15" s="24" customFormat="1" ht="20.100000000000001" customHeight="1" x14ac:dyDescent="0.2">
      <c r="B310" s="192"/>
      <c r="C310" s="192"/>
      <c r="D310" s="192"/>
      <c r="E310" s="192"/>
      <c r="F310" s="192"/>
      <c r="G310" s="192"/>
      <c r="H310" s="192"/>
      <c r="I310" s="192"/>
      <c r="J310" s="200"/>
      <c r="K310" s="1"/>
      <c r="L310" s="21"/>
      <c r="M310" s="22"/>
      <c r="N310" s="4"/>
      <c r="O310" s="21"/>
    </row>
    <row r="311" spans="2:15" s="24" customFormat="1" ht="30" customHeight="1" x14ac:dyDescent="0.2">
      <c r="B311" s="1087" t="s">
        <v>369</v>
      </c>
      <c r="C311" s="1088"/>
      <c r="D311" s="1088"/>
      <c r="E311" s="1088"/>
      <c r="F311" s="1088"/>
      <c r="G311" s="1088"/>
      <c r="H311" s="1088"/>
      <c r="I311" s="201" t="s">
        <v>130</v>
      </c>
      <c r="J311" s="35" t="s">
        <v>18</v>
      </c>
      <c r="K311" s="36" t="s">
        <v>370</v>
      </c>
      <c r="L311" s="37">
        <v>44</v>
      </c>
      <c r="M311" s="68"/>
      <c r="N311" s="182" t="s">
        <v>30</v>
      </c>
      <c r="O311" s="37">
        <v>44</v>
      </c>
    </row>
    <row r="312" spans="2:15" s="24" customFormat="1" ht="30" customHeight="1" x14ac:dyDescent="0.2">
      <c r="B312" s="1105" t="s">
        <v>371</v>
      </c>
      <c r="C312" s="1106"/>
      <c r="D312" s="1106"/>
      <c r="E312" s="1106"/>
      <c r="F312" s="1106"/>
      <c r="G312" s="1106"/>
      <c r="H312" s="1106"/>
      <c r="I312" s="1106"/>
      <c r="J312" s="1107"/>
      <c r="K312" s="36" t="s">
        <v>370</v>
      </c>
      <c r="L312" s="37">
        <v>44</v>
      </c>
      <c r="M312" s="181"/>
      <c r="N312" s="67"/>
      <c r="O312" s="37">
        <v>44</v>
      </c>
    </row>
    <row r="313" spans="2:15" s="24" customFormat="1" ht="30" customHeight="1" x14ac:dyDescent="0.2">
      <c r="B313" s="976" t="s">
        <v>372</v>
      </c>
      <c r="C313" s="977"/>
      <c r="D313" s="977"/>
      <c r="E313" s="977"/>
      <c r="F313" s="977"/>
      <c r="G313" s="977"/>
      <c r="H313" s="977"/>
      <c r="I313" s="977"/>
      <c r="J313" s="978"/>
      <c r="K313" s="36" t="s">
        <v>370</v>
      </c>
      <c r="L313" s="37">
        <v>44</v>
      </c>
      <c r="M313" s="181"/>
      <c r="N313" s="67"/>
      <c r="O313" s="37">
        <v>44</v>
      </c>
    </row>
    <row r="314" spans="2:15" s="24" customFormat="1" ht="30" customHeight="1" x14ac:dyDescent="0.2">
      <c r="B314" s="202" t="s">
        <v>373</v>
      </c>
      <c r="C314" s="1103" t="s">
        <v>374</v>
      </c>
      <c r="D314" s="1104"/>
      <c r="E314" s="1108" t="s">
        <v>34</v>
      </c>
      <c r="F314" s="1108"/>
      <c r="G314" s="203"/>
      <c r="H314" s="204"/>
      <c r="I314" s="205">
        <v>30</v>
      </c>
      <c r="J314" s="75">
        <v>0.9</v>
      </c>
      <c r="K314" s="36" t="s">
        <v>370</v>
      </c>
      <c r="L314" s="37">
        <v>44</v>
      </c>
      <c r="M314" s="181"/>
      <c r="N314" s="67"/>
      <c r="O314" s="37">
        <v>44</v>
      </c>
    </row>
    <row r="315" spans="2:15" s="24" customFormat="1" ht="30" customHeight="1" x14ac:dyDescent="0.2">
      <c r="B315" s="202" t="s">
        <v>375</v>
      </c>
      <c r="C315" s="1103" t="s">
        <v>376</v>
      </c>
      <c r="D315" s="1104"/>
      <c r="E315" s="1104" t="s">
        <v>29</v>
      </c>
      <c r="F315" s="1104"/>
      <c r="G315" s="203"/>
      <c r="H315" s="204"/>
      <c r="I315" s="205">
        <v>50</v>
      </c>
      <c r="J315" s="75">
        <v>0.6</v>
      </c>
      <c r="K315" s="36" t="s">
        <v>370</v>
      </c>
      <c r="L315" s="37">
        <v>44</v>
      </c>
      <c r="M315" s="181"/>
      <c r="N315" s="67"/>
      <c r="O315" s="37">
        <v>44</v>
      </c>
    </row>
    <row r="316" spans="2:15" s="24" customFormat="1" ht="30" customHeight="1" x14ac:dyDescent="0.2">
      <c r="B316" s="952" t="s">
        <v>377</v>
      </c>
      <c r="C316" s="927" t="s">
        <v>378</v>
      </c>
      <c r="D316" s="928"/>
      <c r="E316" s="986" t="s">
        <v>42</v>
      </c>
      <c r="F316" s="986"/>
      <c r="G316" s="986" t="s">
        <v>63</v>
      </c>
      <c r="H316" s="987"/>
      <c r="I316" s="1093">
        <v>50</v>
      </c>
      <c r="J316" s="1092">
        <v>0.6</v>
      </c>
      <c r="K316" s="36" t="s">
        <v>370</v>
      </c>
      <c r="L316" s="37">
        <v>44</v>
      </c>
      <c r="M316" s="181"/>
      <c r="N316" s="67"/>
      <c r="O316" s="37">
        <v>44</v>
      </c>
    </row>
    <row r="317" spans="2:15" s="24" customFormat="1" ht="30" customHeight="1" x14ac:dyDescent="0.2">
      <c r="B317" s="953"/>
      <c r="C317" s="965" t="s">
        <v>379</v>
      </c>
      <c r="D317" s="957"/>
      <c r="E317" s="957" t="s">
        <v>380</v>
      </c>
      <c r="F317" s="957"/>
      <c r="G317" s="957" t="s">
        <v>56</v>
      </c>
      <c r="H317" s="958"/>
      <c r="I317" s="1093"/>
      <c r="J317" s="1092"/>
      <c r="K317" s="36" t="s">
        <v>370</v>
      </c>
      <c r="L317" s="37">
        <v>44</v>
      </c>
      <c r="M317" s="181"/>
      <c r="N317" s="67"/>
      <c r="O317" s="37">
        <v>44</v>
      </c>
    </row>
    <row r="318" spans="2:15" s="24" customFormat="1" ht="30" customHeight="1" x14ac:dyDescent="0.2">
      <c r="B318" s="953"/>
      <c r="C318" s="206" t="s">
        <v>43</v>
      </c>
      <c r="D318" s="207"/>
      <c r="E318" s="957" t="s">
        <v>381</v>
      </c>
      <c r="F318" s="957"/>
      <c r="G318" s="957" t="s">
        <v>287</v>
      </c>
      <c r="H318" s="958"/>
      <c r="I318" s="1093"/>
      <c r="J318" s="1092"/>
      <c r="K318" s="36" t="s">
        <v>370</v>
      </c>
      <c r="L318" s="37">
        <v>44</v>
      </c>
      <c r="M318" s="181"/>
      <c r="N318" s="67"/>
      <c r="O318" s="37">
        <v>44</v>
      </c>
    </row>
    <row r="319" spans="2:15" s="24" customFormat="1" ht="30" customHeight="1" x14ac:dyDescent="0.2">
      <c r="B319" s="115" t="s">
        <v>382</v>
      </c>
      <c r="C319" s="1086" t="s">
        <v>383</v>
      </c>
      <c r="D319" s="1086"/>
      <c r="E319" s="1086"/>
      <c r="F319" s="1086"/>
      <c r="G319" s="1086"/>
      <c r="H319" s="1086"/>
      <c r="I319" s="208">
        <v>60</v>
      </c>
      <c r="J319" s="75">
        <v>0.6</v>
      </c>
      <c r="K319" s="36" t="s">
        <v>370</v>
      </c>
      <c r="L319" s="37">
        <v>44</v>
      </c>
      <c r="M319" s="181"/>
      <c r="N319" s="67"/>
      <c r="O319" s="37">
        <v>44</v>
      </c>
    </row>
    <row r="320" spans="2:15" s="24" customFormat="1" ht="30" customHeight="1" x14ac:dyDescent="0.2">
      <c r="B320" s="976" t="s">
        <v>384</v>
      </c>
      <c r="C320" s="977"/>
      <c r="D320" s="977"/>
      <c r="E320" s="977"/>
      <c r="F320" s="977"/>
      <c r="G320" s="977"/>
      <c r="H320" s="977"/>
      <c r="I320" s="977"/>
      <c r="J320" s="978"/>
      <c r="K320" s="36" t="s">
        <v>370</v>
      </c>
      <c r="L320" s="37">
        <v>44</v>
      </c>
      <c r="M320" s="181"/>
      <c r="N320" s="182" t="s">
        <v>30</v>
      </c>
      <c r="O320" s="37">
        <v>44</v>
      </c>
    </row>
    <row r="321" spans="1:25" ht="30" customHeight="1" x14ac:dyDescent="0.2">
      <c r="A321" s="24"/>
      <c r="B321" s="1081" t="s">
        <v>373</v>
      </c>
      <c r="C321" s="1067" t="s">
        <v>385</v>
      </c>
      <c r="D321" s="1068"/>
      <c r="E321" s="1068"/>
      <c r="F321" s="1068"/>
      <c r="G321" s="1068"/>
      <c r="H321" s="1069"/>
      <c r="I321" s="205">
        <v>0</v>
      </c>
      <c r="J321" s="75">
        <v>1</v>
      </c>
      <c r="K321" s="36" t="s">
        <v>370</v>
      </c>
      <c r="L321" s="37">
        <v>44</v>
      </c>
      <c r="M321" s="181"/>
      <c r="N321" s="67"/>
      <c r="O321" s="37">
        <v>44</v>
      </c>
      <c r="P321" s="24"/>
    </row>
    <row r="322" spans="1:25" ht="30" customHeight="1" x14ac:dyDescent="0.2">
      <c r="A322" s="24"/>
      <c r="B322" s="1099"/>
      <c r="C322" s="1100" t="s">
        <v>386</v>
      </c>
      <c r="D322" s="1101"/>
      <c r="E322" s="1101"/>
      <c r="F322" s="1101"/>
      <c r="G322" s="1101"/>
      <c r="H322" s="1102"/>
      <c r="I322" s="205">
        <v>0</v>
      </c>
      <c r="J322" s="75">
        <v>0.7</v>
      </c>
      <c r="K322" s="36" t="s">
        <v>370</v>
      </c>
      <c r="L322" s="37">
        <v>44</v>
      </c>
      <c r="M322" s="181"/>
      <c r="N322" s="67"/>
      <c r="O322" s="37">
        <v>44</v>
      </c>
      <c r="P322" s="24"/>
    </row>
    <row r="323" spans="1:25" ht="30" customHeight="1" x14ac:dyDescent="0.2">
      <c r="A323" s="24"/>
      <c r="B323" s="209" t="s">
        <v>375</v>
      </c>
      <c r="C323" s="1103" t="s">
        <v>376</v>
      </c>
      <c r="D323" s="1104"/>
      <c r="E323" s="1104" t="s">
        <v>29</v>
      </c>
      <c r="F323" s="1104"/>
      <c r="G323" s="210"/>
      <c r="H323" s="211"/>
      <c r="I323" s="212">
        <v>0</v>
      </c>
      <c r="J323" s="75">
        <v>0.5</v>
      </c>
      <c r="K323" s="36" t="s">
        <v>370</v>
      </c>
      <c r="L323" s="37">
        <v>44</v>
      </c>
      <c r="M323" s="181"/>
      <c r="N323" s="67"/>
      <c r="O323" s="37">
        <v>44</v>
      </c>
      <c r="P323" s="24"/>
    </row>
    <row r="324" spans="1:25" ht="30" customHeight="1" x14ac:dyDescent="0.2">
      <c r="A324" s="24"/>
      <c r="B324" s="202" t="s">
        <v>387</v>
      </c>
      <c r="C324" s="1094" t="s">
        <v>388</v>
      </c>
      <c r="D324" s="1095"/>
      <c r="E324" s="1095"/>
      <c r="F324" s="1095"/>
      <c r="G324" s="1095"/>
      <c r="H324" s="1096"/>
      <c r="I324" s="205">
        <v>0</v>
      </c>
      <c r="J324" s="75">
        <v>0.7</v>
      </c>
      <c r="K324" s="36" t="s">
        <v>370</v>
      </c>
      <c r="L324" s="37">
        <v>44</v>
      </c>
      <c r="M324" s="181"/>
      <c r="N324" s="67"/>
      <c r="O324" s="37">
        <v>44</v>
      </c>
      <c r="P324" s="24"/>
    </row>
    <row r="325" spans="1:25" ht="30" customHeight="1" x14ac:dyDescent="0.2">
      <c r="A325" s="24"/>
      <c r="B325" s="202" t="s">
        <v>382</v>
      </c>
      <c r="C325" s="1086" t="s">
        <v>383</v>
      </c>
      <c r="D325" s="1086"/>
      <c r="E325" s="1086"/>
      <c r="F325" s="1086"/>
      <c r="G325" s="1086"/>
      <c r="H325" s="1086"/>
      <c r="I325" s="205">
        <v>0</v>
      </c>
      <c r="J325" s="75">
        <v>0.5</v>
      </c>
      <c r="K325" s="36" t="s">
        <v>370</v>
      </c>
      <c r="L325" s="37">
        <v>44</v>
      </c>
      <c r="M325" s="181"/>
      <c r="N325" s="67"/>
      <c r="O325" s="37">
        <v>44</v>
      </c>
      <c r="P325" s="24"/>
    </row>
    <row r="326" spans="1:25" ht="44.25" customHeight="1" x14ac:dyDescent="0.2">
      <c r="A326" s="24"/>
      <c r="B326" s="1089" t="s">
        <v>389</v>
      </c>
      <c r="C326" s="1090"/>
      <c r="D326" s="1090"/>
      <c r="E326" s="1090"/>
      <c r="F326" s="1090"/>
      <c r="G326" s="1090"/>
      <c r="H326" s="1091"/>
      <c r="I326" s="205">
        <v>0</v>
      </c>
      <c r="J326" s="75">
        <v>0.5</v>
      </c>
      <c r="K326" s="36" t="s">
        <v>370</v>
      </c>
      <c r="L326" s="37">
        <v>44</v>
      </c>
      <c r="M326" s="181"/>
      <c r="N326" s="67"/>
      <c r="O326" s="37">
        <v>44</v>
      </c>
      <c r="P326" s="24"/>
    </row>
    <row r="327" spans="1:25" ht="30" customHeight="1" x14ac:dyDescent="0.2">
      <c r="A327" s="24"/>
      <c r="B327" s="949" t="s">
        <v>390</v>
      </c>
      <c r="C327" s="950"/>
      <c r="D327" s="950"/>
      <c r="E327" s="950"/>
      <c r="F327" s="950"/>
      <c r="G327" s="950"/>
      <c r="H327" s="950"/>
      <c r="I327" s="950"/>
      <c r="J327" s="951"/>
      <c r="K327" s="36" t="s">
        <v>370</v>
      </c>
      <c r="L327" s="37">
        <v>44</v>
      </c>
      <c r="M327" s="181"/>
      <c r="N327" s="182" t="s">
        <v>30</v>
      </c>
      <c r="O327" s="37">
        <v>44</v>
      </c>
      <c r="P327" s="24"/>
    </row>
    <row r="328" spans="1:25" ht="30" customHeight="1" x14ac:dyDescent="0.2">
      <c r="A328" s="24"/>
      <c r="B328" s="202" t="s">
        <v>373</v>
      </c>
      <c r="C328" s="1097" t="s">
        <v>376</v>
      </c>
      <c r="D328" s="1098"/>
      <c r="E328" s="1098"/>
      <c r="F328" s="1098" t="s">
        <v>29</v>
      </c>
      <c r="G328" s="1098"/>
      <c r="H328" s="1098"/>
      <c r="I328" s="205">
        <v>400</v>
      </c>
      <c r="J328" s="75">
        <v>0.6</v>
      </c>
      <c r="K328" s="36" t="s">
        <v>370</v>
      </c>
      <c r="L328" s="37">
        <v>44</v>
      </c>
      <c r="M328" s="181"/>
      <c r="N328" s="67"/>
      <c r="O328" s="37">
        <v>44</v>
      </c>
      <c r="P328" s="24"/>
    </row>
    <row r="329" spans="1:25" ht="30" customHeight="1" x14ac:dyDescent="0.2">
      <c r="A329" s="24"/>
      <c r="B329" s="202" t="s">
        <v>375</v>
      </c>
      <c r="C329" s="1086" t="s">
        <v>383</v>
      </c>
      <c r="D329" s="1086"/>
      <c r="E329" s="1086"/>
      <c r="F329" s="1086"/>
      <c r="G329" s="1086"/>
      <c r="H329" s="1086"/>
      <c r="I329" s="205">
        <v>500</v>
      </c>
      <c r="J329" s="75">
        <v>0.5</v>
      </c>
      <c r="K329" s="36" t="s">
        <v>370</v>
      </c>
      <c r="L329" s="37">
        <v>44</v>
      </c>
      <c r="M329" s="181"/>
      <c r="N329" s="67"/>
      <c r="O329" s="37">
        <v>44</v>
      </c>
      <c r="P329" s="24"/>
    </row>
    <row r="330" spans="1:25" ht="43.5" customHeight="1" x14ac:dyDescent="0.2">
      <c r="A330" s="24"/>
      <c r="B330" s="952" t="s">
        <v>377</v>
      </c>
      <c r="C330" s="927" t="s">
        <v>378</v>
      </c>
      <c r="D330" s="928"/>
      <c r="E330" s="986" t="s">
        <v>42</v>
      </c>
      <c r="F330" s="986"/>
      <c r="G330" s="986" t="s">
        <v>63</v>
      </c>
      <c r="H330" s="987"/>
      <c r="I330" s="1093">
        <v>400</v>
      </c>
      <c r="J330" s="1092">
        <v>0.6</v>
      </c>
      <c r="K330" s="36" t="s">
        <v>370</v>
      </c>
      <c r="L330" s="37">
        <v>44</v>
      </c>
      <c r="M330" s="181"/>
      <c r="N330" s="67"/>
      <c r="O330" s="37">
        <v>44</v>
      </c>
      <c r="P330" s="24"/>
    </row>
    <row r="331" spans="1:25" ht="30" customHeight="1" x14ac:dyDescent="0.2">
      <c r="A331" s="24"/>
      <c r="B331" s="953"/>
      <c r="C331" s="965" t="s">
        <v>379</v>
      </c>
      <c r="D331" s="957"/>
      <c r="E331" s="957" t="s">
        <v>380</v>
      </c>
      <c r="F331" s="957"/>
      <c r="G331" s="957" t="s">
        <v>56</v>
      </c>
      <c r="H331" s="958"/>
      <c r="I331" s="1093"/>
      <c r="J331" s="1092"/>
      <c r="K331" s="36" t="s">
        <v>370</v>
      </c>
      <c r="L331" s="37">
        <v>44</v>
      </c>
      <c r="M331" s="181"/>
      <c r="N331" s="67"/>
      <c r="O331" s="37">
        <v>44</v>
      </c>
      <c r="P331" s="24"/>
    </row>
    <row r="332" spans="1:25" ht="30" customHeight="1" x14ac:dyDescent="0.2">
      <c r="A332" s="24"/>
      <c r="B332" s="954"/>
      <c r="C332" s="971" t="s">
        <v>287</v>
      </c>
      <c r="D332" s="944"/>
      <c r="E332" s="944" t="s">
        <v>381</v>
      </c>
      <c r="F332" s="944"/>
      <c r="G332" s="944"/>
      <c r="H332" s="945"/>
      <c r="I332" s="1093"/>
      <c r="J332" s="1092"/>
      <c r="K332" s="36" t="s">
        <v>370</v>
      </c>
      <c r="L332" s="37">
        <v>44</v>
      </c>
      <c r="M332" s="181"/>
      <c r="N332" s="67"/>
      <c r="O332" s="37">
        <v>44</v>
      </c>
      <c r="P332" s="24"/>
    </row>
    <row r="333" spans="1:25" ht="30" customHeight="1" x14ac:dyDescent="0.2">
      <c r="A333" s="24"/>
      <c r="B333" s="202" t="s">
        <v>382</v>
      </c>
      <c r="C333" s="1086" t="s">
        <v>383</v>
      </c>
      <c r="D333" s="1086"/>
      <c r="E333" s="1086"/>
      <c r="F333" s="1086"/>
      <c r="G333" s="1086"/>
      <c r="H333" s="1086"/>
      <c r="I333" s="205">
        <v>500</v>
      </c>
      <c r="J333" s="75">
        <v>0.5</v>
      </c>
      <c r="K333" s="36" t="s">
        <v>370</v>
      </c>
      <c r="L333" s="37">
        <v>44</v>
      </c>
      <c r="M333" s="181"/>
      <c r="N333" s="67"/>
      <c r="O333" s="37">
        <v>44</v>
      </c>
    </row>
    <row r="334" spans="1:25" s="45" customFormat="1" ht="20.100000000000001" customHeight="1" x14ac:dyDescent="0.2">
      <c r="B334" s="192"/>
      <c r="C334" s="192"/>
      <c r="D334" s="192"/>
      <c r="E334" s="192"/>
      <c r="F334" s="192"/>
      <c r="G334" s="192"/>
      <c r="H334" s="192"/>
      <c r="I334" s="192"/>
      <c r="J334" s="200"/>
      <c r="K334" s="1"/>
      <c r="L334" s="21"/>
      <c r="M334" s="22"/>
      <c r="N334" s="4"/>
      <c r="O334" s="21"/>
      <c r="P334" s="66"/>
      <c r="U334" s="70"/>
      <c r="V334" s="184"/>
      <c r="W334" s="185"/>
      <c r="X334" s="186"/>
      <c r="Y334" s="69"/>
    </row>
    <row r="335" spans="1:25" s="45" customFormat="1" ht="30" customHeight="1" x14ac:dyDescent="0.2">
      <c r="A335" s="66"/>
      <c r="B335" s="1087" t="s">
        <v>391</v>
      </c>
      <c r="C335" s="1088"/>
      <c r="D335" s="1088"/>
      <c r="E335" s="1088"/>
      <c r="F335" s="1088"/>
      <c r="G335" s="1088"/>
      <c r="H335" s="1088"/>
      <c r="I335" s="201" t="s">
        <v>130</v>
      </c>
      <c r="J335" s="35" t="s">
        <v>18</v>
      </c>
      <c r="K335" s="213" t="s">
        <v>392</v>
      </c>
      <c r="L335" s="37">
        <v>46</v>
      </c>
      <c r="M335" s="68"/>
      <c r="N335" s="182" t="s">
        <v>30</v>
      </c>
      <c r="O335" s="37">
        <v>46</v>
      </c>
      <c r="P335" s="66"/>
      <c r="U335" s="70"/>
      <c r="V335" s="70"/>
      <c r="W335" s="187"/>
      <c r="X335" s="69"/>
      <c r="Y335" s="69"/>
    </row>
    <row r="336" spans="1:25" s="45" customFormat="1" ht="69.95" customHeight="1" x14ac:dyDescent="0.2">
      <c r="B336" s="1089" t="s">
        <v>393</v>
      </c>
      <c r="C336" s="1090"/>
      <c r="D336" s="1090"/>
      <c r="E336" s="1090"/>
      <c r="F336" s="1090"/>
      <c r="G336" s="1090"/>
      <c r="H336" s="1090"/>
      <c r="I336" s="1090"/>
      <c r="J336" s="1091"/>
      <c r="K336" s="213" t="s">
        <v>392</v>
      </c>
      <c r="L336" s="37">
        <v>46</v>
      </c>
      <c r="M336" s="68"/>
      <c r="N336" s="67"/>
      <c r="O336" s="37">
        <v>46</v>
      </c>
      <c r="P336" s="66"/>
      <c r="U336" s="70"/>
      <c r="V336" s="70"/>
      <c r="W336" s="187"/>
      <c r="X336" s="69"/>
      <c r="Y336" s="69"/>
    </row>
    <row r="337" spans="1:25" s="45" customFormat="1" ht="30" customHeight="1" x14ac:dyDescent="0.2">
      <c r="B337" s="1073" t="s">
        <v>394</v>
      </c>
      <c r="C337" s="1074"/>
      <c r="D337" s="1074"/>
      <c r="E337" s="1074"/>
      <c r="F337" s="1074"/>
      <c r="G337" s="1074"/>
      <c r="H337" s="1074"/>
      <c r="I337" s="1074"/>
      <c r="J337" s="1075"/>
      <c r="K337" s="213" t="s">
        <v>392</v>
      </c>
      <c r="L337" s="37">
        <v>46</v>
      </c>
      <c r="M337" s="68"/>
      <c r="N337" s="67"/>
      <c r="O337" s="37">
        <v>46</v>
      </c>
      <c r="P337" s="66"/>
      <c r="U337" s="70"/>
      <c r="V337" s="70"/>
      <c r="W337" s="187"/>
      <c r="X337" s="69"/>
      <c r="Y337" s="69"/>
    </row>
    <row r="338" spans="1:25" s="45" customFormat="1" ht="30" customHeight="1" x14ac:dyDescent="0.2">
      <c r="B338" s="209" t="s">
        <v>395</v>
      </c>
      <c r="C338" s="1076" t="s">
        <v>74</v>
      </c>
      <c r="D338" s="1077"/>
      <c r="E338" s="1077" t="s">
        <v>80</v>
      </c>
      <c r="F338" s="1077"/>
      <c r="G338" s="1077"/>
      <c r="H338" s="1078"/>
      <c r="I338" s="214">
        <v>60</v>
      </c>
      <c r="J338" s="109">
        <v>0.6</v>
      </c>
      <c r="K338" s="213" t="s">
        <v>392</v>
      </c>
      <c r="L338" s="37">
        <v>46</v>
      </c>
      <c r="M338" s="68"/>
      <c r="N338" s="67"/>
      <c r="O338" s="37">
        <v>46</v>
      </c>
      <c r="P338" s="66"/>
      <c r="U338" s="70"/>
      <c r="V338" s="70"/>
      <c r="W338" s="187"/>
      <c r="X338" s="69"/>
      <c r="Y338" s="69"/>
    </row>
    <row r="339" spans="1:25" s="45" customFormat="1" ht="39" customHeight="1" x14ac:dyDescent="0.2">
      <c r="B339" s="982" t="s">
        <v>396</v>
      </c>
      <c r="C339" s="927" t="s">
        <v>378</v>
      </c>
      <c r="D339" s="928"/>
      <c r="E339" s="986" t="s">
        <v>42</v>
      </c>
      <c r="F339" s="986"/>
      <c r="G339" s="986" t="s">
        <v>63</v>
      </c>
      <c r="H339" s="987"/>
      <c r="I339" s="1083">
        <v>60</v>
      </c>
      <c r="J339" s="962">
        <v>0.6</v>
      </c>
      <c r="K339" s="213" t="s">
        <v>392</v>
      </c>
      <c r="L339" s="37">
        <v>46</v>
      </c>
      <c r="M339" s="68"/>
      <c r="N339" s="67"/>
      <c r="O339" s="37">
        <v>46</v>
      </c>
      <c r="P339" s="66"/>
      <c r="U339" s="70"/>
      <c r="V339" s="70"/>
      <c r="W339" s="187"/>
      <c r="X339" s="69"/>
      <c r="Y339" s="69"/>
    </row>
    <row r="340" spans="1:25" s="45" customFormat="1" ht="30" customHeight="1" x14ac:dyDescent="0.2">
      <c r="B340" s="983"/>
      <c r="C340" s="965" t="s">
        <v>379</v>
      </c>
      <c r="D340" s="957"/>
      <c r="E340" s="957" t="s">
        <v>380</v>
      </c>
      <c r="F340" s="957"/>
      <c r="G340" s="957" t="s">
        <v>287</v>
      </c>
      <c r="H340" s="958"/>
      <c r="I340" s="1084"/>
      <c r="J340" s="963"/>
      <c r="K340" s="213" t="s">
        <v>392</v>
      </c>
      <c r="L340" s="37">
        <v>46</v>
      </c>
      <c r="M340" s="68"/>
      <c r="N340" s="67"/>
      <c r="O340" s="37">
        <v>46</v>
      </c>
      <c r="P340" s="66"/>
      <c r="U340" s="70"/>
      <c r="V340" s="70"/>
      <c r="W340" s="187"/>
      <c r="X340" s="69"/>
      <c r="Y340" s="69"/>
    </row>
    <row r="341" spans="1:25" s="45" customFormat="1" ht="30" customHeight="1" x14ac:dyDescent="0.2">
      <c r="B341" s="984"/>
      <c r="C341" s="215" t="s">
        <v>43</v>
      </c>
      <c r="D341" s="216"/>
      <c r="E341" s="944" t="s">
        <v>381</v>
      </c>
      <c r="F341" s="944"/>
      <c r="G341" s="944"/>
      <c r="H341" s="945"/>
      <c r="I341" s="1085"/>
      <c r="J341" s="964"/>
      <c r="K341" s="213" t="s">
        <v>392</v>
      </c>
      <c r="L341" s="37">
        <v>46</v>
      </c>
      <c r="M341" s="68"/>
      <c r="N341" s="67"/>
      <c r="O341" s="37">
        <v>46</v>
      </c>
      <c r="P341" s="66"/>
      <c r="U341" s="70"/>
      <c r="V341" s="70"/>
      <c r="W341" s="187"/>
      <c r="X341" s="69"/>
      <c r="Y341" s="69"/>
    </row>
    <row r="342" spans="1:25" s="45" customFormat="1" ht="30" customHeight="1" x14ac:dyDescent="0.2">
      <c r="B342" s="1073" t="s">
        <v>397</v>
      </c>
      <c r="C342" s="1074"/>
      <c r="D342" s="1074"/>
      <c r="E342" s="1074"/>
      <c r="F342" s="1074"/>
      <c r="G342" s="1074"/>
      <c r="H342" s="1074"/>
      <c r="I342" s="1074"/>
      <c r="J342" s="1075"/>
      <c r="K342" s="213" t="s">
        <v>392</v>
      </c>
      <c r="L342" s="37">
        <v>46</v>
      </c>
      <c r="M342" s="68"/>
      <c r="N342" s="182" t="s">
        <v>30</v>
      </c>
      <c r="O342" s="37">
        <v>46</v>
      </c>
      <c r="P342" s="66"/>
      <c r="U342" s="70"/>
      <c r="V342" s="70"/>
      <c r="W342" s="187"/>
      <c r="X342" s="69"/>
      <c r="Y342" s="69"/>
    </row>
    <row r="343" spans="1:25" s="45" customFormat="1" ht="30" customHeight="1" x14ac:dyDescent="0.2">
      <c r="B343" s="202" t="s">
        <v>398</v>
      </c>
      <c r="C343" s="1076" t="s">
        <v>74</v>
      </c>
      <c r="D343" s="1077"/>
      <c r="E343" s="1077" t="s">
        <v>399</v>
      </c>
      <c r="F343" s="1077"/>
      <c r="G343" s="1077"/>
      <c r="H343" s="1078"/>
      <c r="I343" s="217">
        <v>75</v>
      </c>
      <c r="J343" s="75">
        <v>1</v>
      </c>
      <c r="K343" s="213" t="s">
        <v>392</v>
      </c>
      <c r="L343" s="37">
        <v>46</v>
      </c>
      <c r="M343" s="68"/>
      <c r="N343" s="67"/>
      <c r="O343" s="37">
        <v>46</v>
      </c>
      <c r="P343" s="66"/>
      <c r="U343" s="70"/>
      <c r="V343" s="70"/>
      <c r="W343" s="187"/>
      <c r="X343" s="69"/>
      <c r="Y343" s="69"/>
    </row>
    <row r="344" spans="1:25" s="45" customFormat="1" ht="38.25" customHeight="1" x14ac:dyDescent="0.2">
      <c r="B344" s="1081" t="s">
        <v>400</v>
      </c>
      <c r="C344" s="928" t="s">
        <v>378</v>
      </c>
      <c r="D344" s="928"/>
      <c r="E344" s="986" t="s">
        <v>42</v>
      </c>
      <c r="F344" s="986"/>
      <c r="G344" s="986" t="s">
        <v>63</v>
      </c>
      <c r="H344" s="986"/>
      <c r="I344" s="1083">
        <v>75</v>
      </c>
      <c r="J344" s="962">
        <v>1</v>
      </c>
      <c r="K344" s="213" t="s">
        <v>392</v>
      </c>
      <c r="L344" s="37">
        <v>46</v>
      </c>
      <c r="M344" s="68"/>
      <c r="N344" s="67"/>
      <c r="O344" s="37">
        <v>46</v>
      </c>
      <c r="P344" s="66"/>
      <c r="U344" s="70"/>
      <c r="V344" s="70"/>
      <c r="W344" s="187"/>
      <c r="X344" s="69"/>
      <c r="Y344" s="69"/>
    </row>
    <row r="345" spans="1:25" s="45" customFormat="1" ht="30" customHeight="1" x14ac:dyDescent="0.2">
      <c r="B345" s="1082"/>
      <c r="C345" s="957" t="s">
        <v>379</v>
      </c>
      <c r="D345" s="957"/>
      <c r="E345" s="957" t="s">
        <v>380</v>
      </c>
      <c r="F345" s="957"/>
      <c r="G345" s="957" t="s">
        <v>401</v>
      </c>
      <c r="H345" s="957"/>
      <c r="I345" s="1084"/>
      <c r="J345" s="963"/>
      <c r="K345" s="213" t="s">
        <v>392</v>
      </c>
      <c r="L345" s="37">
        <v>46</v>
      </c>
      <c r="M345" s="68"/>
      <c r="N345" s="67"/>
      <c r="O345" s="37">
        <v>46</v>
      </c>
      <c r="P345" s="66"/>
      <c r="U345" s="70"/>
      <c r="V345" s="70"/>
      <c r="W345" s="187"/>
      <c r="X345" s="69"/>
      <c r="Y345" s="69"/>
    </row>
    <row r="346" spans="1:25" s="45" customFormat="1" ht="30" customHeight="1" x14ac:dyDescent="0.2">
      <c r="A346" s="66"/>
      <c r="B346" s="1082"/>
      <c r="C346" s="207" t="s">
        <v>43</v>
      </c>
      <c r="D346" s="207"/>
      <c r="E346" s="957" t="s">
        <v>381</v>
      </c>
      <c r="F346" s="957"/>
      <c r="G346" s="957" t="s">
        <v>287</v>
      </c>
      <c r="H346" s="957"/>
      <c r="I346" s="1084"/>
      <c r="J346" s="963"/>
      <c r="K346" s="213" t="s">
        <v>392</v>
      </c>
      <c r="L346" s="37">
        <v>46</v>
      </c>
      <c r="M346" s="68"/>
      <c r="N346" s="67"/>
      <c r="O346" s="37">
        <v>46</v>
      </c>
      <c r="P346" s="66"/>
      <c r="U346" s="70"/>
      <c r="V346" s="70"/>
      <c r="W346" s="187"/>
      <c r="X346" s="69"/>
      <c r="Y346" s="69"/>
    </row>
    <row r="347" spans="1:25" s="45" customFormat="1" ht="30" customHeight="1" x14ac:dyDescent="0.2">
      <c r="A347" s="66"/>
      <c r="B347" s="1082"/>
      <c r="C347" s="957" t="s">
        <v>402</v>
      </c>
      <c r="D347" s="957"/>
      <c r="E347" s="957" t="s">
        <v>403</v>
      </c>
      <c r="F347" s="957"/>
      <c r="G347" s="957" t="s">
        <v>66</v>
      </c>
      <c r="H347" s="958"/>
      <c r="I347" s="1084"/>
      <c r="J347" s="963"/>
      <c r="K347" s="213" t="s">
        <v>392</v>
      </c>
      <c r="L347" s="37">
        <v>46</v>
      </c>
      <c r="M347" s="68"/>
      <c r="N347" s="67"/>
      <c r="O347" s="37">
        <v>46</v>
      </c>
      <c r="P347" s="66"/>
      <c r="U347" s="70"/>
      <c r="V347" s="70"/>
      <c r="W347" s="187"/>
      <c r="X347" s="69"/>
      <c r="Y347" s="69"/>
    </row>
    <row r="348" spans="1:25" s="45" customFormat="1" ht="30" customHeight="1" x14ac:dyDescent="0.2">
      <c r="B348" s="1073" t="s">
        <v>404</v>
      </c>
      <c r="C348" s="1074"/>
      <c r="D348" s="1074"/>
      <c r="E348" s="1074"/>
      <c r="F348" s="1074"/>
      <c r="G348" s="1074"/>
      <c r="H348" s="1074"/>
      <c r="I348" s="1074"/>
      <c r="J348" s="1075"/>
      <c r="K348" s="213" t="s">
        <v>392</v>
      </c>
      <c r="L348" s="37">
        <v>46</v>
      </c>
      <c r="M348" s="68"/>
      <c r="N348" s="182" t="s">
        <v>30</v>
      </c>
      <c r="O348" s="37">
        <v>46</v>
      </c>
      <c r="P348" s="66"/>
      <c r="U348" s="70"/>
      <c r="V348" s="70"/>
      <c r="W348" s="187"/>
      <c r="X348" s="69"/>
      <c r="Y348" s="69"/>
    </row>
    <row r="349" spans="1:25" s="45" customFormat="1" ht="30" customHeight="1" x14ac:dyDescent="0.2">
      <c r="A349" s="66"/>
      <c r="B349" s="60" t="s">
        <v>405</v>
      </c>
      <c r="C349" s="218" t="s">
        <v>406</v>
      </c>
      <c r="D349" s="219"/>
      <c r="E349" s="219" t="s">
        <v>407</v>
      </c>
      <c r="F349" s="220"/>
      <c r="G349" s="219"/>
      <c r="H349" s="221"/>
      <c r="I349" s="74">
        <v>0</v>
      </c>
      <c r="J349" s="75">
        <v>0.7</v>
      </c>
      <c r="K349" s="213" t="s">
        <v>392</v>
      </c>
      <c r="L349" s="37">
        <v>46</v>
      </c>
      <c r="M349" s="68"/>
      <c r="N349" s="67"/>
      <c r="O349" s="37">
        <v>46</v>
      </c>
      <c r="P349" s="66"/>
      <c r="U349" s="70"/>
      <c r="V349" s="70"/>
      <c r="W349" s="187"/>
      <c r="X349" s="69"/>
      <c r="Y349" s="69"/>
    </row>
    <row r="350" spans="1:25" s="45" customFormat="1" ht="30" customHeight="1" x14ac:dyDescent="0.2">
      <c r="A350" s="66"/>
      <c r="B350" s="1073" t="s">
        <v>408</v>
      </c>
      <c r="C350" s="1074"/>
      <c r="D350" s="1074"/>
      <c r="E350" s="1074"/>
      <c r="F350" s="1074"/>
      <c r="G350" s="1074"/>
      <c r="H350" s="1074"/>
      <c r="I350" s="1074"/>
      <c r="J350" s="1075"/>
      <c r="K350" s="213" t="s">
        <v>392</v>
      </c>
      <c r="L350" s="37">
        <v>46</v>
      </c>
      <c r="M350" s="68"/>
      <c r="N350" s="182" t="s">
        <v>30</v>
      </c>
      <c r="O350" s="37">
        <v>46</v>
      </c>
      <c r="P350" s="66"/>
      <c r="U350" s="70"/>
      <c r="V350" s="70"/>
      <c r="W350" s="187"/>
      <c r="X350" s="69"/>
      <c r="Y350" s="69"/>
    </row>
    <row r="351" spans="1:25" s="45" customFormat="1" ht="39.950000000000003" customHeight="1" x14ac:dyDescent="0.2">
      <c r="A351" s="66"/>
      <c r="B351" s="222" t="s">
        <v>395</v>
      </c>
      <c r="C351" s="1076" t="s">
        <v>74</v>
      </c>
      <c r="D351" s="1077"/>
      <c r="E351" s="1077" t="s">
        <v>80</v>
      </c>
      <c r="F351" s="1077"/>
      <c r="G351" s="1077"/>
      <c r="H351" s="1078"/>
      <c r="I351" s="223" t="s">
        <v>409</v>
      </c>
      <c r="J351" s="224">
        <v>0.6</v>
      </c>
      <c r="K351" s="213" t="s">
        <v>392</v>
      </c>
      <c r="L351" s="37">
        <v>46</v>
      </c>
      <c r="M351" s="68"/>
      <c r="N351" s="67"/>
      <c r="O351" s="37">
        <v>46</v>
      </c>
      <c r="P351" s="66"/>
      <c r="U351" s="70"/>
      <c r="V351" s="70"/>
      <c r="W351" s="187"/>
      <c r="X351" s="69"/>
      <c r="Y351" s="69"/>
    </row>
    <row r="352" spans="1:25" s="45" customFormat="1" ht="45.75" customHeight="1" x14ac:dyDescent="0.2">
      <c r="A352" s="66"/>
      <c r="B352" s="952" t="s">
        <v>396</v>
      </c>
      <c r="C352" s="928" t="s">
        <v>378</v>
      </c>
      <c r="D352" s="928"/>
      <c r="E352" s="986" t="s">
        <v>42</v>
      </c>
      <c r="F352" s="986"/>
      <c r="G352" s="986" t="s">
        <v>63</v>
      </c>
      <c r="H352" s="986"/>
      <c r="I352" s="1079" t="s">
        <v>410</v>
      </c>
      <c r="J352" s="1071">
        <v>0.6</v>
      </c>
      <c r="K352" s="213" t="s">
        <v>392</v>
      </c>
      <c r="L352" s="37">
        <v>46</v>
      </c>
      <c r="M352" s="68"/>
      <c r="N352" s="67"/>
      <c r="O352" s="37">
        <v>46</v>
      </c>
      <c r="P352" s="66"/>
      <c r="U352" s="70"/>
      <c r="V352" s="70"/>
      <c r="W352" s="187"/>
      <c r="X352" s="69"/>
      <c r="Y352" s="69"/>
    </row>
    <row r="353" spans="1:25" s="45" customFormat="1" ht="30" customHeight="1" x14ac:dyDescent="0.2">
      <c r="A353" s="66"/>
      <c r="B353" s="953"/>
      <c r="C353" s="957" t="s">
        <v>379</v>
      </c>
      <c r="D353" s="957"/>
      <c r="E353" s="957" t="s">
        <v>380</v>
      </c>
      <c r="F353" s="957"/>
      <c r="G353" s="957" t="s">
        <v>403</v>
      </c>
      <c r="H353" s="957"/>
      <c r="I353" s="1080"/>
      <c r="J353" s="1072"/>
      <c r="K353" s="213" t="s">
        <v>392</v>
      </c>
      <c r="L353" s="37">
        <v>46</v>
      </c>
      <c r="M353" s="68"/>
      <c r="N353" s="67"/>
      <c r="O353" s="37">
        <v>46</v>
      </c>
      <c r="P353" s="66"/>
      <c r="U353" s="70"/>
      <c r="V353" s="70"/>
      <c r="W353" s="187"/>
      <c r="X353" s="69"/>
      <c r="Y353" s="69"/>
    </row>
    <row r="354" spans="1:25" s="45" customFormat="1" ht="30" customHeight="1" x14ac:dyDescent="0.2">
      <c r="A354" s="66"/>
      <c r="B354" s="953"/>
      <c r="C354" s="965" t="s">
        <v>402</v>
      </c>
      <c r="D354" s="957"/>
      <c r="E354" s="957" t="s">
        <v>381</v>
      </c>
      <c r="F354" s="957"/>
      <c r="G354" s="957" t="s">
        <v>287</v>
      </c>
      <c r="H354" s="957"/>
      <c r="I354" s="1080"/>
      <c r="J354" s="1072"/>
      <c r="K354" s="213" t="s">
        <v>392</v>
      </c>
      <c r="L354" s="37">
        <v>46</v>
      </c>
      <c r="M354" s="68"/>
      <c r="N354" s="67"/>
      <c r="O354" s="37">
        <v>46</v>
      </c>
      <c r="P354" s="66"/>
      <c r="U354" s="70"/>
      <c r="V354" s="70"/>
      <c r="W354" s="187"/>
      <c r="X354" s="69"/>
      <c r="Y354" s="69"/>
    </row>
    <row r="355" spans="1:25" s="45" customFormat="1" ht="30" customHeight="1" x14ac:dyDescent="0.2">
      <c r="A355" s="66"/>
      <c r="B355" s="1067" t="s">
        <v>411</v>
      </c>
      <c r="C355" s="1068"/>
      <c r="D355" s="1068"/>
      <c r="E355" s="1068"/>
      <c r="F355" s="1068"/>
      <c r="G355" s="1068"/>
      <c r="H355" s="1068"/>
      <c r="I355" s="1068"/>
      <c r="J355" s="1069"/>
      <c r="K355" s="213" t="s">
        <v>392</v>
      </c>
      <c r="L355" s="37">
        <v>46</v>
      </c>
      <c r="M355" s="68"/>
      <c r="N355" s="67"/>
      <c r="O355" s="37">
        <v>46</v>
      </c>
      <c r="P355" s="66"/>
      <c r="U355" s="70"/>
      <c r="V355" s="70"/>
      <c r="W355" s="187"/>
      <c r="X355" s="69"/>
      <c r="Y355" s="69"/>
    </row>
    <row r="356" spans="1:25" s="45" customFormat="1" ht="20.100000000000001" customHeight="1" x14ac:dyDescent="0.2">
      <c r="A356" s="66"/>
      <c r="B356" s="192"/>
      <c r="C356" s="192"/>
      <c r="D356" s="192"/>
      <c r="E356" s="192"/>
      <c r="F356" s="192"/>
      <c r="G356" s="192"/>
      <c r="H356" s="192"/>
      <c r="I356" s="192"/>
      <c r="J356" s="200"/>
      <c r="K356" s="1"/>
      <c r="L356" s="21"/>
      <c r="M356" s="22"/>
      <c r="N356" s="4"/>
      <c r="O356" s="21"/>
      <c r="P356" s="66"/>
      <c r="U356" s="70"/>
      <c r="V356" s="70"/>
      <c r="W356" s="187"/>
      <c r="X356" s="69"/>
      <c r="Y356" s="69"/>
    </row>
    <row r="357" spans="1:25" ht="30" customHeight="1" x14ac:dyDescent="0.2">
      <c r="A357" s="24"/>
      <c r="B357" s="1070" t="s">
        <v>412</v>
      </c>
      <c r="C357" s="1070"/>
      <c r="D357" s="1070"/>
      <c r="E357" s="1070"/>
      <c r="F357" s="1070"/>
      <c r="G357" s="1070"/>
      <c r="H357" s="1070"/>
      <c r="I357" s="94" t="s">
        <v>152</v>
      </c>
      <c r="J357" s="35" t="s">
        <v>18</v>
      </c>
      <c r="K357" s="36" t="s">
        <v>413</v>
      </c>
      <c r="L357" s="37">
        <v>16</v>
      </c>
      <c r="M357" s="225"/>
      <c r="N357" s="46" t="s">
        <v>30</v>
      </c>
      <c r="O357" s="37">
        <v>16</v>
      </c>
    </row>
    <row r="358" spans="1:25" s="45" customFormat="1" ht="30" customHeight="1" x14ac:dyDescent="0.2">
      <c r="B358" s="924" t="s">
        <v>414</v>
      </c>
      <c r="C358" s="925"/>
      <c r="D358" s="925"/>
      <c r="E358" s="925"/>
      <c r="F358" s="925"/>
      <c r="G358" s="925"/>
      <c r="H358" s="925"/>
      <c r="I358" s="925"/>
      <c r="J358" s="926"/>
      <c r="K358" s="226" t="s">
        <v>413</v>
      </c>
      <c r="L358" s="183">
        <v>16</v>
      </c>
      <c r="M358" s="68"/>
      <c r="N358" s="67"/>
      <c r="O358" s="183">
        <v>16</v>
      </c>
      <c r="P358" s="66"/>
      <c r="U358" s="70"/>
      <c r="V358" s="184"/>
      <c r="W358" s="185"/>
      <c r="X358" s="186"/>
      <c r="Y358" s="69"/>
    </row>
    <row r="359" spans="1:25" s="45" customFormat="1" ht="30" customHeight="1" x14ac:dyDescent="0.2">
      <c r="A359" s="66"/>
      <c r="B359" s="60" t="s">
        <v>415</v>
      </c>
      <c r="C359" s="1057" t="s">
        <v>416</v>
      </c>
      <c r="D359" s="1058"/>
      <c r="E359" s="1058"/>
      <c r="F359" s="1058"/>
      <c r="G359" s="1058"/>
      <c r="H359" s="1059"/>
      <c r="I359" s="61">
        <v>50</v>
      </c>
      <c r="J359" s="42">
        <v>1</v>
      </c>
      <c r="K359" s="226" t="s">
        <v>413</v>
      </c>
      <c r="L359" s="183">
        <v>16</v>
      </c>
      <c r="M359" s="68"/>
      <c r="N359" s="67"/>
      <c r="O359" s="183">
        <v>16</v>
      </c>
      <c r="P359" s="66"/>
      <c r="U359" s="70"/>
      <c r="V359" s="70"/>
      <c r="W359" s="187"/>
      <c r="X359" s="69"/>
      <c r="Y359" s="69"/>
    </row>
    <row r="360" spans="1:25" s="45" customFormat="1" ht="30" customHeight="1" x14ac:dyDescent="0.2">
      <c r="B360" s="924" t="s">
        <v>417</v>
      </c>
      <c r="C360" s="925"/>
      <c r="D360" s="925"/>
      <c r="E360" s="925"/>
      <c r="F360" s="925"/>
      <c r="G360" s="925"/>
      <c r="H360" s="925"/>
      <c r="I360" s="925"/>
      <c r="J360" s="926"/>
      <c r="K360" s="226" t="s">
        <v>413</v>
      </c>
      <c r="L360" s="183">
        <v>16</v>
      </c>
      <c r="M360" s="68"/>
      <c r="N360" s="182" t="s">
        <v>30</v>
      </c>
      <c r="O360" s="183">
        <v>16</v>
      </c>
      <c r="P360" s="66"/>
      <c r="U360" s="70"/>
      <c r="V360" s="70"/>
      <c r="W360" s="187"/>
      <c r="X360" s="69"/>
      <c r="Y360" s="69"/>
    </row>
    <row r="361" spans="1:25" s="45" customFormat="1" ht="30" customHeight="1" x14ac:dyDescent="0.2">
      <c r="B361" s="227" t="s">
        <v>418</v>
      </c>
      <c r="C361" s="228" t="s">
        <v>419</v>
      </c>
      <c r="D361" s="229"/>
      <c r="E361" s="229"/>
      <c r="F361" s="229"/>
      <c r="G361" s="229"/>
      <c r="H361" s="230"/>
      <c r="I361" s="61">
        <v>50</v>
      </c>
      <c r="J361" s="42">
        <v>1</v>
      </c>
      <c r="K361" s="226" t="s">
        <v>413</v>
      </c>
      <c r="L361" s="183">
        <v>16</v>
      </c>
      <c r="M361" s="68"/>
      <c r="N361" s="68"/>
      <c r="O361" s="183">
        <v>16</v>
      </c>
      <c r="P361" s="66"/>
      <c r="U361" s="70"/>
      <c r="V361" s="70"/>
      <c r="W361" s="187"/>
      <c r="X361" s="69"/>
      <c r="Y361" s="69"/>
    </row>
    <row r="362" spans="1:25" s="45" customFormat="1" ht="30" customHeight="1" x14ac:dyDescent="0.2">
      <c r="B362" s="231" t="s">
        <v>420</v>
      </c>
      <c r="C362" s="1057" t="s">
        <v>416</v>
      </c>
      <c r="D362" s="1058"/>
      <c r="E362" s="1058"/>
      <c r="F362" s="1058"/>
      <c r="G362" s="1058"/>
      <c r="H362" s="1059"/>
      <c r="I362" s="61">
        <v>75</v>
      </c>
      <c r="J362" s="42">
        <v>1</v>
      </c>
      <c r="K362" s="226" t="s">
        <v>413</v>
      </c>
      <c r="L362" s="183">
        <v>16</v>
      </c>
      <c r="M362" s="68"/>
      <c r="N362" s="68"/>
      <c r="O362" s="183">
        <v>16</v>
      </c>
      <c r="P362" s="66"/>
      <c r="U362" s="70"/>
      <c r="V362" s="70"/>
      <c r="W362" s="187"/>
      <c r="X362" s="69"/>
      <c r="Y362" s="69"/>
    </row>
    <row r="363" spans="1:25" s="45" customFormat="1" ht="30" customHeight="1" x14ac:dyDescent="0.2">
      <c r="B363" s="231" t="s">
        <v>421</v>
      </c>
      <c r="C363" s="1065" t="s">
        <v>422</v>
      </c>
      <c r="D363" s="1066"/>
      <c r="E363" s="1066"/>
      <c r="F363" s="1066"/>
      <c r="G363" s="1066"/>
      <c r="H363" s="1066"/>
      <c r="I363" s="116">
        <v>40</v>
      </c>
      <c r="J363" s="42">
        <v>1</v>
      </c>
      <c r="K363" s="226" t="s">
        <v>413</v>
      </c>
      <c r="L363" s="183">
        <v>16</v>
      </c>
      <c r="M363" s="68"/>
      <c r="N363" s="68"/>
      <c r="O363" s="183">
        <v>16</v>
      </c>
      <c r="P363" s="66"/>
      <c r="U363" s="70"/>
      <c r="V363" s="70"/>
      <c r="W363" s="187"/>
      <c r="X363" s="69"/>
      <c r="Y363" s="69"/>
    </row>
    <row r="364" spans="1:25" s="45" customFormat="1" ht="30" customHeight="1" x14ac:dyDescent="0.2">
      <c r="B364" s="924" t="s">
        <v>423</v>
      </c>
      <c r="C364" s="925"/>
      <c r="D364" s="925"/>
      <c r="E364" s="925"/>
      <c r="F364" s="925"/>
      <c r="G364" s="925"/>
      <c r="H364" s="925"/>
      <c r="I364" s="925"/>
      <c r="J364" s="926"/>
      <c r="K364" s="226" t="s">
        <v>413</v>
      </c>
      <c r="L364" s="183">
        <v>16</v>
      </c>
      <c r="M364" s="68"/>
      <c r="N364" s="182" t="s">
        <v>30</v>
      </c>
      <c r="O364" s="183">
        <v>16</v>
      </c>
      <c r="P364" s="66"/>
      <c r="U364" s="70"/>
      <c r="V364" s="70"/>
      <c r="W364" s="187"/>
      <c r="X364" s="69"/>
      <c r="Y364" s="69"/>
    </row>
    <row r="365" spans="1:25" s="45" customFormat="1" ht="30" customHeight="1" x14ac:dyDescent="0.2">
      <c r="B365" s="227" t="s">
        <v>418</v>
      </c>
      <c r="C365" s="1057" t="s">
        <v>419</v>
      </c>
      <c r="D365" s="1058"/>
      <c r="E365" s="1058"/>
      <c r="F365" s="1058"/>
      <c r="G365" s="1058"/>
      <c r="H365" s="1059"/>
      <c r="I365" s="61">
        <v>70</v>
      </c>
      <c r="J365" s="199">
        <v>1</v>
      </c>
      <c r="K365" s="226" t="s">
        <v>413</v>
      </c>
      <c r="L365" s="183">
        <v>16</v>
      </c>
      <c r="M365" s="68"/>
      <c r="N365" s="68"/>
      <c r="O365" s="183">
        <v>16</v>
      </c>
      <c r="P365" s="66"/>
      <c r="U365" s="70"/>
      <c r="V365" s="70"/>
      <c r="W365" s="187"/>
      <c r="X365" s="69"/>
      <c r="Y365" s="69"/>
    </row>
    <row r="366" spans="1:25" s="45" customFormat="1" ht="30" customHeight="1" x14ac:dyDescent="0.2">
      <c r="B366" s="232" t="s">
        <v>420</v>
      </c>
      <c r="C366" s="1057" t="s">
        <v>416</v>
      </c>
      <c r="D366" s="1058"/>
      <c r="E366" s="1058"/>
      <c r="F366" s="1058"/>
      <c r="G366" s="1058"/>
      <c r="H366" s="1059"/>
      <c r="I366" s="61">
        <v>75</v>
      </c>
      <c r="J366" s="199">
        <v>1</v>
      </c>
      <c r="K366" s="226" t="s">
        <v>413</v>
      </c>
      <c r="L366" s="183">
        <v>16</v>
      </c>
      <c r="M366" s="68"/>
      <c r="N366" s="68"/>
      <c r="O366" s="183">
        <v>16</v>
      </c>
      <c r="P366" s="66"/>
      <c r="U366" s="70"/>
      <c r="V366" s="70"/>
      <c r="W366" s="187"/>
      <c r="X366" s="69"/>
      <c r="Y366" s="69"/>
    </row>
    <row r="367" spans="1:25" s="45" customFormat="1" ht="30" customHeight="1" x14ac:dyDescent="0.2">
      <c r="B367" s="1054" t="s">
        <v>424</v>
      </c>
      <c r="C367" s="1055"/>
      <c r="D367" s="1055"/>
      <c r="E367" s="1055"/>
      <c r="F367" s="1055"/>
      <c r="G367" s="1055"/>
      <c r="H367" s="1055"/>
      <c r="I367" s="1055"/>
      <c r="J367" s="1056"/>
      <c r="K367" s="226" t="s">
        <v>413</v>
      </c>
      <c r="L367" s="183">
        <v>16</v>
      </c>
      <c r="M367" s="68"/>
      <c r="N367" s="182" t="s">
        <v>30</v>
      </c>
      <c r="O367" s="183">
        <v>16</v>
      </c>
      <c r="P367" s="66"/>
      <c r="U367" s="70"/>
      <c r="V367" s="70"/>
      <c r="W367" s="187"/>
      <c r="X367" s="69"/>
      <c r="Y367" s="69"/>
    </row>
    <row r="368" spans="1:25" s="45" customFormat="1" ht="30" customHeight="1" x14ac:dyDescent="0.2">
      <c r="B368" s="232" t="s">
        <v>418</v>
      </c>
      <c r="C368" s="1057" t="s">
        <v>419</v>
      </c>
      <c r="D368" s="1058"/>
      <c r="E368" s="1058"/>
      <c r="F368" s="1058"/>
      <c r="G368" s="1058"/>
      <c r="H368" s="1059"/>
      <c r="I368" s="116">
        <v>50</v>
      </c>
      <c r="J368" s="199">
        <v>1</v>
      </c>
      <c r="K368" s="226" t="s">
        <v>413</v>
      </c>
      <c r="L368" s="183">
        <v>16</v>
      </c>
      <c r="M368" s="68"/>
      <c r="N368" s="68"/>
      <c r="O368" s="183">
        <v>16</v>
      </c>
      <c r="P368" s="66"/>
      <c r="U368" s="70"/>
      <c r="V368" s="70"/>
      <c r="W368" s="187"/>
      <c r="X368" s="69"/>
      <c r="Y368" s="69"/>
    </row>
    <row r="369" spans="1:25" s="45" customFormat="1" ht="30" customHeight="1" x14ac:dyDescent="0.2">
      <c r="B369" s="232" t="s">
        <v>425</v>
      </c>
      <c r="C369" s="1057" t="s">
        <v>416</v>
      </c>
      <c r="D369" s="1058"/>
      <c r="E369" s="1058"/>
      <c r="F369" s="1058"/>
      <c r="G369" s="1058"/>
      <c r="H369" s="1059"/>
      <c r="I369" s="61">
        <v>75</v>
      </c>
      <c r="J369" s="199">
        <v>1</v>
      </c>
      <c r="K369" s="226" t="s">
        <v>413</v>
      </c>
      <c r="L369" s="183">
        <v>16</v>
      </c>
      <c r="M369" s="68"/>
      <c r="N369" s="68"/>
      <c r="O369" s="183">
        <v>16</v>
      </c>
      <c r="P369" s="66"/>
      <c r="U369" s="70"/>
      <c r="V369" s="70"/>
      <c r="W369" s="187"/>
      <c r="X369" s="69"/>
      <c r="Y369" s="69"/>
    </row>
    <row r="370" spans="1:25" s="45" customFormat="1" ht="30" customHeight="1" x14ac:dyDescent="0.2">
      <c r="A370" s="66"/>
      <c r="B370" s="232" t="s">
        <v>426</v>
      </c>
      <c r="C370" s="1050" t="s">
        <v>427</v>
      </c>
      <c r="D370" s="1051"/>
      <c r="E370" s="1051"/>
      <c r="F370" s="1051"/>
      <c r="G370" s="1051"/>
      <c r="H370" s="1051"/>
      <c r="I370" s="116">
        <v>70</v>
      </c>
      <c r="J370" s="199">
        <v>1</v>
      </c>
      <c r="K370" s="226" t="s">
        <v>413</v>
      </c>
      <c r="L370" s="183">
        <v>16</v>
      </c>
      <c r="M370" s="68"/>
      <c r="N370" s="68"/>
      <c r="O370" s="183">
        <v>16</v>
      </c>
      <c r="P370" s="66"/>
      <c r="U370" s="70"/>
      <c r="V370" s="70"/>
      <c r="W370" s="187"/>
      <c r="X370" s="69"/>
      <c r="Y370" s="69"/>
    </row>
    <row r="371" spans="1:25" s="45" customFormat="1" ht="30" customHeight="1" x14ac:dyDescent="0.2">
      <c r="A371" s="66"/>
      <c r="B371" s="1060" t="s">
        <v>428</v>
      </c>
      <c r="C371" s="1061"/>
      <c r="D371" s="1061"/>
      <c r="E371" s="1061"/>
      <c r="F371" s="1061"/>
      <c r="G371" s="1061"/>
      <c r="H371" s="1061"/>
      <c r="I371" s="1061"/>
      <c r="J371" s="1062"/>
      <c r="K371" s="226" t="s">
        <v>413</v>
      </c>
      <c r="L371" s="183">
        <v>16</v>
      </c>
      <c r="M371" s="68"/>
      <c r="N371" s="182" t="s">
        <v>30</v>
      </c>
      <c r="O371" s="183">
        <v>16</v>
      </c>
      <c r="P371" s="66"/>
      <c r="U371" s="70"/>
      <c r="V371" s="70"/>
      <c r="W371" s="187"/>
      <c r="X371" s="69"/>
      <c r="Y371" s="69"/>
    </row>
    <row r="372" spans="1:25" s="45" customFormat="1" ht="30" customHeight="1" x14ac:dyDescent="0.2">
      <c r="A372" s="66"/>
      <c r="B372" s="227" t="s">
        <v>418</v>
      </c>
      <c r="C372" s="1057" t="s">
        <v>419</v>
      </c>
      <c r="D372" s="1058"/>
      <c r="E372" s="1058"/>
      <c r="F372" s="1058"/>
      <c r="G372" s="1058"/>
      <c r="H372" s="1059"/>
      <c r="I372" s="61">
        <v>40</v>
      </c>
      <c r="J372" s="199">
        <v>1</v>
      </c>
      <c r="K372" s="226" t="s">
        <v>413</v>
      </c>
      <c r="L372" s="183">
        <v>16</v>
      </c>
      <c r="M372" s="68"/>
      <c r="N372" s="68"/>
      <c r="O372" s="183">
        <v>16</v>
      </c>
      <c r="P372" s="66"/>
      <c r="U372" s="70"/>
      <c r="V372" s="70"/>
      <c r="W372" s="187"/>
      <c r="X372" s="69"/>
      <c r="Y372" s="69"/>
    </row>
    <row r="373" spans="1:25" s="45" customFormat="1" ht="30" customHeight="1" x14ac:dyDescent="0.2">
      <c r="A373" s="66"/>
      <c r="B373" s="232" t="s">
        <v>420</v>
      </c>
      <c r="C373" s="1057" t="s">
        <v>416</v>
      </c>
      <c r="D373" s="1058"/>
      <c r="E373" s="1058"/>
      <c r="F373" s="1058"/>
      <c r="G373" s="1058"/>
      <c r="H373" s="1059"/>
      <c r="I373" s="61">
        <v>150</v>
      </c>
      <c r="J373" s="199">
        <v>1</v>
      </c>
      <c r="K373" s="226" t="s">
        <v>413</v>
      </c>
      <c r="L373" s="183">
        <v>16</v>
      </c>
      <c r="M373" s="68"/>
      <c r="N373" s="68"/>
      <c r="O373" s="183">
        <v>16</v>
      </c>
      <c r="P373" s="66"/>
      <c r="U373" s="70"/>
      <c r="V373" s="70"/>
      <c r="W373" s="187"/>
      <c r="X373" s="69"/>
      <c r="Y373" s="69"/>
    </row>
    <row r="374" spans="1:25" s="45" customFormat="1" ht="30" customHeight="1" x14ac:dyDescent="0.2">
      <c r="A374" s="66"/>
      <c r="B374" s="136" t="s">
        <v>429</v>
      </c>
      <c r="C374" s="1063" t="s">
        <v>422</v>
      </c>
      <c r="D374" s="1064"/>
      <c r="E374" s="1064"/>
      <c r="F374" s="1064"/>
      <c r="G374" s="1064"/>
      <c r="H374" s="1064"/>
      <c r="I374" s="74">
        <v>40</v>
      </c>
      <c r="J374" s="199">
        <v>1</v>
      </c>
      <c r="K374" s="226" t="s">
        <v>413</v>
      </c>
      <c r="L374" s="183">
        <v>16</v>
      </c>
      <c r="M374" s="68"/>
      <c r="N374" s="68"/>
      <c r="O374" s="183">
        <v>16</v>
      </c>
      <c r="P374" s="66"/>
      <c r="U374" s="70"/>
      <c r="V374" s="70"/>
      <c r="W374" s="187"/>
      <c r="X374" s="69"/>
      <c r="Y374" s="69"/>
    </row>
    <row r="375" spans="1:25" s="45" customFormat="1" ht="30" customHeight="1" x14ac:dyDescent="0.2">
      <c r="A375" s="66"/>
      <c r="B375" s="1054" t="s">
        <v>430</v>
      </c>
      <c r="C375" s="1055"/>
      <c r="D375" s="1055"/>
      <c r="E375" s="1055"/>
      <c r="F375" s="1055"/>
      <c r="G375" s="1055"/>
      <c r="H375" s="1055"/>
      <c r="I375" s="1055"/>
      <c r="J375" s="1056"/>
      <c r="K375" s="226" t="s">
        <v>413</v>
      </c>
      <c r="L375" s="183">
        <v>16</v>
      </c>
      <c r="M375" s="68"/>
      <c r="N375" s="182" t="s">
        <v>30</v>
      </c>
      <c r="O375" s="183">
        <v>16</v>
      </c>
      <c r="P375" s="66"/>
      <c r="U375" s="70"/>
      <c r="V375" s="70"/>
      <c r="W375" s="187"/>
      <c r="X375" s="69"/>
      <c r="Y375" s="69"/>
    </row>
    <row r="376" spans="1:25" s="45" customFormat="1" ht="30" customHeight="1" x14ac:dyDescent="0.2">
      <c r="A376" s="66"/>
      <c r="B376" s="227" t="s">
        <v>418</v>
      </c>
      <c r="C376" s="1057" t="s">
        <v>419</v>
      </c>
      <c r="D376" s="1058"/>
      <c r="E376" s="1058"/>
      <c r="F376" s="1058"/>
      <c r="G376" s="1058"/>
      <c r="H376" s="1059"/>
      <c r="I376" s="61">
        <v>50</v>
      </c>
      <c r="J376" s="42">
        <v>1</v>
      </c>
      <c r="K376" s="226" t="s">
        <v>413</v>
      </c>
      <c r="L376" s="183">
        <v>16</v>
      </c>
      <c r="M376" s="68"/>
      <c r="N376" s="68"/>
      <c r="O376" s="183">
        <v>16</v>
      </c>
      <c r="P376" s="66"/>
      <c r="U376" s="70"/>
      <c r="V376" s="70"/>
      <c r="W376" s="187"/>
      <c r="X376" s="69"/>
      <c r="Y376" s="69"/>
    </row>
    <row r="377" spans="1:25" s="45" customFormat="1" ht="30" customHeight="1" x14ac:dyDescent="0.2">
      <c r="A377" s="66"/>
      <c r="B377" s="232" t="s">
        <v>420</v>
      </c>
      <c r="C377" s="1057" t="s">
        <v>416</v>
      </c>
      <c r="D377" s="1058"/>
      <c r="E377" s="1058"/>
      <c r="F377" s="1058"/>
      <c r="G377" s="1058"/>
      <c r="H377" s="1059"/>
      <c r="I377" s="61">
        <v>100</v>
      </c>
      <c r="J377" s="42">
        <v>1</v>
      </c>
      <c r="K377" s="226" t="s">
        <v>413</v>
      </c>
      <c r="L377" s="183">
        <v>16</v>
      </c>
      <c r="M377" s="68"/>
      <c r="N377" s="68"/>
      <c r="O377" s="183">
        <v>16</v>
      </c>
      <c r="P377" s="66"/>
      <c r="U377" s="70"/>
      <c r="V377" s="70"/>
      <c r="W377" s="187"/>
      <c r="X377" s="69"/>
      <c r="Y377" s="69"/>
    </row>
    <row r="378" spans="1:25" s="45" customFormat="1" ht="30" customHeight="1" x14ac:dyDescent="0.2">
      <c r="A378" s="66"/>
      <c r="B378" s="941" t="s">
        <v>431</v>
      </c>
      <c r="C378" s="942"/>
      <c r="D378" s="942"/>
      <c r="E378" s="942"/>
      <c r="F378" s="942"/>
      <c r="G378" s="942"/>
      <c r="H378" s="942"/>
      <c r="I378" s="942"/>
      <c r="J378" s="943"/>
      <c r="K378" s="226" t="s">
        <v>413</v>
      </c>
      <c r="L378" s="183">
        <v>16</v>
      </c>
      <c r="M378" s="68"/>
      <c r="N378" s="182" t="s">
        <v>30</v>
      </c>
      <c r="O378" s="183">
        <v>16</v>
      </c>
      <c r="P378" s="66"/>
      <c r="U378" s="70"/>
      <c r="V378" s="70"/>
      <c r="W378" s="187"/>
      <c r="X378" s="69"/>
      <c r="Y378" s="69"/>
    </row>
    <row r="379" spans="1:25" s="45" customFormat="1" ht="30" customHeight="1" x14ac:dyDescent="0.2">
      <c r="A379" s="66"/>
      <c r="B379" s="1049" t="s">
        <v>432</v>
      </c>
      <c r="C379" s="1050" t="s">
        <v>433</v>
      </c>
      <c r="D379" s="1050"/>
      <c r="E379" s="1050"/>
      <c r="F379" s="1050"/>
      <c r="G379" s="1050"/>
      <c r="H379" s="1050"/>
      <c r="I379" s="61">
        <v>50</v>
      </c>
      <c r="J379" s="42">
        <v>1</v>
      </c>
      <c r="K379" s="226" t="s">
        <v>413</v>
      </c>
      <c r="L379" s="183">
        <v>16</v>
      </c>
      <c r="M379" s="68"/>
      <c r="N379" s="68"/>
      <c r="O379" s="183">
        <v>16</v>
      </c>
      <c r="P379" s="66"/>
      <c r="U379" s="70"/>
      <c r="V379" s="70"/>
      <c r="W379" s="187"/>
      <c r="X379" s="69"/>
      <c r="Y379" s="69"/>
    </row>
    <row r="380" spans="1:25" s="45" customFormat="1" ht="30" customHeight="1" x14ac:dyDescent="0.2">
      <c r="A380" s="66"/>
      <c r="B380" s="879"/>
      <c r="C380" s="1050" t="s">
        <v>434</v>
      </c>
      <c r="D380" s="1050"/>
      <c r="E380" s="1050"/>
      <c r="F380" s="1050"/>
      <c r="G380" s="1050"/>
      <c r="H380" s="1050"/>
      <c r="I380" s="61">
        <v>50</v>
      </c>
      <c r="J380" s="42">
        <v>1</v>
      </c>
      <c r="K380" s="226" t="s">
        <v>413</v>
      </c>
      <c r="L380" s="183">
        <v>16</v>
      </c>
      <c r="M380" s="68"/>
      <c r="N380" s="68"/>
      <c r="O380" s="183">
        <v>16</v>
      </c>
      <c r="P380" s="66"/>
      <c r="U380" s="70"/>
      <c r="V380" s="70"/>
      <c r="W380" s="187"/>
      <c r="X380" s="69"/>
      <c r="Y380" s="69"/>
    </row>
    <row r="381" spans="1:25" s="45" customFormat="1" ht="30" customHeight="1" x14ac:dyDescent="0.2">
      <c r="A381" s="66"/>
      <c r="B381" s="879"/>
      <c r="C381" s="1050" t="s">
        <v>435</v>
      </c>
      <c r="D381" s="1050"/>
      <c r="E381" s="1050"/>
      <c r="F381" s="1050"/>
      <c r="G381" s="1050"/>
      <c r="H381" s="1050"/>
      <c r="I381" s="61">
        <v>50</v>
      </c>
      <c r="J381" s="42">
        <v>1</v>
      </c>
      <c r="K381" s="226" t="s">
        <v>413</v>
      </c>
      <c r="L381" s="183">
        <v>16</v>
      </c>
      <c r="M381" s="68"/>
      <c r="N381" s="68"/>
      <c r="O381" s="183">
        <v>16</v>
      </c>
      <c r="P381" s="66"/>
      <c r="U381" s="70"/>
      <c r="V381" s="70"/>
      <c r="W381" s="187"/>
      <c r="X381" s="69"/>
      <c r="Y381" s="69"/>
    </row>
    <row r="382" spans="1:25" s="45" customFormat="1" ht="30" customHeight="1" x14ac:dyDescent="0.2">
      <c r="A382" s="66"/>
      <c r="B382" s="879"/>
      <c r="C382" s="1050" t="s">
        <v>436</v>
      </c>
      <c r="D382" s="1050"/>
      <c r="E382" s="1050"/>
      <c r="F382" s="1050"/>
      <c r="G382" s="1050"/>
      <c r="H382" s="1050"/>
      <c r="I382" s="61">
        <v>50</v>
      </c>
      <c r="J382" s="42">
        <v>1</v>
      </c>
      <c r="K382" s="226" t="s">
        <v>413</v>
      </c>
      <c r="L382" s="183">
        <v>16</v>
      </c>
      <c r="M382" s="68"/>
      <c r="N382" s="68"/>
      <c r="O382" s="183">
        <v>16</v>
      </c>
      <c r="P382" s="66"/>
      <c r="U382" s="70"/>
      <c r="V382" s="70"/>
      <c r="W382" s="187"/>
      <c r="X382" s="69"/>
      <c r="Y382" s="69"/>
    </row>
    <row r="383" spans="1:25" s="45" customFormat="1" ht="30" customHeight="1" x14ac:dyDescent="0.2">
      <c r="A383" s="66"/>
      <c r="B383" s="879"/>
      <c r="C383" s="1050" t="s">
        <v>437</v>
      </c>
      <c r="D383" s="1050"/>
      <c r="E383" s="1050"/>
      <c r="F383" s="1050"/>
      <c r="G383" s="1050"/>
      <c r="H383" s="1050"/>
      <c r="I383" s="61">
        <v>50</v>
      </c>
      <c r="J383" s="42">
        <v>1</v>
      </c>
      <c r="K383" s="226" t="s">
        <v>413</v>
      </c>
      <c r="L383" s="183">
        <v>16</v>
      </c>
      <c r="M383" s="68"/>
      <c r="N383" s="68"/>
      <c r="O383" s="183">
        <v>16</v>
      </c>
      <c r="P383" s="66"/>
      <c r="U383" s="70"/>
      <c r="V383" s="70"/>
      <c r="W383" s="187"/>
      <c r="X383" s="69"/>
      <c r="Y383" s="69"/>
    </row>
    <row r="384" spans="1:25" s="45" customFormat="1" ht="30" customHeight="1" x14ac:dyDescent="0.2">
      <c r="A384" s="66"/>
      <c r="B384" s="879"/>
      <c r="C384" s="1050" t="s">
        <v>438</v>
      </c>
      <c r="D384" s="1050"/>
      <c r="E384" s="1050"/>
      <c r="F384" s="1050"/>
      <c r="G384" s="1050"/>
      <c r="H384" s="1050"/>
      <c r="I384" s="61">
        <v>50</v>
      </c>
      <c r="J384" s="42">
        <v>1</v>
      </c>
      <c r="K384" s="226" t="s">
        <v>413</v>
      </c>
      <c r="L384" s="183">
        <v>16</v>
      </c>
      <c r="M384" s="68"/>
      <c r="N384" s="68"/>
      <c r="O384" s="183">
        <v>16</v>
      </c>
      <c r="P384" s="66"/>
      <c r="U384" s="70"/>
      <c r="V384" s="70"/>
      <c r="W384" s="187"/>
      <c r="X384" s="69"/>
      <c r="Y384" s="69"/>
    </row>
    <row r="385" spans="1:25" s="45" customFormat="1" ht="30" customHeight="1" x14ac:dyDescent="0.2">
      <c r="A385" s="66"/>
      <c r="B385" s="879"/>
      <c r="C385" s="1050" t="s">
        <v>439</v>
      </c>
      <c r="D385" s="1050"/>
      <c r="E385" s="1050"/>
      <c r="F385" s="1050"/>
      <c r="G385" s="1050"/>
      <c r="H385" s="1050"/>
      <c r="I385" s="61">
        <v>50</v>
      </c>
      <c r="J385" s="42">
        <v>1</v>
      </c>
      <c r="K385" s="226" t="s">
        <v>413</v>
      </c>
      <c r="L385" s="183">
        <v>16</v>
      </c>
      <c r="M385" s="68"/>
      <c r="N385" s="68"/>
      <c r="O385" s="183">
        <v>16</v>
      </c>
      <c r="P385" s="66"/>
      <c r="U385" s="70"/>
      <c r="V385" s="70"/>
      <c r="W385" s="187"/>
      <c r="X385" s="69"/>
      <c r="Y385" s="69"/>
    </row>
    <row r="386" spans="1:25" s="45" customFormat="1" ht="26.1" customHeight="1" x14ac:dyDescent="0.2">
      <c r="A386" s="66"/>
      <c r="B386" s="1047" t="s">
        <v>440</v>
      </c>
      <c r="C386" s="867" t="s">
        <v>441</v>
      </c>
      <c r="D386" s="868"/>
      <c r="E386" s="868"/>
      <c r="F386" s="868"/>
      <c r="G386" s="868"/>
      <c r="H386" s="869"/>
      <c r="I386" s="61">
        <v>500</v>
      </c>
      <c r="J386" s="42">
        <v>1</v>
      </c>
      <c r="K386" s="226" t="s">
        <v>413</v>
      </c>
      <c r="L386" s="183">
        <v>16</v>
      </c>
      <c r="M386" s="68"/>
      <c r="N386" s="182" t="s">
        <v>30</v>
      </c>
      <c r="O386" s="183">
        <v>16</v>
      </c>
      <c r="P386" s="66"/>
      <c r="U386" s="70"/>
      <c r="V386" s="70"/>
      <c r="W386" s="187"/>
      <c r="X386" s="69"/>
      <c r="Y386" s="69"/>
    </row>
    <row r="387" spans="1:25" s="45" customFormat="1" ht="26.1" customHeight="1" x14ac:dyDescent="0.2">
      <c r="A387" s="66"/>
      <c r="B387" s="1052"/>
      <c r="C387" s="867" t="s">
        <v>438</v>
      </c>
      <c r="D387" s="868"/>
      <c r="E387" s="868"/>
      <c r="F387" s="868"/>
      <c r="G387" s="868"/>
      <c r="H387" s="869"/>
      <c r="I387" s="61">
        <v>100</v>
      </c>
      <c r="J387" s="42">
        <v>1</v>
      </c>
      <c r="K387" s="226" t="s">
        <v>413</v>
      </c>
      <c r="L387" s="183">
        <v>16</v>
      </c>
      <c r="M387" s="68"/>
      <c r="N387" s="67"/>
      <c r="O387" s="183">
        <v>16</v>
      </c>
      <c r="P387" s="66"/>
      <c r="U387" s="70"/>
      <c r="V387" s="70"/>
      <c r="W387" s="187"/>
      <c r="X387" s="69"/>
      <c r="Y387" s="69"/>
    </row>
    <row r="388" spans="1:25" s="45" customFormat="1" ht="26.1" customHeight="1" x14ac:dyDescent="0.2">
      <c r="A388" s="66"/>
      <c r="B388" s="1053"/>
      <c r="C388" s="867" t="s">
        <v>442</v>
      </c>
      <c r="D388" s="868"/>
      <c r="E388" s="868"/>
      <c r="F388" s="868"/>
      <c r="G388" s="868"/>
      <c r="H388" s="869"/>
      <c r="I388" s="61">
        <v>75</v>
      </c>
      <c r="J388" s="42">
        <v>1</v>
      </c>
      <c r="K388" s="226" t="s">
        <v>413</v>
      </c>
      <c r="L388" s="183">
        <v>16</v>
      </c>
      <c r="M388" s="68"/>
      <c r="N388" s="67"/>
      <c r="O388" s="183">
        <v>16</v>
      </c>
      <c r="P388" s="66"/>
      <c r="U388" s="70"/>
      <c r="V388" s="70"/>
      <c r="W388" s="187"/>
      <c r="X388" s="69"/>
      <c r="Y388" s="69"/>
    </row>
    <row r="389" spans="1:25" s="45" customFormat="1" ht="30" customHeight="1" x14ac:dyDescent="0.2">
      <c r="A389" s="66"/>
      <c r="B389" s="941" t="s">
        <v>443</v>
      </c>
      <c r="C389" s="942"/>
      <c r="D389" s="942"/>
      <c r="E389" s="942"/>
      <c r="F389" s="942"/>
      <c r="G389" s="942"/>
      <c r="H389" s="942"/>
      <c r="I389" s="942"/>
      <c r="J389" s="943"/>
      <c r="K389" s="226" t="s">
        <v>413</v>
      </c>
      <c r="L389" s="183">
        <v>16</v>
      </c>
      <c r="M389" s="68"/>
      <c r="N389" s="182" t="s">
        <v>30</v>
      </c>
      <c r="O389" s="183">
        <v>16</v>
      </c>
      <c r="P389" s="66"/>
      <c r="U389" s="70"/>
      <c r="V389" s="70"/>
      <c r="W389" s="187"/>
      <c r="X389" s="69"/>
      <c r="Y389" s="69"/>
    </row>
    <row r="390" spans="1:25" s="45" customFormat="1" ht="30" customHeight="1" x14ac:dyDescent="0.2">
      <c r="A390" s="66"/>
      <c r="B390" s="1049" t="s">
        <v>432</v>
      </c>
      <c r="C390" s="1050" t="s">
        <v>433</v>
      </c>
      <c r="D390" s="1050"/>
      <c r="E390" s="1050"/>
      <c r="F390" s="1050"/>
      <c r="G390" s="1050"/>
      <c r="H390" s="1050"/>
      <c r="I390" s="61">
        <v>50</v>
      </c>
      <c r="J390" s="42">
        <v>1</v>
      </c>
      <c r="K390" s="226" t="s">
        <v>413</v>
      </c>
      <c r="L390" s="183">
        <v>16</v>
      </c>
      <c r="M390" s="68"/>
      <c r="N390" s="67"/>
      <c r="O390" s="183">
        <v>16</v>
      </c>
      <c r="P390" s="66"/>
      <c r="U390" s="70"/>
      <c r="V390" s="70"/>
      <c r="W390" s="187"/>
      <c r="X390" s="69"/>
      <c r="Y390" s="69"/>
    </row>
    <row r="391" spans="1:25" s="45" customFormat="1" ht="30" customHeight="1" x14ac:dyDescent="0.2">
      <c r="A391" s="66"/>
      <c r="B391" s="879"/>
      <c r="C391" s="1050" t="s">
        <v>434</v>
      </c>
      <c r="D391" s="1050"/>
      <c r="E391" s="1050"/>
      <c r="F391" s="1050"/>
      <c r="G391" s="1050"/>
      <c r="H391" s="1050"/>
      <c r="I391" s="61">
        <v>50</v>
      </c>
      <c r="J391" s="42">
        <v>1</v>
      </c>
      <c r="K391" s="226" t="s">
        <v>413</v>
      </c>
      <c r="L391" s="183">
        <v>16</v>
      </c>
      <c r="M391" s="68"/>
      <c r="N391" s="67"/>
      <c r="O391" s="183">
        <v>16</v>
      </c>
      <c r="P391" s="66"/>
      <c r="U391" s="70"/>
      <c r="V391" s="70"/>
      <c r="W391" s="187"/>
      <c r="X391" s="69"/>
      <c r="Y391" s="69"/>
    </row>
    <row r="392" spans="1:25" s="45" customFormat="1" ht="30" customHeight="1" x14ac:dyDescent="0.2">
      <c r="A392" s="66"/>
      <c r="B392" s="879"/>
      <c r="C392" s="1050" t="s">
        <v>444</v>
      </c>
      <c r="D392" s="1050"/>
      <c r="E392" s="1050"/>
      <c r="F392" s="1050"/>
      <c r="G392" s="1050"/>
      <c r="H392" s="1050"/>
      <c r="I392" s="61">
        <v>50</v>
      </c>
      <c r="J392" s="42">
        <v>1</v>
      </c>
      <c r="K392" s="226" t="s">
        <v>413</v>
      </c>
      <c r="L392" s="183">
        <v>16</v>
      </c>
      <c r="M392" s="68"/>
      <c r="N392" s="67"/>
      <c r="O392" s="183">
        <v>16</v>
      </c>
      <c r="P392" s="66"/>
      <c r="U392" s="70"/>
      <c r="V392" s="70"/>
      <c r="W392" s="187"/>
      <c r="X392" s="69"/>
      <c r="Y392" s="69"/>
    </row>
    <row r="393" spans="1:25" s="45" customFormat="1" ht="30" customHeight="1" x14ac:dyDescent="0.2">
      <c r="A393" s="66"/>
      <c r="B393" s="879"/>
      <c r="C393" s="1050" t="s">
        <v>436</v>
      </c>
      <c r="D393" s="1050"/>
      <c r="E393" s="1050"/>
      <c r="F393" s="1050"/>
      <c r="G393" s="1050"/>
      <c r="H393" s="1050"/>
      <c r="I393" s="61">
        <v>50</v>
      </c>
      <c r="J393" s="42">
        <v>1</v>
      </c>
      <c r="K393" s="226" t="s">
        <v>413</v>
      </c>
      <c r="L393" s="183">
        <v>16</v>
      </c>
      <c r="M393" s="68"/>
      <c r="O393" s="183">
        <v>16</v>
      </c>
      <c r="P393" s="66"/>
      <c r="U393" s="70"/>
      <c r="V393" s="70"/>
      <c r="W393" s="187"/>
      <c r="X393" s="69"/>
      <c r="Y393" s="69"/>
    </row>
    <row r="394" spans="1:25" s="45" customFormat="1" ht="30" customHeight="1" x14ac:dyDescent="0.2">
      <c r="A394" s="66"/>
      <c r="B394" s="879"/>
      <c r="C394" s="1051" t="s">
        <v>439</v>
      </c>
      <c r="D394" s="1051"/>
      <c r="E394" s="1051"/>
      <c r="F394" s="1051"/>
      <c r="G394" s="1051"/>
      <c r="H394" s="1051"/>
      <c r="I394" s="61">
        <v>50</v>
      </c>
      <c r="J394" s="42">
        <v>1</v>
      </c>
      <c r="K394" s="226" t="s">
        <v>413</v>
      </c>
      <c r="L394" s="183">
        <v>16</v>
      </c>
      <c r="M394" s="68"/>
      <c r="N394" s="67"/>
      <c r="O394" s="183">
        <v>16</v>
      </c>
      <c r="P394" s="66"/>
      <c r="U394" s="70"/>
      <c r="V394" s="70"/>
      <c r="W394" s="187"/>
      <c r="X394" s="69"/>
      <c r="Y394" s="69"/>
    </row>
    <row r="395" spans="1:25" s="45" customFormat="1" ht="30" customHeight="1" x14ac:dyDescent="0.2">
      <c r="A395" s="66"/>
      <c r="B395" s="1047" t="s">
        <v>440</v>
      </c>
      <c r="C395" s="867" t="s">
        <v>438</v>
      </c>
      <c r="D395" s="868"/>
      <c r="E395" s="868"/>
      <c r="F395" s="868"/>
      <c r="G395" s="868"/>
      <c r="H395" s="869"/>
      <c r="I395" s="61">
        <v>100</v>
      </c>
      <c r="J395" s="42">
        <v>1</v>
      </c>
      <c r="K395" s="226" t="s">
        <v>413</v>
      </c>
      <c r="L395" s="183">
        <v>16</v>
      </c>
      <c r="M395" s="68"/>
      <c r="N395" s="182" t="s">
        <v>30</v>
      </c>
      <c r="O395" s="183">
        <v>16</v>
      </c>
      <c r="P395" s="66"/>
      <c r="U395" s="70"/>
      <c r="V395" s="70"/>
      <c r="W395" s="187"/>
      <c r="X395" s="69"/>
      <c r="Y395" s="69"/>
    </row>
    <row r="396" spans="1:25" s="45" customFormat="1" ht="30" customHeight="1" x14ac:dyDescent="0.2">
      <c r="A396" s="66"/>
      <c r="B396" s="1048"/>
      <c r="C396" s="867" t="s">
        <v>439</v>
      </c>
      <c r="D396" s="868"/>
      <c r="E396" s="868"/>
      <c r="F396" s="868"/>
      <c r="G396" s="868"/>
      <c r="H396" s="869"/>
      <c r="I396" s="61">
        <v>75</v>
      </c>
      <c r="J396" s="42">
        <v>1</v>
      </c>
      <c r="K396" s="226" t="s">
        <v>413</v>
      </c>
      <c r="L396" s="183">
        <v>16</v>
      </c>
      <c r="M396" s="68"/>
      <c r="N396" s="67"/>
      <c r="O396" s="183">
        <v>16</v>
      </c>
      <c r="P396" s="66"/>
      <c r="U396" s="70"/>
      <c r="V396" s="70"/>
      <c r="W396" s="187"/>
      <c r="X396" s="69"/>
      <c r="Y396" s="69"/>
    </row>
    <row r="397" spans="1:25" s="45" customFormat="1" ht="45" customHeight="1" x14ac:dyDescent="0.2">
      <c r="A397" s="66"/>
      <c r="B397" s="867" t="s">
        <v>445</v>
      </c>
      <c r="C397" s="868"/>
      <c r="D397" s="868"/>
      <c r="E397" s="868"/>
      <c r="F397" s="868"/>
      <c r="G397" s="868"/>
      <c r="H397" s="868"/>
      <c r="I397" s="868"/>
      <c r="J397" s="869"/>
      <c r="K397" s="226" t="s">
        <v>413</v>
      </c>
      <c r="L397" s="183">
        <v>16</v>
      </c>
      <c r="M397" s="68"/>
      <c r="N397" s="68"/>
      <c r="O397" s="183">
        <v>16</v>
      </c>
      <c r="P397" s="66"/>
      <c r="U397" s="70"/>
      <c r="V397" s="70"/>
      <c r="W397" s="187"/>
      <c r="X397" s="69"/>
      <c r="Y397" s="69"/>
    </row>
    <row r="398" spans="1:25" ht="20.100000000000001" customHeight="1" x14ac:dyDescent="0.2">
      <c r="A398" s="24"/>
      <c r="B398" s="192"/>
      <c r="C398" s="192"/>
      <c r="D398" s="192"/>
      <c r="E398" s="192"/>
      <c r="F398" s="192"/>
      <c r="G398" s="192"/>
      <c r="H398" s="64"/>
      <c r="I398" s="233"/>
      <c r="N398" s="23"/>
    </row>
    <row r="399" spans="1:25" ht="30" customHeight="1" x14ac:dyDescent="0.2">
      <c r="A399" s="24"/>
      <c r="B399" s="904" t="s">
        <v>446</v>
      </c>
      <c r="C399" s="905"/>
      <c r="D399" s="905"/>
      <c r="E399" s="905"/>
      <c r="F399" s="905"/>
      <c r="G399" s="905"/>
      <c r="H399" s="906"/>
      <c r="I399" s="34" t="s">
        <v>17</v>
      </c>
      <c r="J399" s="35" t="s">
        <v>18</v>
      </c>
      <c r="K399" s="36" t="s">
        <v>447</v>
      </c>
      <c r="L399" s="37">
        <v>17</v>
      </c>
      <c r="N399" s="46" t="s">
        <v>30</v>
      </c>
      <c r="O399" s="37">
        <v>17</v>
      </c>
    </row>
    <row r="400" spans="1:25" ht="30" customHeight="1" x14ac:dyDescent="0.2">
      <c r="A400" s="24"/>
      <c r="B400" s="924" t="s">
        <v>448</v>
      </c>
      <c r="C400" s="925"/>
      <c r="D400" s="925"/>
      <c r="E400" s="925"/>
      <c r="F400" s="925"/>
      <c r="G400" s="925"/>
      <c r="H400" s="925"/>
      <c r="I400" s="925"/>
      <c r="J400" s="926"/>
      <c r="K400" s="36" t="s">
        <v>447</v>
      </c>
      <c r="L400" s="37">
        <v>17</v>
      </c>
      <c r="O400" s="37">
        <v>17</v>
      </c>
    </row>
    <row r="401" spans="1:25" ht="39.950000000000003" customHeight="1" x14ac:dyDescent="0.2">
      <c r="A401" s="24"/>
      <c r="B401" s="60" t="s">
        <v>449</v>
      </c>
      <c r="C401" s="901" t="s">
        <v>450</v>
      </c>
      <c r="D401" s="902"/>
      <c r="E401" s="902"/>
      <c r="F401" s="902"/>
      <c r="G401" s="902"/>
      <c r="H401" s="903"/>
      <c r="I401" s="61">
        <v>0</v>
      </c>
      <c r="J401" s="42">
        <v>1</v>
      </c>
      <c r="K401" s="36" t="s">
        <v>447</v>
      </c>
      <c r="L401" s="37">
        <v>17</v>
      </c>
      <c r="O401" s="37">
        <v>17</v>
      </c>
    </row>
    <row r="402" spans="1:25" ht="39.950000000000003" customHeight="1" x14ac:dyDescent="0.2">
      <c r="A402" s="24"/>
      <c r="B402" s="60" t="s">
        <v>451</v>
      </c>
      <c r="C402" s="1036" t="s">
        <v>452</v>
      </c>
      <c r="D402" s="1037"/>
      <c r="E402" s="1037"/>
      <c r="F402" s="1037"/>
      <c r="G402" s="1037"/>
      <c r="H402" s="1038"/>
      <c r="I402" s="61">
        <v>0</v>
      </c>
      <c r="J402" s="42">
        <v>1</v>
      </c>
      <c r="K402" s="36" t="s">
        <v>447</v>
      </c>
      <c r="L402" s="37">
        <v>17</v>
      </c>
      <c r="M402" s="4"/>
      <c r="N402" s="18"/>
      <c r="O402" s="37">
        <v>17</v>
      </c>
    </row>
    <row r="403" spans="1:25" ht="20.100000000000001" customHeight="1" x14ac:dyDescent="0.2">
      <c r="A403" s="24"/>
      <c r="B403" s="62"/>
      <c r="C403" s="192"/>
      <c r="D403" s="192"/>
      <c r="E403" s="192"/>
      <c r="F403" s="192"/>
      <c r="G403" s="192"/>
      <c r="H403" s="192"/>
      <c r="I403" s="64"/>
      <c r="J403" s="65"/>
    </row>
    <row r="404" spans="1:25" ht="30" customHeight="1" x14ac:dyDescent="0.2">
      <c r="A404" s="24"/>
      <c r="B404" s="904" t="s">
        <v>453</v>
      </c>
      <c r="C404" s="905"/>
      <c r="D404" s="905"/>
      <c r="E404" s="905"/>
      <c r="F404" s="905"/>
      <c r="G404" s="905"/>
      <c r="H404" s="906"/>
      <c r="I404" s="34" t="s">
        <v>17</v>
      </c>
      <c r="J404" s="35" t="s">
        <v>18</v>
      </c>
      <c r="K404" s="197" t="s">
        <v>454</v>
      </c>
      <c r="L404" s="195">
        <v>18</v>
      </c>
      <c r="N404" s="46" t="s">
        <v>30</v>
      </c>
      <c r="O404" s="195">
        <v>18</v>
      </c>
    </row>
    <row r="405" spans="1:25" ht="30" customHeight="1" x14ac:dyDescent="0.2">
      <c r="A405" s="24"/>
      <c r="B405" s="867" t="s">
        <v>455</v>
      </c>
      <c r="C405" s="868"/>
      <c r="D405" s="868"/>
      <c r="E405" s="868"/>
      <c r="F405" s="868"/>
      <c r="G405" s="868"/>
      <c r="H405" s="868"/>
      <c r="I405" s="868"/>
      <c r="J405" s="869"/>
      <c r="K405" s="197" t="s">
        <v>454</v>
      </c>
      <c r="L405" s="195">
        <v>18</v>
      </c>
      <c r="O405" s="195">
        <v>18</v>
      </c>
    </row>
    <row r="406" spans="1:25" s="45" customFormat="1" ht="30" customHeight="1" x14ac:dyDescent="0.2">
      <c r="A406" s="66"/>
      <c r="B406" s="1004" t="s">
        <v>456</v>
      </c>
      <c r="C406" s="1040" t="s">
        <v>457</v>
      </c>
      <c r="D406" s="1041"/>
      <c r="E406" s="235" t="s">
        <v>458</v>
      </c>
      <c r="F406" s="235"/>
      <c r="G406" s="235" t="s">
        <v>92</v>
      </c>
      <c r="H406" s="236"/>
      <c r="I406" s="1042">
        <v>0</v>
      </c>
      <c r="J406" s="915">
        <v>1</v>
      </c>
      <c r="K406" s="237" t="s">
        <v>454</v>
      </c>
      <c r="L406" s="238">
        <v>18</v>
      </c>
      <c r="M406" s="68"/>
      <c r="N406" s="67"/>
      <c r="O406" s="238">
        <v>18</v>
      </c>
      <c r="P406" s="66"/>
      <c r="U406" s="70"/>
      <c r="V406" s="24"/>
      <c r="W406" s="239"/>
      <c r="X406" s="186"/>
      <c r="Y406" s="69"/>
    </row>
    <row r="407" spans="1:25" s="45" customFormat="1" ht="30" customHeight="1" x14ac:dyDescent="0.2">
      <c r="A407" s="66"/>
      <c r="B407" s="1039"/>
      <c r="C407" s="1046" t="s">
        <v>459</v>
      </c>
      <c r="D407" s="1022"/>
      <c r="E407" s="1030" t="s">
        <v>27</v>
      </c>
      <c r="F407" s="1030"/>
      <c r="G407" s="1022" t="s">
        <v>460</v>
      </c>
      <c r="H407" s="1028"/>
      <c r="I407" s="1043"/>
      <c r="J407" s="1045"/>
      <c r="K407" s="237" t="s">
        <v>454</v>
      </c>
      <c r="L407" s="238">
        <v>18</v>
      </c>
      <c r="M407" s="68"/>
      <c r="N407" s="67"/>
      <c r="O407" s="238">
        <v>18</v>
      </c>
      <c r="P407" s="66"/>
      <c r="U407" s="70"/>
      <c r="V407" s="240"/>
      <c r="W407" s="239"/>
      <c r="X407" s="186"/>
      <c r="Y407" s="69"/>
    </row>
    <row r="408" spans="1:25" s="45" customFormat="1" ht="30" customHeight="1" x14ac:dyDescent="0.2">
      <c r="B408" s="1039"/>
      <c r="C408" s="1029" t="s">
        <v>72</v>
      </c>
      <c r="D408" s="1030"/>
      <c r="E408" s="1022" t="s">
        <v>461</v>
      </c>
      <c r="F408" s="1022"/>
      <c r="G408" s="1022" t="s">
        <v>462</v>
      </c>
      <c r="H408" s="1028"/>
      <c r="I408" s="1043"/>
      <c r="J408" s="1045"/>
      <c r="K408" s="237" t="s">
        <v>454</v>
      </c>
      <c r="L408" s="238">
        <v>18</v>
      </c>
      <c r="M408" s="68"/>
      <c r="N408" s="67"/>
      <c r="O408" s="238">
        <v>18</v>
      </c>
      <c r="P408" s="66"/>
      <c r="U408" s="70"/>
      <c r="V408" s="1031"/>
      <c r="W408" s="241"/>
      <c r="X408" s="242"/>
      <c r="Y408" s="69"/>
    </row>
    <row r="409" spans="1:25" s="45" customFormat="1" ht="30" customHeight="1" x14ac:dyDescent="0.2">
      <c r="B409" s="1005"/>
      <c r="C409" s="1032" t="s">
        <v>323</v>
      </c>
      <c r="D409" s="1033"/>
      <c r="E409" s="1034" t="s">
        <v>88</v>
      </c>
      <c r="F409" s="1034"/>
      <c r="G409" s="1034" t="s">
        <v>80</v>
      </c>
      <c r="H409" s="1035"/>
      <c r="I409" s="1044"/>
      <c r="J409" s="916"/>
      <c r="K409" s="237" t="s">
        <v>454</v>
      </c>
      <c r="L409" s="238">
        <v>18</v>
      </c>
      <c r="M409" s="68"/>
      <c r="N409" s="67"/>
      <c r="O409" s="238">
        <v>18</v>
      </c>
      <c r="P409" s="66"/>
      <c r="U409" s="70"/>
      <c r="V409" s="1031"/>
      <c r="W409" s="239"/>
      <c r="X409" s="243"/>
      <c r="Y409" s="69"/>
    </row>
    <row r="410" spans="1:25" s="45" customFormat="1" ht="30" customHeight="1" x14ac:dyDescent="0.2">
      <c r="B410" s="60" t="s">
        <v>463</v>
      </c>
      <c r="C410" s="901" t="s">
        <v>464</v>
      </c>
      <c r="D410" s="902"/>
      <c r="E410" s="902"/>
      <c r="F410" s="902"/>
      <c r="G410" s="902"/>
      <c r="H410" s="903"/>
      <c r="I410" s="175">
        <v>0</v>
      </c>
      <c r="J410" s="42">
        <v>1</v>
      </c>
      <c r="K410" s="237" t="s">
        <v>454</v>
      </c>
      <c r="L410" s="238">
        <v>18</v>
      </c>
      <c r="M410" s="68"/>
      <c r="N410" s="67"/>
      <c r="O410" s="238">
        <v>18</v>
      </c>
      <c r="P410" s="66"/>
      <c r="U410" s="70"/>
      <c r="V410" s="240"/>
      <c r="W410" s="239"/>
      <c r="X410" s="243"/>
      <c r="Y410" s="69"/>
    </row>
    <row r="411" spans="1:25" ht="20.100000000000001" customHeight="1" x14ac:dyDescent="0.2">
      <c r="A411" s="24"/>
      <c r="B411" s="62"/>
      <c r="C411" s="192"/>
      <c r="D411" s="192"/>
      <c r="E411" s="192"/>
      <c r="F411" s="192"/>
      <c r="G411" s="192"/>
      <c r="H411" s="192"/>
      <c r="I411" s="64"/>
      <c r="J411" s="65"/>
    </row>
    <row r="412" spans="1:25" ht="30" customHeight="1" x14ac:dyDescent="0.2">
      <c r="A412" s="24"/>
      <c r="B412" s="904" t="s">
        <v>465</v>
      </c>
      <c r="C412" s="905"/>
      <c r="D412" s="905"/>
      <c r="E412" s="905"/>
      <c r="F412" s="905"/>
      <c r="G412" s="905"/>
      <c r="H412" s="905"/>
      <c r="I412" s="34" t="s">
        <v>466</v>
      </c>
      <c r="J412" s="244" t="s">
        <v>18</v>
      </c>
    </row>
    <row r="413" spans="1:25" ht="36" customHeight="1" x14ac:dyDescent="0.2">
      <c r="A413" s="24"/>
      <c r="B413" s="1023" t="s">
        <v>467</v>
      </c>
      <c r="C413" s="1024"/>
      <c r="D413" s="1024"/>
      <c r="E413" s="1024"/>
      <c r="F413" s="1024"/>
      <c r="G413" s="1024"/>
      <c r="H413" s="1024"/>
      <c r="I413" s="1024"/>
      <c r="J413" s="1025"/>
    </row>
    <row r="414" spans="1:25" ht="47.1" customHeight="1" x14ac:dyDescent="0.2">
      <c r="A414" s="24"/>
      <c r="B414" s="245" t="s">
        <v>468</v>
      </c>
      <c r="C414" s="1026" t="s">
        <v>323</v>
      </c>
      <c r="D414" s="1027"/>
      <c r="E414" s="1027" t="s">
        <v>469</v>
      </c>
      <c r="F414" s="1027"/>
      <c r="G414" s="1027" t="s">
        <v>470</v>
      </c>
      <c r="H414" s="1027"/>
      <c r="I414" s="214">
        <v>35</v>
      </c>
      <c r="J414" s="109">
        <v>1</v>
      </c>
    </row>
    <row r="415" spans="1:25" ht="42" customHeight="1" x14ac:dyDescent="0.2">
      <c r="A415" s="24"/>
      <c r="B415" s="982" t="s">
        <v>471</v>
      </c>
      <c r="C415" s="1014" t="s">
        <v>472</v>
      </c>
      <c r="D415" s="1015"/>
      <c r="E415" s="1016" t="s">
        <v>473</v>
      </c>
      <c r="F415" s="1016"/>
      <c r="G415" s="986" t="s">
        <v>63</v>
      </c>
      <c r="H415" s="987"/>
      <c r="I415" s="1017">
        <v>35</v>
      </c>
      <c r="J415" s="962">
        <v>1</v>
      </c>
    </row>
    <row r="416" spans="1:25" ht="30" customHeight="1" x14ac:dyDescent="0.2">
      <c r="A416" s="24"/>
      <c r="B416" s="983"/>
      <c r="C416" s="1020" t="s">
        <v>474</v>
      </c>
      <c r="D416" s="1021"/>
      <c r="E416" s="1022" t="s">
        <v>380</v>
      </c>
      <c r="F416" s="1022"/>
      <c r="G416" s="957" t="s">
        <v>287</v>
      </c>
      <c r="H416" s="958"/>
      <c r="I416" s="1018"/>
      <c r="J416" s="963"/>
    </row>
    <row r="417" spans="1:15" ht="30" customHeight="1" x14ac:dyDescent="0.2">
      <c r="A417" s="24"/>
      <c r="B417" s="984"/>
      <c r="C417" s="966" t="s">
        <v>381</v>
      </c>
      <c r="D417" s="967"/>
      <c r="E417" s="944"/>
      <c r="F417" s="944"/>
      <c r="G417" s="50"/>
      <c r="H417" s="124"/>
      <c r="I417" s="1019"/>
      <c r="J417" s="964"/>
    </row>
    <row r="418" spans="1:15" ht="20.100000000000001" customHeight="1" x14ac:dyDescent="0.2">
      <c r="A418" s="24"/>
      <c r="B418" s="62"/>
      <c r="C418" s="192"/>
      <c r="D418" s="192"/>
      <c r="E418" s="192"/>
      <c r="F418" s="192"/>
      <c r="G418" s="192"/>
      <c r="H418" s="192"/>
      <c r="I418" s="64"/>
      <c r="J418" s="65"/>
    </row>
    <row r="419" spans="1:15" s="18" customFormat="1" ht="30" customHeight="1" x14ac:dyDescent="0.2">
      <c r="A419" s="24"/>
      <c r="B419" s="904" t="s">
        <v>475</v>
      </c>
      <c r="C419" s="905"/>
      <c r="D419" s="905"/>
      <c r="E419" s="905"/>
      <c r="F419" s="905"/>
      <c r="G419" s="905"/>
      <c r="H419" s="906"/>
      <c r="I419" s="34" t="s">
        <v>17</v>
      </c>
      <c r="J419" s="35" t="s">
        <v>18</v>
      </c>
      <c r="K419" s="36" t="s">
        <v>476</v>
      </c>
      <c r="L419" s="37">
        <v>19</v>
      </c>
      <c r="N419" s="46" t="s">
        <v>30</v>
      </c>
      <c r="O419" s="37">
        <v>19</v>
      </c>
    </row>
    <row r="420" spans="1:15" s="18" customFormat="1" ht="30" customHeight="1" x14ac:dyDescent="0.2">
      <c r="A420" s="24"/>
      <c r="B420" s="949" t="s">
        <v>477</v>
      </c>
      <c r="C420" s="950"/>
      <c r="D420" s="950"/>
      <c r="E420" s="950"/>
      <c r="F420" s="950"/>
      <c r="G420" s="950"/>
      <c r="H420" s="950"/>
      <c r="I420" s="950"/>
      <c r="J420" s="951"/>
      <c r="K420" s="36" t="s">
        <v>476</v>
      </c>
      <c r="L420" s="37">
        <v>19</v>
      </c>
      <c r="O420" s="37">
        <v>19</v>
      </c>
    </row>
    <row r="421" spans="1:15" s="18" customFormat="1" ht="165.75" customHeight="1" x14ac:dyDescent="0.2">
      <c r="A421" s="24"/>
      <c r="B421" s="96"/>
      <c r="C421" s="901" t="s">
        <v>478</v>
      </c>
      <c r="D421" s="902"/>
      <c r="E421" s="902"/>
      <c r="F421" s="902"/>
      <c r="G421" s="902"/>
      <c r="H421" s="903"/>
      <c r="I421" s="246" t="s">
        <v>253</v>
      </c>
      <c r="J421" s="75" t="s">
        <v>253</v>
      </c>
      <c r="K421" s="36" t="s">
        <v>476</v>
      </c>
      <c r="L421" s="37">
        <v>19</v>
      </c>
      <c r="O421" s="37">
        <v>19</v>
      </c>
    </row>
    <row r="422" spans="1:15" s="18" customFormat="1" ht="20.100000000000001" customHeight="1" x14ac:dyDescent="0.2">
      <c r="A422" s="24"/>
      <c r="B422" s="76"/>
      <c r="C422" s="85"/>
      <c r="D422" s="85"/>
      <c r="E422" s="85"/>
      <c r="F422" s="85"/>
      <c r="G422" s="85"/>
      <c r="H422" s="85"/>
      <c r="I422" s="247"/>
      <c r="J422" s="248"/>
    </row>
    <row r="423" spans="1:15" s="18" customFormat="1" ht="30" customHeight="1" x14ac:dyDescent="0.2">
      <c r="A423" s="24"/>
      <c r="B423" s="1001" t="s">
        <v>479</v>
      </c>
      <c r="C423" s="1002"/>
      <c r="D423" s="1002"/>
      <c r="E423" s="1002"/>
      <c r="F423" s="1002"/>
      <c r="G423" s="1002"/>
      <c r="H423" s="1003"/>
      <c r="I423" s="34" t="s">
        <v>229</v>
      </c>
      <c r="J423" s="35" t="s">
        <v>18</v>
      </c>
      <c r="N423" s="46" t="s">
        <v>30</v>
      </c>
    </row>
    <row r="424" spans="1:15" s="18" customFormat="1" ht="311.25" customHeight="1" x14ac:dyDescent="0.2">
      <c r="A424" s="24"/>
      <c r="B424" s="1004" t="s">
        <v>480</v>
      </c>
      <c r="C424" s="1006" t="s">
        <v>481</v>
      </c>
      <c r="D424" s="1007"/>
      <c r="E424" s="1007"/>
      <c r="F424" s="1007"/>
      <c r="G424" s="1007"/>
      <c r="H424" s="1008"/>
      <c r="I424" s="1009" t="s">
        <v>482</v>
      </c>
      <c r="J424" s="915">
        <v>0.8</v>
      </c>
    </row>
    <row r="425" spans="1:15" s="18" customFormat="1" ht="139.5" customHeight="1" x14ac:dyDescent="0.2">
      <c r="A425" s="24"/>
      <c r="B425" s="1005"/>
      <c r="C425" s="1011" t="s">
        <v>483</v>
      </c>
      <c r="D425" s="1012"/>
      <c r="E425" s="1012"/>
      <c r="F425" s="1012"/>
      <c r="G425" s="1012"/>
      <c r="H425" s="1013"/>
      <c r="I425" s="1010"/>
      <c r="J425" s="916"/>
    </row>
    <row r="426" spans="1:15" s="18" customFormat="1" ht="20.100000000000001" customHeight="1" x14ac:dyDescent="0.2">
      <c r="A426" s="24"/>
      <c r="B426" s="76"/>
      <c r="C426" s="85"/>
      <c r="D426" s="85"/>
      <c r="E426" s="85"/>
      <c r="F426" s="85"/>
      <c r="G426" s="85"/>
      <c r="H426" s="85"/>
      <c r="I426" s="247"/>
      <c r="J426" s="248"/>
    </row>
    <row r="427" spans="1:15" s="18" customFormat="1" ht="30" customHeight="1" x14ac:dyDescent="0.2">
      <c r="A427" s="24"/>
      <c r="B427" s="995" t="s">
        <v>484</v>
      </c>
      <c r="C427" s="996"/>
      <c r="D427" s="996"/>
      <c r="E427" s="996"/>
      <c r="F427" s="996"/>
      <c r="G427" s="996"/>
      <c r="H427" s="997"/>
      <c r="I427" s="34" t="s">
        <v>17</v>
      </c>
      <c r="J427" s="35" t="s">
        <v>18</v>
      </c>
      <c r="N427" s="46" t="s">
        <v>30</v>
      </c>
    </row>
    <row r="428" spans="1:15" s="18" customFormat="1" ht="54.95" customHeight="1" x14ac:dyDescent="0.2">
      <c r="A428" s="24"/>
      <c r="B428" s="60" t="s">
        <v>485</v>
      </c>
      <c r="C428" s="998" t="s">
        <v>486</v>
      </c>
      <c r="D428" s="999"/>
      <c r="E428" s="999"/>
      <c r="F428" s="999"/>
      <c r="G428" s="999"/>
      <c r="H428" s="1000"/>
      <c r="I428" s="249" t="s">
        <v>253</v>
      </c>
      <c r="J428" s="42" t="s">
        <v>253</v>
      </c>
    </row>
    <row r="429" spans="1:15" s="18" customFormat="1" ht="20.100000000000001" customHeight="1" x14ac:dyDescent="0.2">
      <c r="A429" s="24"/>
      <c r="B429" s="76"/>
      <c r="C429" s="85"/>
      <c r="D429" s="85"/>
      <c r="E429" s="85"/>
      <c r="F429" s="85"/>
      <c r="G429" s="85"/>
      <c r="H429" s="85"/>
      <c r="I429" s="247"/>
      <c r="J429" s="248"/>
    </row>
    <row r="430" spans="1:15" s="18" customFormat="1" ht="30" customHeight="1" x14ac:dyDescent="0.2">
      <c r="A430" s="24"/>
      <c r="B430" s="250" t="s">
        <v>487</v>
      </c>
      <c r="C430" s="251"/>
      <c r="D430" s="251"/>
      <c r="E430" s="251"/>
      <c r="F430" s="251"/>
      <c r="G430" s="251"/>
      <c r="H430" s="251"/>
      <c r="I430" s="34" t="s">
        <v>17</v>
      </c>
      <c r="J430" s="35" t="s">
        <v>18</v>
      </c>
      <c r="N430" s="46" t="s">
        <v>30</v>
      </c>
    </row>
    <row r="431" spans="1:15" ht="93" customHeight="1" x14ac:dyDescent="0.2">
      <c r="A431" s="24"/>
      <c r="B431" s="252"/>
      <c r="C431" s="998" t="s">
        <v>488</v>
      </c>
      <c r="D431" s="999"/>
      <c r="E431" s="999"/>
      <c r="F431" s="999"/>
      <c r="G431" s="999"/>
      <c r="H431" s="1000"/>
      <c r="I431" s="249" t="s">
        <v>256</v>
      </c>
      <c r="J431" s="42" t="s">
        <v>256</v>
      </c>
    </row>
    <row r="432" spans="1:15" s="18" customFormat="1" ht="20.100000000000001" customHeight="1" x14ac:dyDescent="0.2">
      <c r="A432" s="24"/>
      <c r="B432" s="192"/>
      <c r="C432" s="192"/>
      <c r="D432" s="192"/>
      <c r="E432" s="192"/>
      <c r="F432" s="192"/>
      <c r="G432" s="192"/>
      <c r="H432" s="192"/>
      <c r="I432" s="192"/>
      <c r="J432" s="200"/>
    </row>
    <row r="433" spans="1:15" s="18" customFormat="1" ht="30" customHeight="1" x14ac:dyDescent="0.2">
      <c r="A433" s="24"/>
      <c r="B433" s="855" t="s">
        <v>489</v>
      </c>
      <c r="C433" s="856"/>
      <c r="D433" s="856"/>
      <c r="E433" s="856"/>
      <c r="F433" s="856"/>
      <c r="G433" s="856"/>
      <c r="H433" s="856"/>
      <c r="I433" s="856"/>
      <c r="J433" s="857"/>
      <c r="N433" s="46" t="s">
        <v>30</v>
      </c>
    </row>
    <row r="434" spans="1:15" s="18" customFormat="1" ht="41.25" customHeight="1" x14ac:dyDescent="0.2">
      <c r="A434" s="24"/>
      <c r="B434" s="901" t="s">
        <v>490</v>
      </c>
      <c r="C434" s="902"/>
      <c r="D434" s="902"/>
      <c r="E434" s="902"/>
      <c r="F434" s="902"/>
      <c r="G434" s="902"/>
      <c r="H434" s="902"/>
      <c r="I434" s="902"/>
      <c r="J434" s="903"/>
    </row>
    <row r="435" spans="1:15" s="18" customFormat="1" ht="20.100000000000001" customHeight="1" x14ac:dyDescent="0.2">
      <c r="A435" s="24"/>
      <c r="B435" s="192"/>
      <c r="C435" s="192"/>
      <c r="D435" s="192"/>
      <c r="E435" s="192"/>
      <c r="F435" s="192"/>
      <c r="G435" s="192"/>
      <c r="H435" s="192"/>
      <c r="I435" s="192"/>
      <c r="J435" s="200"/>
    </row>
    <row r="436" spans="1:15" s="18" customFormat="1" ht="30" customHeight="1" x14ac:dyDescent="0.2">
      <c r="A436" s="24"/>
      <c r="B436" s="855" t="s">
        <v>491</v>
      </c>
      <c r="C436" s="856"/>
      <c r="D436" s="856"/>
      <c r="E436" s="856"/>
      <c r="F436" s="856"/>
      <c r="G436" s="856"/>
      <c r="H436" s="856"/>
      <c r="I436" s="856"/>
      <c r="J436" s="857"/>
      <c r="N436" s="46" t="s">
        <v>30</v>
      </c>
    </row>
    <row r="437" spans="1:15" s="18" customFormat="1" ht="42" customHeight="1" x14ac:dyDescent="0.2">
      <c r="A437" s="24"/>
      <c r="B437" s="901" t="s">
        <v>492</v>
      </c>
      <c r="C437" s="902"/>
      <c r="D437" s="902"/>
      <c r="E437" s="902"/>
      <c r="F437" s="902"/>
      <c r="G437" s="902"/>
      <c r="H437" s="902"/>
      <c r="I437" s="902"/>
      <c r="J437" s="903"/>
    </row>
    <row r="438" spans="1:15" s="18" customFormat="1" ht="20.100000000000001" customHeight="1" x14ac:dyDescent="0.2">
      <c r="A438" s="24"/>
      <c r="B438" s="192"/>
      <c r="C438" s="192"/>
      <c r="D438" s="192"/>
      <c r="E438" s="192"/>
      <c r="F438" s="192"/>
      <c r="G438" s="192"/>
      <c r="H438" s="192"/>
      <c r="I438" s="192"/>
      <c r="J438" s="200"/>
    </row>
    <row r="439" spans="1:15" s="18" customFormat="1" ht="30" customHeight="1" x14ac:dyDescent="0.2">
      <c r="A439" s="24"/>
      <c r="B439" s="855" t="s">
        <v>493</v>
      </c>
      <c r="C439" s="856"/>
      <c r="D439" s="856"/>
      <c r="E439" s="856"/>
      <c r="F439" s="856"/>
      <c r="G439" s="856"/>
      <c r="H439" s="856"/>
      <c r="I439" s="856"/>
      <c r="J439" s="857"/>
      <c r="N439" s="46" t="s">
        <v>30</v>
      </c>
    </row>
    <row r="440" spans="1:15" s="18" customFormat="1" ht="42" customHeight="1" x14ac:dyDescent="0.2">
      <c r="A440" s="24"/>
      <c r="B440" s="901" t="s">
        <v>494</v>
      </c>
      <c r="C440" s="902"/>
      <c r="D440" s="902"/>
      <c r="E440" s="902"/>
      <c r="F440" s="902"/>
      <c r="G440" s="902"/>
      <c r="H440" s="902"/>
      <c r="I440" s="902"/>
      <c r="J440" s="903"/>
    </row>
    <row r="441" spans="1:15" s="18" customFormat="1" ht="20.100000000000001" customHeight="1" x14ac:dyDescent="0.2">
      <c r="A441" s="24"/>
      <c r="B441" s="85"/>
      <c r="C441" s="85"/>
      <c r="D441" s="85"/>
      <c r="E441" s="85"/>
      <c r="F441" s="85"/>
      <c r="G441" s="85"/>
      <c r="H441" s="85"/>
      <c r="I441" s="85"/>
      <c r="J441" s="253"/>
    </row>
    <row r="442" spans="1:15" s="18" customFormat="1" ht="30" customHeight="1" x14ac:dyDescent="0.2">
      <c r="A442" s="24"/>
      <c r="B442" s="904" t="s">
        <v>495</v>
      </c>
      <c r="C442" s="905"/>
      <c r="D442" s="905"/>
      <c r="E442" s="905"/>
      <c r="F442" s="905"/>
      <c r="G442" s="905"/>
      <c r="H442" s="906"/>
      <c r="I442" s="254" t="s">
        <v>496</v>
      </c>
      <c r="J442" s="255" t="s">
        <v>18</v>
      </c>
      <c r="N442" s="46" t="s">
        <v>30</v>
      </c>
    </row>
    <row r="443" spans="1:15" s="18" customFormat="1" ht="51" customHeight="1" x14ac:dyDescent="0.2">
      <c r="A443" s="24"/>
      <c r="B443" s="991" t="s">
        <v>497</v>
      </c>
      <c r="C443" s="992"/>
      <c r="D443" s="992"/>
      <c r="E443" s="992"/>
      <c r="F443" s="992"/>
      <c r="G443" s="992"/>
      <c r="H443" s="992"/>
      <c r="I443" s="992"/>
      <c r="J443" s="993"/>
    </row>
    <row r="444" spans="1:15" s="18" customFormat="1" ht="33.75" customHeight="1" x14ac:dyDescent="0.2">
      <c r="A444" s="24"/>
      <c r="B444" s="994" t="s">
        <v>328</v>
      </c>
      <c r="C444" s="901" t="s">
        <v>498</v>
      </c>
      <c r="D444" s="902"/>
      <c r="E444" s="902"/>
      <c r="F444" s="902"/>
      <c r="G444" s="902"/>
      <c r="H444" s="902"/>
      <c r="I444" s="902"/>
      <c r="J444" s="903"/>
    </row>
    <row r="445" spans="1:15" s="18" customFormat="1" ht="150.75" customHeight="1" x14ac:dyDescent="0.2">
      <c r="A445" s="24"/>
      <c r="B445" s="994"/>
      <c r="C445" s="901" t="s">
        <v>499</v>
      </c>
      <c r="D445" s="902"/>
      <c r="E445" s="902"/>
      <c r="F445" s="902"/>
      <c r="G445" s="902"/>
      <c r="H445" s="903"/>
      <c r="I445" s="256">
        <v>0</v>
      </c>
      <c r="J445" s="257">
        <v>1</v>
      </c>
    </row>
    <row r="446" spans="1:15" s="18" customFormat="1" ht="30" customHeight="1" x14ac:dyDescent="0.2">
      <c r="A446" s="24"/>
      <c r="B446" s="994"/>
      <c r="C446" s="991" t="s">
        <v>500</v>
      </c>
      <c r="D446" s="992"/>
      <c r="E446" s="992"/>
      <c r="F446" s="992"/>
      <c r="G446" s="992"/>
      <c r="H446" s="993"/>
      <c r="I446" s="258" t="s">
        <v>501</v>
      </c>
      <c r="J446" s="257" t="s">
        <v>501</v>
      </c>
    </row>
    <row r="447" spans="1:15" s="18" customFormat="1" ht="20.100000000000001" customHeight="1" x14ac:dyDescent="0.2">
      <c r="A447" s="24"/>
      <c r="B447" s="85"/>
      <c r="C447" s="85"/>
      <c r="D447" s="85"/>
      <c r="E447" s="85"/>
      <c r="F447" s="85"/>
      <c r="G447" s="85"/>
      <c r="H447" s="85"/>
      <c r="I447" s="85"/>
      <c r="J447" s="253"/>
    </row>
    <row r="448" spans="1:15" ht="30" customHeight="1" x14ac:dyDescent="0.2">
      <c r="A448" s="24"/>
      <c r="B448" s="972" t="s">
        <v>502</v>
      </c>
      <c r="C448" s="973"/>
      <c r="D448" s="973"/>
      <c r="E448" s="973"/>
      <c r="F448" s="973"/>
      <c r="G448" s="973"/>
      <c r="H448" s="974"/>
      <c r="I448" s="34" t="s">
        <v>17</v>
      </c>
      <c r="J448" s="35" t="s">
        <v>18</v>
      </c>
      <c r="K448" s="36" t="s">
        <v>503</v>
      </c>
      <c r="L448" s="37">
        <v>21</v>
      </c>
      <c r="N448" s="46" t="s">
        <v>30</v>
      </c>
      <c r="O448" s="37">
        <v>21</v>
      </c>
    </row>
    <row r="449" spans="1:15" ht="38.25" customHeight="1" x14ac:dyDescent="0.2">
      <c r="A449" s="24"/>
      <c r="B449" s="60" t="s">
        <v>328</v>
      </c>
      <c r="C449" s="901" t="s">
        <v>504</v>
      </c>
      <c r="D449" s="902"/>
      <c r="E449" s="902"/>
      <c r="F449" s="902"/>
      <c r="G449" s="902"/>
      <c r="H449" s="903"/>
      <c r="I449" s="61" t="s">
        <v>501</v>
      </c>
      <c r="J449" s="42" t="s">
        <v>501</v>
      </c>
      <c r="K449" s="36" t="s">
        <v>503</v>
      </c>
      <c r="L449" s="37">
        <v>21</v>
      </c>
      <c r="O449" s="37">
        <v>21</v>
      </c>
    </row>
    <row r="450" spans="1:15" s="18" customFormat="1" ht="20.100000000000001" customHeight="1" x14ac:dyDescent="0.2">
      <c r="A450" s="24"/>
      <c r="B450" s="85"/>
      <c r="C450" s="85"/>
      <c r="D450" s="85"/>
      <c r="E450" s="85"/>
      <c r="F450" s="85"/>
      <c r="G450" s="85"/>
      <c r="H450" s="85"/>
      <c r="I450" s="85"/>
      <c r="J450" s="253"/>
    </row>
    <row r="451" spans="1:15" s="45" customFormat="1" ht="30" customHeight="1" x14ac:dyDescent="0.2">
      <c r="B451" s="972" t="s">
        <v>505</v>
      </c>
      <c r="C451" s="975"/>
      <c r="D451" s="975"/>
      <c r="E451" s="975"/>
      <c r="F451" s="975"/>
      <c r="G451" s="975"/>
      <c r="H451" s="975"/>
      <c r="I451" s="94" t="s">
        <v>466</v>
      </c>
      <c r="J451" s="259" t="s">
        <v>18</v>
      </c>
      <c r="K451" s="36" t="s">
        <v>506</v>
      </c>
      <c r="L451" s="37">
        <v>47</v>
      </c>
      <c r="M451" s="181"/>
      <c r="N451" s="182" t="s">
        <v>30</v>
      </c>
      <c r="O451" s="37">
        <v>47</v>
      </c>
    </row>
    <row r="452" spans="1:15" s="45" customFormat="1" ht="30" customHeight="1" x14ac:dyDescent="0.2">
      <c r="B452" s="976" t="s">
        <v>507</v>
      </c>
      <c r="C452" s="977"/>
      <c r="D452" s="977"/>
      <c r="E452" s="977"/>
      <c r="F452" s="977"/>
      <c r="G452" s="977"/>
      <c r="H452" s="977"/>
      <c r="I452" s="977"/>
      <c r="J452" s="978"/>
      <c r="K452" s="36" t="s">
        <v>506</v>
      </c>
      <c r="L452" s="37">
        <v>47</v>
      </c>
      <c r="M452" s="181"/>
      <c r="N452" s="67"/>
      <c r="O452" s="37">
        <v>47</v>
      </c>
    </row>
    <row r="453" spans="1:15" s="45" customFormat="1" ht="42" customHeight="1" x14ac:dyDescent="0.2">
      <c r="B453" s="979" t="s">
        <v>508</v>
      </c>
      <c r="C453" s="980"/>
      <c r="D453" s="980"/>
      <c r="E453" s="980"/>
      <c r="F453" s="980"/>
      <c r="G453" s="980"/>
      <c r="H453" s="980"/>
      <c r="I453" s="980"/>
      <c r="J453" s="981"/>
      <c r="K453" s="36" t="s">
        <v>506</v>
      </c>
      <c r="L453" s="37">
        <v>47</v>
      </c>
      <c r="M453" s="181"/>
      <c r="N453" s="67"/>
      <c r="O453" s="37">
        <v>47</v>
      </c>
    </row>
    <row r="454" spans="1:15" s="45" customFormat="1" ht="30" customHeight="1" x14ac:dyDescent="0.2">
      <c r="B454" s="982" t="s">
        <v>395</v>
      </c>
      <c r="C454" s="985" t="s">
        <v>133</v>
      </c>
      <c r="D454" s="986"/>
      <c r="E454" s="986" t="s">
        <v>135</v>
      </c>
      <c r="F454" s="986"/>
      <c r="G454" s="986" t="s">
        <v>136</v>
      </c>
      <c r="H454" s="987"/>
      <c r="I454" s="988">
        <v>35</v>
      </c>
      <c r="J454" s="962">
        <v>1</v>
      </c>
      <c r="K454" s="36" t="s">
        <v>506</v>
      </c>
      <c r="L454" s="37">
        <v>47</v>
      </c>
      <c r="M454" s="181"/>
      <c r="N454" s="67"/>
      <c r="O454" s="37">
        <v>47</v>
      </c>
    </row>
    <row r="455" spans="1:15" s="45" customFormat="1" ht="30" customHeight="1" x14ac:dyDescent="0.2">
      <c r="B455" s="983"/>
      <c r="C455" s="968" t="s">
        <v>82</v>
      </c>
      <c r="D455" s="969"/>
      <c r="E455" s="957" t="s">
        <v>92</v>
      </c>
      <c r="F455" s="957"/>
      <c r="G455" s="956" t="s">
        <v>29</v>
      </c>
      <c r="H455" s="970"/>
      <c r="I455" s="989"/>
      <c r="J455" s="963"/>
      <c r="K455" s="36" t="s">
        <v>506</v>
      </c>
      <c r="L455" s="37">
        <v>47</v>
      </c>
      <c r="M455" s="181"/>
      <c r="N455" s="67"/>
      <c r="O455" s="37">
        <v>47</v>
      </c>
    </row>
    <row r="456" spans="1:15" s="45" customFormat="1" ht="30" customHeight="1" x14ac:dyDescent="0.2">
      <c r="B456" s="984"/>
      <c r="C456" s="971" t="s">
        <v>81</v>
      </c>
      <c r="D456" s="944"/>
      <c r="E456" s="944" t="s">
        <v>32</v>
      </c>
      <c r="F456" s="944"/>
      <c r="G456" s="944"/>
      <c r="H456" s="945"/>
      <c r="I456" s="990"/>
      <c r="J456" s="964"/>
      <c r="K456" s="36" t="s">
        <v>506</v>
      </c>
      <c r="L456" s="37">
        <v>47</v>
      </c>
      <c r="M456" s="181"/>
      <c r="N456" s="67"/>
      <c r="O456" s="37">
        <v>47</v>
      </c>
    </row>
    <row r="457" spans="1:15" s="45" customFormat="1" ht="30" customHeight="1" x14ac:dyDescent="0.2">
      <c r="B457" s="952" t="s">
        <v>396</v>
      </c>
      <c r="C457" s="955" t="s">
        <v>378</v>
      </c>
      <c r="D457" s="956"/>
      <c r="E457" s="957" t="s">
        <v>42</v>
      </c>
      <c r="F457" s="957"/>
      <c r="G457" s="957" t="s">
        <v>63</v>
      </c>
      <c r="H457" s="958"/>
      <c r="I457" s="959">
        <v>35</v>
      </c>
      <c r="J457" s="962">
        <v>1</v>
      </c>
      <c r="K457" s="36" t="s">
        <v>506</v>
      </c>
      <c r="L457" s="37">
        <v>47</v>
      </c>
      <c r="M457" s="181"/>
      <c r="N457" s="67"/>
      <c r="O457" s="37">
        <v>47</v>
      </c>
    </row>
    <row r="458" spans="1:15" s="45" customFormat="1" ht="30" customHeight="1" x14ac:dyDescent="0.2">
      <c r="B458" s="953"/>
      <c r="C458" s="965" t="s">
        <v>379</v>
      </c>
      <c r="D458" s="957"/>
      <c r="E458" s="957" t="s">
        <v>380</v>
      </c>
      <c r="F458" s="957"/>
      <c r="G458" s="957" t="s">
        <v>56</v>
      </c>
      <c r="H458" s="958"/>
      <c r="I458" s="960"/>
      <c r="J458" s="963"/>
      <c r="K458" s="36" t="s">
        <v>506</v>
      </c>
      <c r="L458" s="37">
        <v>47</v>
      </c>
      <c r="M458" s="181"/>
      <c r="N458" s="67"/>
      <c r="O458" s="37">
        <v>47</v>
      </c>
    </row>
    <row r="459" spans="1:15" s="45" customFormat="1" ht="30" customHeight="1" x14ac:dyDescent="0.2">
      <c r="B459" s="954"/>
      <c r="C459" s="966" t="s">
        <v>43</v>
      </c>
      <c r="D459" s="967"/>
      <c r="E459" s="944" t="s">
        <v>381</v>
      </c>
      <c r="F459" s="944"/>
      <c r="G459" s="944" t="s">
        <v>287</v>
      </c>
      <c r="H459" s="945"/>
      <c r="I459" s="961"/>
      <c r="J459" s="964"/>
      <c r="K459" s="36" t="s">
        <v>506</v>
      </c>
      <c r="L459" s="37">
        <v>47</v>
      </c>
      <c r="M459" s="181"/>
      <c r="N459" s="67"/>
      <c r="O459" s="37">
        <v>47</v>
      </c>
    </row>
    <row r="460" spans="1:15" s="45" customFormat="1" ht="30" customHeight="1" x14ac:dyDescent="0.2">
      <c r="B460" s="946" t="s">
        <v>509</v>
      </c>
      <c r="C460" s="947"/>
      <c r="D460" s="947"/>
      <c r="E460" s="947"/>
      <c r="F460" s="947"/>
      <c r="G460" s="947"/>
      <c r="H460" s="947"/>
      <c r="I460" s="947"/>
      <c r="J460" s="948"/>
      <c r="K460" s="36" t="s">
        <v>506</v>
      </c>
      <c r="L460" s="37">
        <v>47</v>
      </c>
      <c r="M460" s="181"/>
      <c r="N460" s="182" t="s">
        <v>30</v>
      </c>
      <c r="O460" s="37">
        <v>47</v>
      </c>
    </row>
    <row r="461" spans="1:15" s="45" customFormat="1" ht="30" customHeight="1" x14ac:dyDescent="0.2">
      <c r="B461" s="949" t="s">
        <v>510</v>
      </c>
      <c r="C461" s="950"/>
      <c r="D461" s="950"/>
      <c r="E461" s="950"/>
      <c r="F461" s="950"/>
      <c r="G461" s="950"/>
      <c r="H461" s="950"/>
      <c r="I461" s="950"/>
      <c r="J461" s="951"/>
      <c r="K461" s="36" t="s">
        <v>506</v>
      </c>
      <c r="L461" s="37">
        <v>47</v>
      </c>
      <c r="M461" s="181"/>
      <c r="N461" s="67"/>
      <c r="O461" s="37">
        <v>47</v>
      </c>
    </row>
    <row r="462" spans="1:15" s="45" customFormat="1" ht="30" customHeight="1" x14ac:dyDescent="0.2">
      <c r="B462" s="260" t="s">
        <v>373</v>
      </c>
      <c r="C462" s="927" t="s">
        <v>32</v>
      </c>
      <c r="D462" s="928"/>
      <c r="E462" s="928" t="s">
        <v>29</v>
      </c>
      <c r="F462" s="928"/>
      <c r="G462" s="928"/>
      <c r="H462" s="929"/>
      <c r="I462" s="261">
        <v>200</v>
      </c>
      <c r="J462" s="262">
        <v>0.8</v>
      </c>
      <c r="K462" s="36" t="s">
        <v>506</v>
      </c>
      <c r="L462" s="37">
        <v>47</v>
      </c>
      <c r="M462" s="181"/>
      <c r="N462" s="67"/>
      <c r="O462" s="37">
        <v>47</v>
      </c>
    </row>
    <row r="463" spans="1:15" s="45" customFormat="1" ht="30" customHeight="1" x14ac:dyDescent="0.2">
      <c r="B463" s="930" t="s">
        <v>375</v>
      </c>
      <c r="C463" s="932" t="s">
        <v>82</v>
      </c>
      <c r="D463" s="933"/>
      <c r="E463" s="933" t="s">
        <v>92</v>
      </c>
      <c r="F463" s="933"/>
      <c r="G463" s="933" t="s">
        <v>81</v>
      </c>
      <c r="H463" s="934"/>
      <c r="I463" s="937">
        <v>300</v>
      </c>
      <c r="J463" s="939">
        <v>0.8</v>
      </c>
      <c r="K463" s="36" t="s">
        <v>506</v>
      </c>
      <c r="L463" s="37">
        <v>47</v>
      </c>
      <c r="M463" s="181"/>
      <c r="N463" s="67"/>
      <c r="O463" s="37">
        <v>47</v>
      </c>
    </row>
    <row r="464" spans="1:15" s="45" customFormat="1" ht="30" customHeight="1" x14ac:dyDescent="0.2">
      <c r="B464" s="931"/>
      <c r="C464" s="917" t="s">
        <v>511</v>
      </c>
      <c r="D464" s="918"/>
      <c r="E464" s="82" t="s">
        <v>376</v>
      </c>
      <c r="F464" s="82"/>
      <c r="G464" s="82"/>
      <c r="H464" s="83"/>
      <c r="I464" s="938"/>
      <c r="J464" s="940"/>
      <c r="K464" s="36" t="s">
        <v>506</v>
      </c>
      <c r="L464" s="37">
        <v>47</v>
      </c>
      <c r="M464" s="181"/>
      <c r="N464" s="67"/>
      <c r="O464" s="37">
        <v>47</v>
      </c>
    </row>
    <row r="465" spans="2:16" s="45" customFormat="1" ht="30" customHeight="1" x14ac:dyDescent="0.2">
      <c r="B465" s="263" t="s">
        <v>512</v>
      </c>
      <c r="C465" s="923" t="s">
        <v>513</v>
      </c>
      <c r="D465" s="923"/>
      <c r="E465" s="923"/>
      <c r="F465" s="923"/>
      <c r="G465" s="923"/>
      <c r="H465" s="923"/>
      <c r="I465" s="264">
        <v>400</v>
      </c>
      <c r="J465" s="265">
        <v>0.5</v>
      </c>
      <c r="K465" s="36" t="s">
        <v>506</v>
      </c>
      <c r="L465" s="37">
        <v>47</v>
      </c>
      <c r="M465" s="181"/>
      <c r="N465" s="67"/>
      <c r="O465" s="37">
        <v>47</v>
      </c>
    </row>
    <row r="466" spans="2:16" s="45" customFormat="1" ht="30" customHeight="1" x14ac:dyDescent="0.2">
      <c r="B466" s="266" t="s">
        <v>396</v>
      </c>
      <c r="C466" s="923" t="s">
        <v>514</v>
      </c>
      <c r="D466" s="923"/>
      <c r="E466" s="923"/>
      <c r="F466" s="923"/>
      <c r="G466" s="923"/>
      <c r="H466" s="923"/>
      <c r="I466" s="267">
        <v>300</v>
      </c>
      <c r="J466" s="268">
        <v>0.5</v>
      </c>
      <c r="K466" s="36" t="s">
        <v>506</v>
      </c>
      <c r="L466" s="37">
        <v>47</v>
      </c>
      <c r="M466" s="181"/>
      <c r="N466" s="67"/>
      <c r="O466" s="37">
        <v>47</v>
      </c>
    </row>
    <row r="467" spans="2:16" s="45" customFormat="1" ht="30" customHeight="1" x14ac:dyDescent="0.2">
      <c r="B467" s="941" t="s">
        <v>515</v>
      </c>
      <c r="C467" s="942"/>
      <c r="D467" s="942"/>
      <c r="E467" s="942"/>
      <c r="F467" s="942"/>
      <c r="G467" s="942"/>
      <c r="H467" s="942"/>
      <c r="I467" s="942"/>
      <c r="J467" s="943"/>
      <c r="K467" s="36" t="s">
        <v>506</v>
      </c>
      <c r="L467" s="37">
        <v>47</v>
      </c>
      <c r="M467" s="181"/>
      <c r="N467" s="182" t="s">
        <v>30</v>
      </c>
      <c r="O467" s="37">
        <v>47</v>
      </c>
    </row>
    <row r="468" spans="2:16" s="45" customFormat="1" ht="27.95" customHeight="1" x14ac:dyDescent="0.2">
      <c r="B468" s="260" t="s">
        <v>373</v>
      </c>
      <c r="C468" s="927" t="s">
        <v>32</v>
      </c>
      <c r="D468" s="928"/>
      <c r="E468" s="928" t="s">
        <v>29</v>
      </c>
      <c r="F468" s="928"/>
      <c r="G468" s="928"/>
      <c r="H468" s="929"/>
      <c r="I468" s="261">
        <v>400</v>
      </c>
      <c r="J468" s="262">
        <v>0.8</v>
      </c>
      <c r="K468" s="36" t="s">
        <v>506</v>
      </c>
      <c r="L468" s="37">
        <v>47</v>
      </c>
      <c r="M468" s="181"/>
      <c r="N468" s="67"/>
      <c r="O468" s="37">
        <v>47</v>
      </c>
    </row>
    <row r="469" spans="2:16" s="45" customFormat="1" ht="27.95" customHeight="1" x14ac:dyDescent="0.2">
      <c r="B469" s="930" t="s">
        <v>375</v>
      </c>
      <c r="C469" s="932" t="s">
        <v>82</v>
      </c>
      <c r="D469" s="933"/>
      <c r="E469" s="933" t="s">
        <v>92</v>
      </c>
      <c r="F469" s="933"/>
      <c r="G469" s="933" t="s">
        <v>81</v>
      </c>
      <c r="H469" s="934"/>
      <c r="I469" s="937">
        <v>450</v>
      </c>
      <c r="J469" s="939">
        <v>0.75</v>
      </c>
      <c r="K469" s="36" t="s">
        <v>506</v>
      </c>
      <c r="L469" s="37">
        <v>47</v>
      </c>
      <c r="M469" s="181"/>
      <c r="N469" s="67"/>
      <c r="O469" s="37">
        <v>47</v>
      </c>
    </row>
    <row r="470" spans="2:16" s="45" customFormat="1" ht="27.95" customHeight="1" x14ac:dyDescent="0.2">
      <c r="B470" s="931"/>
      <c r="C470" s="917" t="s">
        <v>511</v>
      </c>
      <c r="D470" s="918"/>
      <c r="E470" s="82" t="s">
        <v>376</v>
      </c>
      <c r="F470" s="82"/>
      <c r="G470" s="82"/>
      <c r="H470" s="83"/>
      <c r="I470" s="938"/>
      <c r="J470" s="940"/>
      <c r="K470" s="36" t="s">
        <v>506</v>
      </c>
      <c r="L470" s="37">
        <v>47</v>
      </c>
      <c r="M470" s="181"/>
      <c r="N470" s="67"/>
      <c r="O470" s="37">
        <v>47</v>
      </c>
    </row>
    <row r="471" spans="2:16" s="45" customFormat="1" ht="27.95" customHeight="1" x14ac:dyDescent="0.2">
      <c r="B471" s="266" t="s">
        <v>396</v>
      </c>
      <c r="C471" s="923" t="s">
        <v>514</v>
      </c>
      <c r="D471" s="923"/>
      <c r="E471" s="923"/>
      <c r="F471" s="923"/>
      <c r="G471" s="923"/>
      <c r="H471" s="923"/>
      <c r="I471" s="267">
        <v>450</v>
      </c>
      <c r="J471" s="269">
        <v>0.75</v>
      </c>
      <c r="K471" s="36" t="s">
        <v>506</v>
      </c>
      <c r="L471" s="37">
        <v>47</v>
      </c>
      <c r="M471" s="181"/>
      <c r="N471" s="67"/>
      <c r="O471" s="37">
        <v>47</v>
      </c>
    </row>
    <row r="472" spans="2:16" s="45" customFormat="1" ht="30" customHeight="1" x14ac:dyDescent="0.2">
      <c r="B472" s="924" t="s">
        <v>516</v>
      </c>
      <c r="C472" s="925"/>
      <c r="D472" s="925"/>
      <c r="E472" s="925"/>
      <c r="F472" s="925"/>
      <c r="G472" s="925"/>
      <c r="H472" s="925"/>
      <c r="I472" s="925"/>
      <c r="J472" s="926"/>
      <c r="K472" s="36" t="s">
        <v>506</v>
      </c>
      <c r="L472" s="37">
        <v>47</v>
      </c>
      <c r="M472" s="181"/>
      <c r="N472" s="182" t="s">
        <v>30</v>
      </c>
      <c r="O472" s="37">
        <v>47</v>
      </c>
    </row>
    <row r="473" spans="2:16" s="45" customFormat="1" ht="30" customHeight="1" x14ac:dyDescent="0.2">
      <c r="B473" s="260" t="s">
        <v>26</v>
      </c>
      <c r="C473" s="927" t="s">
        <v>32</v>
      </c>
      <c r="D473" s="928"/>
      <c r="E473" s="928" t="s">
        <v>29</v>
      </c>
      <c r="F473" s="928"/>
      <c r="G473" s="928"/>
      <c r="H473" s="929"/>
      <c r="I473" s="261">
        <v>400</v>
      </c>
      <c r="J473" s="262">
        <v>0.8</v>
      </c>
      <c r="K473" s="36" t="s">
        <v>506</v>
      </c>
      <c r="L473" s="37">
        <v>47</v>
      </c>
      <c r="M473" s="181"/>
      <c r="N473" s="67"/>
      <c r="O473" s="37">
        <v>47</v>
      </c>
    </row>
    <row r="474" spans="2:16" s="45" customFormat="1" ht="30" customHeight="1" x14ac:dyDescent="0.2">
      <c r="B474" s="930" t="s">
        <v>375</v>
      </c>
      <c r="C474" s="932" t="s">
        <v>82</v>
      </c>
      <c r="D474" s="933"/>
      <c r="E474" s="933" t="s">
        <v>92</v>
      </c>
      <c r="F474" s="933"/>
      <c r="G474" s="933" t="s">
        <v>81</v>
      </c>
      <c r="H474" s="934"/>
      <c r="I474" s="935">
        <v>450</v>
      </c>
      <c r="J474" s="915">
        <v>0.75</v>
      </c>
      <c r="K474" s="36" t="s">
        <v>506</v>
      </c>
      <c r="L474" s="37">
        <v>47</v>
      </c>
      <c r="M474" s="181"/>
      <c r="N474" s="67"/>
      <c r="O474" s="37">
        <v>47</v>
      </c>
    </row>
    <row r="475" spans="2:16" s="24" customFormat="1" ht="30" customHeight="1" x14ac:dyDescent="0.2">
      <c r="B475" s="931"/>
      <c r="C475" s="917" t="s">
        <v>511</v>
      </c>
      <c r="D475" s="918"/>
      <c r="E475" s="82" t="s">
        <v>376</v>
      </c>
      <c r="F475" s="82"/>
      <c r="G475" s="82"/>
      <c r="H475" s="83"/>
      <c r="I475" s="936"/>
      <c r="J475" s="916"/>
      <c r="K475" s="36" t="s">
        <v>506</v>
      </c>
      <c r="L475" s="37">
        <v>47</v>
      </c>
      <c r="M475" s="181"/>
      <c r="N475" s="67"/>
      <c r="O475" s="37">
        <v>47</v>
      </c>
      <c r="P475" s="18"/>
    </row>
    <row r="476" spans="2:16" s="24" customFormat="1" ht="30" customHeight="1" x14ac:dyDescent="0.2">
      <c r="B476" s="270" t="s">
        <v>396</v>
      </c>
      <c r="C476" s="919" t="s">
        <v>514</v>
      </c>
      <c r="D476" s="919"/>
      <c r="E476" s="919"/>
      <c r="F476" s="919"/>
      <c r="G476" s="919"/>
      <c r="H476" s="919"/>
      <c r="I476" s="264">
        <v>450</v>
      </c>
      <c r="J476" s="271">
        <v>0.75</v>
      </c>
      <c r="K476" s="36" t="s">
        <v>506</v>
      </c>
      <c r="L476" s="37">
        <v>47</v>
      </c>
      <c r="M476" s="181"/>
      <c r="N476" s="67"/>
      <c r="O476" s="37">
        <v>47</v>
      </c>
      <c r="P476" s="18"/>
    </row>
    <row r="477" spans="2:16" s="24" customFormat="1" ht="20.100000000000001" customHeight="1" x14ac:dyDescent="0.2">
      <c r="B477" s="31"/>
      <c r="C477" s="31"/>
      <c r="D477" s="31"/>
      <c r="E477" s="31"/>
      <c r="F477" s="31"/>
      <c r="G477" s="31"/>
      <c r="H477" s="31"/>
      <c r="I477" s="32"/>
      <c r="J477" s="33"/>
      <c r="K477" s="272"/>
      <c r="L477" s="272"/>
      <c r="M477" s="4"/>
      <c r="N477" s="18"/>
      <c r="O477" s="272"/>
      <c r="P477" s="18"/>
    </row>
    <row r="478" spans="2:16" s="24" customFormat="1" ht="30" customHeight="1" x14ac:dyDescent="0.2">
      <c r="B478" s="855" t="s">
        <v>517</v>
      </c>
      <c r="C478" s="856"/>
      <c r="D478" s="856"/>
      <c r="E478" s="856"/>
      <c r="F478" s="856"/>
      <c r="G478" s="856"/>
      <c r="H478" s="856"/>
      <c r="I478" s="856"/>
      <c r="J478" s="857"/>
      <c r="K478" s="1"/>
      <c r="L478" s="2"/>
      <c r="M478" s="3"/>
      <c r="N478" s="46" t="s">
        <v>30</v>
      </c>
      <c r="O478" s="2"/>
      <c r="P478" s="18"/>
    </row>
    <row r="479" spans="2:16" s="24" customFormat="1" ht="30" customHeight="1" x14ac:dyDescent="0.2">
      <c r="B479" s="273" t="s">
        <v>518</v>
      </c>
      <c r="C479" s="274"/>
      <c r="D479" s="274"/>
      <c r="E479" s="274"/>
      <c r="F479" s="274"/>
      <c r="G479" s="274"/>
      <c r="H479" s="274"/>
      <c r="I479" s="275"/>
      <c r="J479" s="276"/>
      <c r="K479" s="1"/>
      <c r="L479" s="2"/>
      <c r="M479" s="3"/>
      <c r="N479" s="4"/>
      <c r="O479" s="2"/>
      <c r="P479" s="18"/>
    </row>
    <row r="480" spans="2:16" s="24" customFormat="1" ht="63.75" customHeight="1" x14ac:dyDescent="0.2">
      <c r="B480" s="920" t="s">
        <v>519</v>
      </c>
      <c r="C480" s="921"/>
      <c r="D480" s="921"/>
      <c r="E480" s="921"/>
      <c r="F480" s="921"/>
      <c r="G480" s="921"/>
      <c r="H480" s="921"/>
      <c r="I480" s="921"/>
      <c r="J480" s="922"/>
      <c r="K480" s="1"/>
      <c r="L480" s="2"/>
      <c r="M480" s="3"/>
      <c r="N480" s="4"/>
      <c r="O480" s="2"/>
      <c r="P480" s="18"/>
    </row>
    <row r="481" spans="2:16" s="24" customFormat="1" ht="20.100000000000001" customHeight="1" x14ac:dyDescent="0.2">
      <c r="B481" s="192"/>
      <c r="C481" s="47"/>
      <c r="D481" s="47"/>
      <c r="E481" s="47"/>
      <c r="F481" s="47"/>
      <c r="G481" s="47"/>
      <c r="H481" s="47"/>
      <c r="I481" s="64"/>
      <c r="J481" s="65"/>
      <c r="K481" s="1"/>
      <c r="L481" s="2"/>
      <c r="M481" s="3"/>
      <c r="N481" s="23"/>
      <c r="O481" s="2"/>
      <c r="P481" s="18"/>
    </row>
    <row r="482" spans="2:16" s="24" customFormat="1" ht="30" customHeight="1" x14ac:dyDescent="0.2">
      <c r="B482" s="855" t="s">
        <v>520</v>
      </c>
      <c r="C482" s="856"/>
      <c r="D482" s="856"/>
      <c r="E482" s="856"/>
      <c r="F482" s="856"/>
      <c r="G482" s="856"/>
      <c r="H482" s="856"/>
      <c r="I482" s="856"/>
      <c r="J482" s="857"/>
      <c r="K482" s="1"/>
      <c r="L482" s="2"/>
      <c r="M482" s="3"/>
      <c r="N482" s="46" t="s">
        <v>30</v>
      </c>
      <c r="O482" s="2"/>
      <c r="P482" s="18"/>
    </row>
    <row r="483" spans="2:16" s="24" customFormat="1" ht="141" customHeight="1" x14ac:dyDescent="0.2">
      <c r="B483" s="901" t="s">
        <v>521</v>
      </c>
      <c r="C483" s="902"/>
      <c r="D483" s="902"/>
      <c r="E483" s="902"/>
      <c r="F483" s="902"/>
      <c r="G483" s="902"/>
      <c r="H483" s="902"/>
      <c r="I483" s="902"/>
      <c r="J483" s="903"/>
      <c r="K483" s="1"/>
      <c r="L483" s="2"/>
      <c r="M483" s="3"/>
      <c r="N483" s="4"/>
      <c r="O483" s="2"/>
      <c r="P483" s="18"/>
    </row>
    <row r="484" spans="2:16" s="24" customFormat="1" ht="20.100000000000001" customHeight="1" x14ac:dyDescent="0.2">
      <c r="B484" s="192"/>
      <c r="C484" s="47"/>
      <c r="D484" s="47"/>
      <c r="E484" s="47"/>
      <c r="F484" s="47"/>
      <c r="G484" s="47"/>
      <c r="H484" s="47"/>
      <c r="I484" s="64"/>
      <c r="J484" s="65"/>
      <c r="K484" s="1"/>
      <c r="L484" s="2"/>
      <c r="M484" s="3"/>
      <c r="N484" s="4"/>
      <c r="O484" s="2"/>
      <c r="P484" s="18"/>
    </row>
    <row r="485" spans="2:16" s="24" customFormat="1" ht="30" customHeight="1" x14ac:dyDescent="0.2">
      <c r="B485" s="855" t="s">
        <v>522</v>
      </c>
      <c r="C485" s="856"/>
      <c r="D485" s="856"/>
      <c r="E485" s="856"/>
      <c r="F485" s="856"/>
      <c r="G485" s="856"/>
      <c r="H485" s="856"/>
      <c r="I485" s="856"/>
      <c r="J485" s="857"/>
      <c r="K485" s="1"/>
      <c r="L485" s="2"/>
      <c r="M485" s="3"/>
      <c r="N485" s="46" t="s">
        <v>30</v>
      </c>
      <c r="O485" s="2"/>
      <c r="P485" s="18"/>
    </row>
    <row r="486" spans="2:16" s="24" customFormat="1" ht="20.100000000000001" customHeight="1" x14ac:dyDescent="0.2">
      <c r="B486" s="1"/>
      <c r="C486" s="1"/>
      <c r="D486" s="1"/>
      <c r="E486" s="1"/>
      <c r="F486" s="1"/>
      <c r="G486" s="1"/>
      <c r="H486" s="1"/>
      <c r="I486" s="11"/>
      <c r="J486" s="234"/>
      <c r="K486" s="1"/>
      <c r="L486" s="2"/>
      <c r="M486" s="3"/>
      <c r="N486" s="4"/>
      <c r="O486" s="2"/>
      <c r="P486" s="18"/>
    </row>
    <row r="487" spans="2:16" s="24" customFormat="1" ht="30" customHeight="1" x14ac:dyDescent="0.2">
      <c r="B487" s="904" t="s">
        <v>6</v>
      </c>
      <c r="C487" s="905"/>
      <c r="D487" s="905"/>
      <c r="E487" s="905"/>
      <c r="F487" s="905"/>
      <c r="G487" s="905"/>
      <c r="H487" s="905"/>
      <c r="I487" s="905"/>
      <c r="J487" s="906"/>
      <c r="K487" s="1"/>
      <c r="L487" s="2"/>
      <c r="M487" s="3"/>
      <c r="N487" s="46" t="s">
        <v>30</v>
      </c>
      <c r="O487" s="2"/>
      <c r="P487" s="18"/>
    </row>
    <row r="488" spans="2:16" s="24" customFormat="1" ht="20.100000000000001" customHeight="1" x14ac:dyDescent="0.2">
      <c r="B488" s="277"/>
      <c r="C488" s="1"/>
      <c r="D488" s="1"/>
      <c r="E488" s="1"/>
      <c r="F488" s="1"/>
      <c r="G488" s="1"/>
      <c r="H488" s="1"/>
      <c r="I488" s="11"/>
      <c r="J488" s="234"/>
      <c r="K488" s="1"/>
      <c r="L488" s="2"/>
      <c r="M488" s="3"/>
      <c r="N488" s="4"/>
      <c r="O488" s="2"/>
      <c r="P488" s="18"/>
    </row>
    <row r="489" spans="2:16" s="24" customFormat="1" ht="24.95" customHeight="1" x14ac:dyDescent="0.2">
      <c r="B489" s="907" t="s">
        <v>523</v>
      </c>
      <c r="C489" s="908"/>
      <c r="D489" s="908"/>
      <c r="E489" s="907" t="s">
        <v>524</v>
      </c>
      <c r="F489" s="909"/>
      <c r="G489" s="1"/>
      <c r="H489" s="1"/>
      <c r="I489" s="11"/>
      <c r="J489" s="234"/>
      <c r="K489" s="1"/>
      <c r="L489" s="2"/>
      <c r="M489" s="3"/>
      <c r="N489" s="4"/>
      <c r="O489" s="2"/>
      <c r="P489" s="18"/>
    </row>
    <row r="490" spans="2:16" s="24" customFormat="1" ht="24.95" customHeight="1" x14ac:dyDescent="0.2">
      <c r="B490" s="912" t="s">
        <v>525</v>
      </c>
      <c r="C490" s="913"/>
      <c r="D490" s="913"/>
      <c r="E490" s="910"/>
      <c r="F490" s="911"/>
      <c r="G490" s="914"/>
      <c r="H490" s="914"/>
      <c r="I490" s="914"/>
      <c r="J490" s="914"/>
      <c r="K490" s="1"/>
      <c r="L490" s="2"/>
      <c r="M490" s="3"/>
      <c r="N490" s="4"/>
      <c r="O490" s="2"/>
      <c r="P490" s="18"/>
    </row>
    <row r="491" spans="2:16" s="24" customFormat="1" ht="20.100000000000001" customHeight="1" x14ac:dyDescent="0.2">
      <c r="B491" s="889" t="s">
        <v>925</v>
      </c>
      <c r="C491" s="890"/>
      <c r="D491" s="890"/>
      <c r="E491" s="899">
        <v>145.16982859970557</v>
      </c>
      <c r="F491" s="900"/>
      <c r="G491" s="278"/>
      <c r="H491" s="279"/>
      <c r="I491" s="893"/>
      <c r="J491" s="893"/>
      <c r="K491" s="280" t="s">
        <v>526</v>
      </c>
      <c r="L491" s="2"/>
      <c r="M491" s="3"/>
      <c r="N491" s="4"/>
      <c r="O491" s="2"/>
      <c r="P491" s="18"/>
    </row>
    <row r="492" spans="2:16" s="24" customFormat="1" ht="20.100000000000001" customHeight="1" x14ac:dyDescent="0.2">
      <c r="B492" s="889" t="s">
        <v>926</v>
      </c>
      <c r="C492" s="890"/>
      <c r="D492" s="890"/>
      <c r="E492" s="891">
        <v>290.33965719941114</v>
      </c>
      <c r="F492" s="892"/>
      <c r="G492" s="278"/>
      <c r="H492" s="279"/>
      <c r="I492" s="893"/>
      <c r="J492" s="893"/>
      <c r="K492" s="280" t="s">
        <v>526</v>
      </c>
      <c r="L492" s="2"/>
      <c r="M492" s="3"/>
      <c r="N492" s="4"/>
      <c r="O492" s="2"/>
      <c r="P492" s="18"/>
    </row>
    <row r="493" spans="2:16" s="24" customFormat="1" ht="20.100000000000001" customHeight="1" x14ac:dyDescent="0.2">
      <c r="B493" s="889" t="s">
        <v>927</v>
      </c>
      <c r="C493" s="890"/>
      <c r="D493" s="890"/>
      <c r="E493" s="891">
        <v>435.50948579911665</v>
      </c>
      <c r="F493" s="892"/>
      <c r="G493" s="278"/>
      <c r="H493" s="279"/>
      <c r="I493" s="893"/>
      <c r="J493" s="893"/>
      <c r="K493" s="280" t="s">
        <v>526</v>
      </c>
      <c r="L493" s="21"/>
      <c r="M493" s="22"/>
      <c r="N493" s="4"/>
      <c r="O493" s="21"/>
    </row>
    <row r="494" spans="2:16" s="24" customFormat="1" ht="20.100000000000001" customHeight="1" x14ac:dyDescent="0.2">
      <c r="B494" s="889" t="s">
        <v>928</v>
      </c>
      <c r="C494" s="890"/>
      <c r="D494" s="890"/>
      <c r="E494" s="891">
        <v>580.67931439882227</v>
      </c>
      <c r="F494" s="892"/>
      <c r="G494" s="278"/>
      <c r="H494" s="279"/>
      <c r="I494" s="893"/>
      <c r="J494" s="893"/>
      <c r="K494" s="280" t="s">
        <v>526</v>
      </c>
      <c r="L494" s="2"/>
      <c r="M494" s="3"/>
      <c r="N494" s="4"/>
      <c r="O494" s="2"/>
      <c r="P494" s="18"/>
    </row>
    <row r="495" spans="2:16" s="24" customFormat="1" ht="20.100000000000001" customHeight="1" x14ac:dyDescent="0.2">
      <c r="B495" s="889" t="s">
        <v>929</v>
      </c>
      <c r="C495" s="890"/>
      <c r="D495" s="890"/>
      <c r="E495" s="891">
        <v>580.67931439882227</v>
      </c>
      <c r="F495" s="892"/>
      <c r="G495" s="278"/>
      <c r="H495" s="279"/>
      <c r="I495" s="893"/>
      <c r="J495" s="893"/>
      <c r="K495" s="280" t="s">
        <v>526</v>
      </c>
      <c r="L495" s="2"/>
      <c r="M495" s="3"/>
      <c r="N495" s="4"/>
      <c r="O495" s="2"/>
      <c r="P495" s="18"/>
    </row>
    <row r="496" spans="2:16" s="24" customFormat="1" ht="20.100000000000001" customHeight="1" x14ac:dyDescent="0.2">
      <c r="B496" s="894" t="s">
        <v>930</v>
      </c>
      <c r="C496" s="895"/>
      <c r="D496" s="896"/>
      <c r="E496" s="897">
        <v>580.67931439882227</v>
      </c>
      <c r="F496" s="898"/>
      <c r="G496" s="278"/>
      <c r="H496" s="279"/>
      <c r="I496" s="279"/>
      <c r="J496" s="281"/>
      <c r="K496" s="280" t="s">
        <v>526</v>
      </c>
      <c r="L496" s="2"/>
      <c r="M496" s="3"/>
      <c r="N496" s="4"/>
      <c r="O496" s="2"/>
      <c r="P496" s="18"/>
    </row>
    <row r="497" spans="2:16" s="24" customFormat="1" ht="20.100000000000001" customHeight="1" x14ac:dyDescent="0.2">
      <c r="B497" s="47"/>
      <c r="C497" s="47"/>
      <c r="D497" s="47"/>
      <c r="E497" s="282"/>
      <c r="F497" s="282"/>
      <c r="G497" s="283"/>
      <c r="H497" s="283"/>
      <c r="I497" s="284"/>
      <c r="J497" s="281"/>
      <c r="K497" s="1"/>
      <c r="L497" s="2"/>
      <c r="M497" s="3"/>
      <c r="N497" s="4"/>
      <c r="O497" s="2"/>
      <c r="P497" s="18"/>
    </row>
    <row r="498" spans="2:16" s="24" customFormat="1" ht="30" customHeight="1" x14ac:dyDescent="0.2">
      <c r="B498" s="855" t="s">
        <v>527</v>
      </c>
      <c r="C498" s="856"/>
      <c r="D498" s="856"/>
      <c r="E498" s="856"/>
      <c r="F498" s="856"/>
      <c r="G498" s="856"/>
      <c r="H498" s="856"/>
      <c r="I498" s="856"/>
      <c r="J498" s="857"/>
      <c r="K498" s="1"/>
      <c r="L498" s="2"/>
      <c r="M498" s="3"/>
      <c r="N498" s="46" t="s">
        <v>30</v>
      </c>
      <c r="O498" s="2"/>
      <c r="P498" s="18"/>
    </row>
    <row r="499" spans="2:16" s="24" customFormat="1" ht="20.100000000000001" customHeight="1" x14ac:dyDescent="0.2">
      <c r="B499" s="1"/>
      <c r="C499" s="1"/>
      <c r="D499" s="1"/>
      <c r="E499" s="1"/>
      <c r="F499" s="1"/>
      <c r="G499" s="1"/>
      <c r="H499" s="1"/>
      <c r="I499" s="11"/>
      <c r="J499" s="234"/>
      <c r="K499" s="1"/>
      <c r="L499" s="2"/>
      <c r="M499" s="3"/>
      <c r="N499" s="4"/>
      <c r="O499" s="2"/>
      <c r="P499" s="18"/>
    </row>
    <row r="500" spans="2:16" s="24" customFormat="1" ht="30" customHeight="1" x14ac:dyDescent="0.2">
      <c r="B500" s="855" t="s">
        <v>528</v>
      </c>
      <c r="C500" s="856"/>
      <c r="D500" s="856"/>
      <c r="E500" s="856"/>
      <c r="F500" s="856"/>
      <c r="G500" s="856"/>
      <c r="H500" s="856"/>
      <c r="I500" s="856"/>
      <c r="J500" s="857"/>
      <c r="K500" s="1"/>
      <c r="L500" s="2"/>
      <c r="M500" s="3"/>
      <c r="N500" s="4"/>
      <c r="O500" s="2"/>
      <c r="P500" s="18"/>
    </row>
    <row r="501" spans="2:16" s="24" customFormat="1" ht="20.100000000000001" customHeight="1" x14ac:dyDescent="0.2">
      <c r="B501" s="880"/>
      <c r="C501" s="880"/>
      <c r="D501" s="880"/>
      <c r="E501" s="880"/>
      <c r="F501" s="880"/>
      <c r="G501" s="880"/>
      <c r="H501" s="880"/>
      <c r="I501" s="880"/>
      <c r="J501" s="880"/>
      <c r="K501" s="1"/>
      <c r="L501" s="2"/>
      <c r="M501" s="3"/>
      <c r="N501" s="4"/>
      <c r="O501" s="2"/>
      <c r="P501" s="18"/>
    </row>
    <row r="502" spans="2:16" s="24" customFormat="1" ht="24.95" customHeight="1" x14ac:dyDescent="0.2">
      <c r="B502" s="881" t="s">
        <v>529</v>
      </c>
      <c r="C502" s="881"/>
      <c r="D502" s="881"/>
      <c r="E502" s="881" t="s">
        <v>530</v>
      </c>
      <c r="F502" s="881"/>
      <c r="G502" s="285" t="s">
        <v>531</v>
      </c>
      <c r="H502" s="882" t="s">
        <v>532</v>
      </c>
      <c r="I502" s="883"/>
      <c r="J502" s="884"/>
      <c r="K502" s="1"/>
      <c r="L502" s="2"/>
      <c r="M502" s="3"/>
      <c r="N502" s="4"/>
      <c r="O502" s="2"/>
      <c r="P502" s="18"/>
    </row>
    <row r="503" spans="2:16" s="24" customFormat="1" ht="24.95" customHeight="1" x14ac:dyDescent="0.2">
      <c r="B503" s="286" t="s">
        <v>533</v>
      </c>
      <c r="C503" s="287">
        <v>0.75</v>
      </c>
      <c r="D503" s="288"/>
      <c r="E503" s="885" t="s">
        <v>534</v>
      </c>
      <c r="F503" s="885"/>
      <c r="G503" s="289" t="s">
        <v>534</v>
      </c>
      <c r="H503" s="886" t="s">
        <v>534</v>
      </c>
      <c r="I503" s="887"/>
      <c r="J503" s="888"/>
      <c r="K503" s="1"/>
      <c r="L503" s="2"/>
      <c r="M503" s="3"/>
      <c r="N503" s="4"/>
      <c r="O503" s="18"/>
      <c r="P503" s="18"/>
    </row>
    <row r="504" spans="2:16" s="24" customFormat="1" ht="24.95" customHeight="1" x14ac:dyDescent="0.2">
      <c r="B504" s="290">
        <v>0.75</v>
      </c>
      <c r="C504" s="291" t="s">
        <v>535</v>
      </c>
      <c r="D504" s="288"/>
      <c r="E504" s="878" t="s">
        <v>536</v>
      </c>
      <c r="F504" s="878"/>
      <c r="G504" s="289" t="s">
        <v>534</v>
      </c>
      <c r="H504" s="292" t="s">
        <v>537</v>
      </c>
      <c r="I504" s="293">
        <v>0.75</v>
      </c>
      <c r="J504" s="294"/>
      <c r="K504" s="1"/>
      <c r="L504" s="2"/>
      <c r="M504" s="3"/>
      <c r="N504" s="4"/>
      <c r="O504" s="18"/>
      <c r="P504" s="18"/>
    </row>
    <row r="505" spans="2:16" s="24" customFormat="1" ht="24.95" customHeight="1" x14ac:dyDescent="0.2">
      <c r="B505" s="879" t="s">
        <v>538</v>
      </c>
      <c r="C505" s="879"/>
      <c r="D505" s="879"/>
      <c r="E505" s="878" t="s">
        <v>536</v>
      </c>
      <c r="F505" s="878"/>
      <c r="G505" s="289" t="s">
        <v>539</v>
      </c>
      <c r="H505" s="292" t="s">
        <v>540</v>
      </c>
      <c r="I505" s="293">
        <v>0.75</v>
      </c>
      <c r="J505" s="295" t="s">
        <v>541</v>
      </c>
      <c r="K505" s="1"/>
      <c r="L505" s="2"/>
      <c r="M505" s="3"/>
      <c r="N505" s="4"/>
      <c r="O505" s="18"/>
      <c r="P505" s="18"/>
    </row>
    <row r="506" spans="2:16" s="24" customFormat="1" ht="24.95" customHeight="1" x14ac:dyDescent="0.2">
      <c r="B506" s="879" t="s">
        <v>542</v>
      </c>
      <c r="C506" s="879"/>
      <c r="D506" s="879"/>
      <c r="E506" s="878" t="s">
        <v>536</v>
      </c>
      <c r="F506" s="878"/>
      <c r="G506" s="289" t="s">
        <v>543</v>
      </c>
      <c r="H506" s="292" t="s">
        <v>540</v>
      </c>
      <c r="I506" s="293">
        <v>0.75</v>
      </c>
      <c r="J506" s="295" t="s">
        <v>544</v>
      </c>
      <c r="K506" s="1"/>
      <c r="L506" s="2"/>
      <c r="M506" s="3"/>
      <c r="N506" s="4"/>
      <c r="O506" s="18"/>
      <c r="P506" s="18"/>
    </row>
    <row r="507" spans="2:16" s="24" customFormat="1" ht="20.100000000000001" customHeight="1" x14ac:dyDescent="0.2">
      <c r="B507" s="296"/>
      <c r="C507" s="296"/>
      <c r="D507" s="296"/>
      <c r="E507" s="143"/>
      <c r="F507" s="143"/>
      <c r="G507" s="143"/>
      <c r="H507" s="143"/>
      <c r="I507" s="297"/>
      <c r="J507" s="114"/>
      <c r="K507" s="1"/>
      <c r="L507" s="2"/>
      <c r="M507" s="3"/>
      <c r="N507" s="46" t="s">
        <v>30</v>
      </c>
      <c r="O507" s="18"/>
      <c r="P507" s="18"/>
    </row>
    <row r="508" spans="2:16" s="24" customFormat="1" ht="135" customHeight="1" x14ac:dyDescent="0.2">
      <c r="B508" s="875" t="s">
        <v>545</v>
      </c>
      <c r="C508" s="876"/>
      <c r="D508" s="876"/>
      <c r="E508" s="876"/>
      <c r="F508" s="876"/>
      <c r="G508" s="876"/>
      <c r="H508" s="876"/>
      <c r="I508" s="876"/>
      <c r="J508" s="877"/>
      <c r="K508" s="1"/>
      <c r="L508" s="2"/>
      <c r="M508" s="3"/>
      <c r="N508" s="4"/>
      <c r="O508" s="18"/>
      <c r="P508" s="18"/>
    </row>
    <row r="509" spans="2:16" s="24" customFormat="1" ht="35.1" customHeight="1" x14ac:dyDescent="0.2">
      <c r="B509" s="298" t="s">
        <v>546</v>
      </c>
      <c r="C509" s="299"/>
      <c r="D509" s="299"/>
      <c r="E509" s="300"/>
      <c r="F509" s="300"/>
      <c r="G509" s="300"/>
      <c r="H509" s="300"/>
      <c r="I509" s="301"/>
      <c r="J509" s="302"/>
      <c r="K509" s="1"/>
      <c r="L509" s="2"/>
      <c r="M509" s="3"/>
      <c r="N509" s="46" t="s">
        <v>30</v>
      </c>
      <c r="O509" s="18"/>
      <c r="P509" s="18"/>
    </row>
    <row r="510" spans="2:16" s="24" customFormat="1" ht="50.1" customHeight="1" x14ac:dyDescent="0.2">
      <c r="B510" s="303"/>
      <c r="C510" s="304"/>
      <c r="D510" s="161"/>
      <c r="E510" s="305" t="s">
        <v>547</v>
      </c>
      <c r="F510" s="306" t="s">
        <v>548</v>
      </c>
      <c r="G510" s="307"/>
      <c r="H510" s="308"/>
      <c r="I510" s="284"/>
      <c r="J510" s="309"/>
      <c r="K510" s="1"/>
      <c r="L510" s="2"/>
      <c r="M510" s="3"/>
      <c r="N510" s="2"/>
      <c r="O510" s="18"/>
      <c r="P510" s="18"/>
    </row>
    <row r="511" spans="2:16" s="24" customFormat="1" ht="110.1" customHeight="1" x14ac:dyDescent="0.2">
      <c r="B511" s="130"/>
      <c r="C511" s="131"/>
      <c r="D511" s="870" t="s">
        <v>549</v>
      </c>
      <c r="E511" s="870"/>
      <c r="F511" s="870"/>
      <c r="G511" s="870"/>
      <c r="H511" s="870"/>
      <c r="I511" s="870"/>
      <c r="J511" s="871"/>
      <c r="K511" s="1"/>
      <c r="L511" s="2"/>
      <c r="M511" s="310"/>
      <c r="N511" s="2"/>
      <c r="O511" s="18"/>
      <c r="P511" s="18"/>
    </row>
    <row r="512" spans="2:16" s="24" customFormat="1" ht="20.100000000000001" customHeight="1" x14ac:dyDescent="0.2">
      <c r="B512" s="1"/>
      <c r="C512" s="1"/>
      <c r="D512" s="1"/>
      <c r="E512" s="1"/>
      <c r="F512" s="1"/>
      <c r="G512" s="1"/>
      <c r="H512" s="1"/>
      <c r="I512" s="11"/>
      <c r="J512" s="234"/>
      <c r="K512" s="1"/>
      <c r="L512" s="2"/>
      <c r="M512" s="3"/>
      <c r="N512" s="2"/>
      <c r="O512" s="18"/>
      <c r="P512" s="18"/>
    </row>
    <row r="513" spans="2:16" s="24" customFormat="1" ht="30" customHeight="1" x14ac:dyDescent="0.2">
      <c r="B513" s="855" t="s">
        <v>550</v>
      </c>
      <c r="C513" s="856"/>
      <c r="D513" s="856"/>
      <c r="E513" s="856"/>
      <c r="F513" s="856"/>
      <c r="G513" s="856"/>
      <c r="H513" s="856"/>
      <c r="I513" s="856"/>
      <c r="J513" s="857"/>
      <c r="K513" s="1"/>
      <c r="L513" s="2"/>
      <c r="M513" s="3"/>
      <c r="N513" s="46" t="s">
        <v>30</v>
      </c>
      <c r="O513" s="18"/>
      <c r="P513" s="18"/>
    </row>
    <row r="514" spans="2:16" s="24" customFormat="1" ht="45" customHeight="1" x14ac:dyDescent="0.2">
      <c r="B514" s="872" t="s">
        <v>551</v>
      </c>
      <c r="C514" s="873"/>
      <c r="D514" s="873"/>
      <c r="E514" s="873"/>
      <c r="F514" s="873"/>
      <c r="G514" s="873"/>
      <c r="H514" s="873"/>
      <c r="I514" s="873"/>
      <c r="J514" s="874"/>
      <c r="K514" s="1"/>
      <c r="L514" s="2"/>
      <c r="M514" s="3"/>
      <c r="N514" s="2"/>
      <c r="O514" s="18"/>
      <c r="P514" s="18"/>
    </row>
    <row r="515" spans="2:16" s="24" customFormat="1" ht="64.5" customHeight="1" x14ac:dyDescent="0.2">
      <c r="B515" s="872" t="s">
        <v>552</v>
      </c>
      <c r="C515" s="873"/>
      <c r="D515" s="873"/>
      <c r="E515" s="873"/>
      <c r="F515" s="873"/>
      <c r="G515" s="873"/>
      <c r="H515" s="873"/>
      <c r="I515" s="873"/>
      <c r="J515" s="874"/>
      <c r="K515" s="1"/>
      <c r="L515" s="2"/>
      <c r="M515" s="3"/>
      <c r="N515" s="46" t="s">
        <v>30</v>
      </c>
      <c r="O515" s="18"/>
      <c r="P515" s="18"/>
    </row>
    <row r="516" spans="2:16" s="24" customFormat="1" ht="54.95" customHeight="1" x14ac:dyDescent="0.2">
      <c r="B516" s="875" t="s">
        <v>553</v>
      </c>
      <c r="C516" s="876"/>
      <c r="D516" s="876"/>
      <c r="E516" s="876"/>
      <c r="F516" s="876"/>
      <c r="G516" s="876"/>
      <c r="H516" s="876"/>
      <c r="I516" s="876"/>
      <c r="J516" s="877"/>
      <c r="K516" s="1"/>
      <c r="L516" s="2"/>
      <c r="M516" s="3"/>
      <c r="N516" s="2"/>
      <c r="O516" s="18"/>
      <c r="P516" s="18"/>
    </row>
    <row r="517" spans="2:16" s="24" customFormat="1" ht="20.100000000000001" customHeight="1" x14ac:dyDescent="0.2">
      <c r="B517" s="311"/>
      <c r="C517" s="312"/>
      <c r="D517" s="312"/>
      <c r="E517" s="312"/>
      <c r="F517" s="312"/>
      <c r="G517" s="312"/>
      <c r="H517" s="312"/>
      <c r="I517" s="312"/>
      <c r="J517" s="313"/>
      <c r="K517" s="1"/>
      <c r="L517" s="2"/>
      <c r="M517" s="3"/>
      <c r="N517" s="2"/>
      <c r="O517" s="18"/>
      <c r="P517" s="18"/>
    </row>
    <row r="518" spans="2:16" s="24" customFormat="1" ht="30" customHeight="1" x14ac:dyDescent="0.2">
      <c r="B518" s="855" t="s">
        <v>554</v>
      </c>
      <c r="C518" s="856"/>
      <c r="D518" s="856"/>
      <c r="E518" s="856"/>
      <c r="F518" s="856"/>
      <c r="G518" s="856"/>
      <c r="H518" s="856"/>
      <c r="I518" s="856"/>
      <c r="J518" s="857"/>
      <c r="K518" s="1"/>
      <c r="L518" s="2"/>
      <c r="M518" s="3"/>
      <c r="N518" s="46" t="s">
        <v>30</v>
      </c>
      <c r="O518" s="18"/>
      <c r="P518" s="18"/>
    </row>
    <row r="519" spans="2:16" s="24" customFormat="1" ht="20.100000000000001" customHeight="1" x14ac:dyDescent="0.2">
      <c r="B519" s="314"/>
      <c r="C519" s="314"/>
      <c r="D519" s="314"/>
      <c r="E519" s="314"/>
      <c r="F519" s="314"/>
      <c r="G519" s="314"/>
      <c r="H519" s="314"/>
      <c r="I519" s="315"/>
      <c r="J519" s="316"/>
      <c r="K519" s="1"/>
      <c r="L519" s="2"/>
      <c r="M519" s="3"/>
      <c r="N519" s="4"/>
      <c r="O519" s="18"/>
      <c r="P519" s="18"/>
    </row>
    <row r="520" spans="2:16" s="24" customFormat="1" ht="30" customHeight="1" x14ac:dyDescent="0.2">
      <c r="B520" s="855" t="s">
        <v>555</v>
      </c>
      <c r="C520" s="856"/>
      <c r="D520" s="856"/>
      <c r="E520" s="856"/>
      <c r="F520" s="856"/>
      <c r="G520" s="856"/>
      <c r="H520" s="856"/>
      <c r="I520" s="856"/>
      <c r="J520" s="857"/>
      <c r="K520" s="1"/>
      <c r="L520" s="2"/>
      <c r="M520" s="3"/>
      <c r="N520" s="46" t="s">
        <v>30</v>
      </c>
      <c r="O520" s="18"/>
      <c r="P520" s="18"/>
    </row>
    <row r="521" spans="2:16" s="24" customFormat="1" ht="12" customHeight="1" x14ac:dyDescent="0.2">
      <c r="B521" s="314"/>
      <c r="C521" s="314"/>
      <c r="D521" s="314"/>
      <c r="E521" s="314"/>
      <c r="F521" s="314"/>
      <c r="G521" s="314"/>
      <c r="H521" s="314"/>
      <c r="I521" s="315"/>
      <c r="J521" s="316"/>
      <c r="K521" s="1"/>
      <c r="L521" s="2"/>
      <c r="M521" s="3"/>
      <c r="N521" s="4"/>
      <c r="O521" s="18"/>
      <c r="P521" s="18"/>
    </row>
    <row r="522" spans="2:16" s="24" customFormat="1" ht="20.100000000000001" customHeight="1" x14ac:dyDescent="0.2">
      <c r="B522" s="858" t="s">
        <v>556</v>
      </c>
      <c r="C522" s="859"/>
      <c r="D522" s="859"/>
      <c r="E522" s="859"/>
      <c r="F522" s="859"/>
      <c r="G522" s="859"/>
      <c r="H522" s="859"/>
      <c r="I522" s="859"/>
      <c r="J522" s="860"/>
      <c r="K522" s="1"/>
      <c r="L522" s="2"/>
      <c r="M522" s="3"/>
      <c r="N522" s="4"/>
      <c r="O522" s="18"/>
      <c r="P522" s="18"/>
    </row>
    <row r="523" spans="2:16" s="24" customFormat="1" ht="20.100000000000001" customHeight="1" x14ac:dyDescent="0.2">
      <c r="B523" s="861" t="s">
        <v>557</v>
      </c>
      <c r="C523" s="862"/>
      <c r="D523" s="862"/>
      <c r="E523" s="862"/>
      <c r="F523" s="862"/>
      <c r="G523" s="862"/>
      <c r="H523" s="862"/>
      <c r="I523" s="862"/>
      <c r="J523" s="863"/>
      <c r="K523" s="1"/>
      <c r="L523" s="2"/>
      <c r="M523" s="3"/>
      <c r="N523" s="4"/>
      <c r="O523" s="18"/>
      <c r="P523" s="18"/>
    </row>
    <row r="524" spans="2:16" s="24" customFormat="1" ht="12" customHeight="1" x14ac:dyDescent="0.2">
      <c r="B524" s="304"/>
      <c r="C524" s="304"/>
      <c r="D524" s="314"/>
      <c r="E524" s="314"/>
      <c r="F524" s="314"/>
      <c r="G524" s="314"/>
      <c r="H524" s="314"/>
      <c r="I524" s="315"/>
      <c r="J524" s="316"/>
      <c r="K524" s="1"/>
      <c r="L524" s="2"/>
      <c r="M524" s="3"/>
      <c r="N524" s="4"/>
      <c r="O524" s="18"/>
      <c r="P524" s="18"/>
    </row>
    <row r="525" spans="2:16" s="24" customFormat="1" ht="30" customHeight="1" x14ac:dyDescent="0.2">
      <c r="B525" s="855" t="s">
        <v>558</v>
      </c>
      <c r="C525" s="856"/>
      <c r="D525" s="856"/>
      <c r="E525" s="856"/>
      <c r="F525" s="856"/>
      <c r="G525" s="856"/>
      <c r="H525" s="856"/>
      <c r="I525" s="856"/>
      <c r="J525" s="857"/>
      <c r="K525" s="1"/>
      <c r="L525" s="2"/>
      <c r="M525" s="3"/>
      <c r="N525" s="46" t="s">
        <v>30</v>
      </c>
      <c r="O525" s="18"/>
      <c r="P525" s="18"/>
    </row>
    <row r="526" spans="2:16" s="24" customFormat="1" ht="12" customHeight="1" x14ac:dyDescent="0.2">
      <c r="B526" s="314"/>
      <c r="C526" s="314"/>
      <c r="D526" s="314"/>
      <c r="E526" s="314"/>
      <c r="F526" s="314"/>
      <c r="G526" s="314"/>
      <c r="H526" s="314"/>
      <c r="I526" s="314"/>
      <c r="J526" s="316"/>
      <c r="K526" s="1"/>
      <c r="L526" s="2"/>
      <c r="M526" s="3"/>
      <c r="N526" s="4"/>
      <c r="O526" s="18"/>
      <c r="P526" s="18"/>
    </row>
    <row r="527" spans="2:16" s="24" customFormat="1" ht="24.95" customHeight="1" x14ac:dyDescent="0.2">
      <c r="B527" s="864" t="s">
        <v>559</v>
      </c>
      <c r="C527" s="865"/>
      <c r="D527" s="865"/>
      <c r="E527" s="865"/>
      <c r="F527" s="865"/>
      <c r="G527" s="865"/>
      <c r="H527" s="865"/>
      <c r="I527" s="865"/>
      <c r="J527" s="866"/>
      <c r="K527" s="1"/>
      <c r="L527" s="2"/>
      <c r="M527" s="3"/>
      <c r="N527" s="4"/>
      <c r="O527" s="18"/>
      <c r="P527" s="18"/>
    </row>
    <row r="528" spans="2:16" s="24" customFormat="1" ht="12" customHeight="1" x14ac:dyDescent="0.2">
      <c r="B528" s="47"/>
      <c r="C528" s="47"/>
      <c r="D528" s="47"/>
      <c r="E528" s="47"/>
      <c r="F528" s="47"/>
      <c r="G528" s="47"/>
      <c r="H528" s="47"/>
      <c r="I528" s="284"/>
      <c r="J528" s="281"/>
      <c r="K528" s="1"/>
      <c r="L528" s="2"/>
      <c r="M528" s="3"/>
      <c r="N528" s="4"/>
      <c r="O528" s="18"/>
      <c r="P528" s="18"/>
    </row>
    <row r="529" spans="2:16" s="24" customFormat="1" ht="84.95" customHeight="1" x14ac:dyDescent="0.2">
      <c r="B529" s="867" t="s">
        <v>560</v>
      </c>
      <c r="C529" s="868"/>
      <c r="D529" s="868"/>
      <c r="E529" s="868"/>
      <c r="F529" s="868"/>
      <c r="G529" s="868"/>
      <c r="H529" s="868"/>
      <c r="I529" s="868"/>
      <c r="J529" s="869"/>
      <c r="K529" s="1"/>
      <c r="L529" s="2"/>
      <c r="M529" s="3"/>
      <c r="N529" s="4"/>
      <c r="O529" s="18"/>
      <c r="P529" s="18"/>
    </row>
  </sheetData>
  <mergeCells count="1015">
    <mergeCell ref="B10:J10"/>
    <mergeCell ref="B11:J11"/>
    <mergeCell ref="B13:J13"/>
    <mergeCell ref="B14:J14"/>
    <mergeCell ref="B16:J16"/>
    <mergeCell ref="I18:J18"/>
    <mergeCell ref="B6:D6"/>
    <mergeCell ref="E6:F6"/>
    <mergeCell ref="H6:I6"/>
    <mergeCell ref="B7:D7"/>
    <mergeCell ref="E7:F7"/>
    <mergeCell ref="B8:J8"/>
    <mergeCell ref="B1:J1"/>
    <mergeCell ref="B2:J2"/>
    <mergeCell ref="B3:J3"/>
    <mergeCell ref="B4:D4"/>
    <mergeCell ref="E4:J4"/>
    <mergeCell ref="B5:D5"/>
    <mergeCell ref="E5:J5"/>
    <mergeCell ref="J26:J29"/>
    <mergeCell ref="C27:D27"/>
    <mergeCell ref="E27:F27"/>
    <mergeCell ref="G27:H27"/>
    <mergeCell ref="C28:D28"/>
    <mergeCell ref="E28:F28"/>
    <mergeCell ref="G28:H28"/>
    <mergeCell ref="C29:D29"/>
    <mergeCell ref="E29:F29"/>
    <mergeCell ref="G29:H29"/>
    <mergeCell ref="I19:J19"/>
    <mergeCell ref="B21:J21"/>
    <mergeCell ref="B23:H23"/>
    <mergeCell ref="B24:J24"/>
    <mergeCell ref="C25:H25"/>
    <mergeCell ref="B26:B29"/>
    <mergeCell ref="C26:D26"/>
    <mergeCell ref="E26:F26"/>
    <mergeCell ref="G26:H26"/>
    <mergeCell ref="I26:I29"/>
    <mergeCell ref="E38:F38"/>
    <mergeCell ref="G38:H38"/>
    <mergeCell ref="C35:D35"/>
    <mergeCell ref="E35:F35"/>
    <mergeCell ref="G35:H35"/>
    <mergeCell ref="C36:D36"/>
    <mergeCell ref="E36:F36"/>
    <mergeCell ref="G36:H36"/>
    <mergeCell ref="E32:F32"/>
    <mergeCell ref="G32:H32"/>
    <mergeCell ref="C33:D33"/>
    <mergeCell ref="E33:F33"/>
    <mergeCell ref="G33:H33"/>
    <mergeCell ref="C34:D34"/>
    <mergeCell ref="E34:F34"/>
    <mergeCell ref="G34:H34"/>
    <mergeCell ref="C32:D32"/>
    <mergeCell ref="I41:I45"/>
    <mergeCell ref="J41:J45"/>
    <mergeCell ref="C42:D42"/>
    <mergeCell ref="E42:F42"/>
    <mergeCell ref="G42:H42"/>
    <mergeCell ref="C43:D43"/>
    <mergeCell ref="E43:F43"/>
    <mergeCell ref="G43:H43"/>
    <mergeCell ref="C44:D44"/>
    <mergeCell ref="E44:F44"/>
    <mergeCell ref="C39:D39"/>
    <mergeCell ref="C40:H40"/>
    <mergeCell ref="B41:B45"/>
    <mergeCell ref="C41:D41"/>
    <mergeCell ref="E41:F41"/>
    <mergeCell ref="G41:H41"/>
    <mergeCell ref="G44:H44"/>
    <mergeCell ref="C45:D45"/>
    <mergeCell ref="E45:F45"/>
    <mergeCell ref="B30:B40"/>
    <mergeCell ref="C30:D30"/>
    <mergeCell ref="E30:F30"/>
    <mergeCell ref="G30:H30"/>
    <mergeCell ref="I30:I40"/>
    <mergeCell ref="J30:J40"/>
    <mergeCell ref="C31:D31"/>
    <mergeCell ref="E31:F31"/>
    <mergeCell ref="G31:H31"/>
    <mergeCell ref="C37:D37"/>
    <mergeCell ref="E37:F37"/>
    <mergeCell ref="G37:H37"/>
    <mergeCell ref="C38:D38"/>
    <mergeCell ref="B52:J52"/>
    <mergeCell ref="B53:H53"/>
    <mergeCell ref="B54:B55"/>
    <mergeCell ref="C54:H54"/>
    <mergeCell ref="I54:I55"/>
    <mergeCell ref="J54:J55"/>
    <mergeCell ref="C55:H55"/>
    <mergeCell ref="I47:I51"/>
    <mergeCell ref="J47:J51"/>
    <mergeCell ref="C48:D48"/>
    <mergeCell ref="E48:F48"/>
    <mergeCell ref="G48:H48"/>
    <mergeCell ref="C49:D49"/>
    <mergeCell ref="E49:F49"/>
    <mergeCell ref="G49:H49"/>
    <mergeCell ref="C51:H51"/>
    <mergeCell ref="C46:D46"/>
    <mergeCell ref="E46:F46"/>
    <mergeCell ref="G46:H46"/>
    <mergeCell ref="B47:B51"/>
    <mergeCell ref="C47:D47"/>
    <mergeCell ref="E47:F47"/>
    <mergeCell ref="G47:H47"/>
    <mergeCell ref="B70:B72"/>
    <mergeCell ref="C70:J70"/>
    <mergeCell ref="C71:H71"/>
    <mergeCell ref="C72:H72"/>
    <mergeCell ref="B74:H74"/>
    <mergeCell ref="B75:J75"/>
    <mergeCell ref="B63:J63"/>
    <mergeCell ref="B64:H64"/>
    <mergeCell ref="A65:J65"/>
    <mergeCell ref="A66:H66"/>
    <mergeCell ref="B67:J67"/>
    <mergeCell ref="B69:H69"/>
    <mergeCell ref="B56:H56"/>
    <mergeCell ref="C57:H57"/>
    <mergeCell ref="C58:H58"/>
    <mergeCell ref="C59:H59"/>
    <mergeCell ref="B61:H61"/>
    <mergeCell ref="B62:J62"/>
    <mergeCell ref="B81:H81"/>
    <mergeCell ref="B82:J82"/>
    <mergeCell ref="B83:B84"/>
    <mergeCell ref="C83:D83"/>
    <mergeCell ref="E83:F83"/>
    <mergeCell ref="G83:H83"/>
    <mergeCell ref="I83:I84"/>
    <mergeCell ref="J83:J84"/>
    <mergeCell ref="C84:D84"/>
    <mergeCell ref="B78:B79"/>
    <mergeCell ref="C78:D78"/>
    <mergeCell ref="E78:F78"/>
    <mergeCell ref="G78:H78"/>
    <mergeCell ref="I78:I79"/>
    <mergeCell ref="J78:J79"/>
    <mergeCell ref="C79:H79"/>
    <mergeCell ref="B76:B77"/>
    <mergeCell ref="C76:D76"/>
    <mergeCell ref="E76:F76"/>
    <mergeCell ref="G76:H76"/>
    <mergeCell ref="I76:I77"/>
    <mergeCell ref="J76:J77"/>
    <mergeCell ref="E77:F77"/>
    <mergeCell ref="G90:H90"/>
    <mergeCell ref="B92:H92"/>
    <mergeCell ref="B93:J93"/>
    <mergeCell ref="C94:H94"/>
    <mergeCell ref="B96:H96"/>
    <mergeCell ref="B97:J97"/>
    <mergeCell ref="J87:J88"/>
    <mergeCell ref="C88:D88"/>
    <mergeCell ref="B89:B90"/>
    <mergeCell ref="C89:D89"/>
    <mergeCell ref="E89:F89"/>
    <mergeCell ref="G89:H89"/>
    <mergeCell ref="I89:I90"/>
    <mergeCell ref="J89:J90"/>
    <mergeCell ref="C90:D90"/>
    <mergeCell ref="E90:F90"/>
    <mergeCell ref="B86:H86"/>
    <mergeCell ref="B87:B88"/>
    <mergeCell ref="C87:D87"/>
    <mergeCell ref="E87:F87"/>
    <mergeCell ref="G87:H87"/>
    <mergeCell ref="I87:I88"/>
    <mergeCell ref="C101:D101"/>
    <mergeCell ref="E101:F101"/>
    <mergeCell ref="G101:H101"/>
    <mergeCell ref="C102:D102"/>
    <mergeCell ref="B103:B107"/>
    <mergeCell ref="C103:D103"/>
    <mergeCell ref="E103:F103"/>
    <mergeCell ref="G103:H103"/>
    <mergeCell ref="G106:H106"/>
    <mergeCell ref="C107:H107"/>
    <mergeCell ref="B98:J98"/>
    <mergeCell ref="B99:B102"/>
    <mergeCell ref="C99:D99"/>
    <mergeCell ref="E99:F99"/>
    <mergeCell ref="G99:H99"/>
    <mergeCell ref="I99:I102"/>
    <mergeCell ref="J99:J102"/>
    <mergeCell ref="C100:D100"/>
    <mergeCell ref="E100:F100"/>
    <mergeCell ref="G100:H100"/>
    <mergeCell ref="C108:D108"/>
    <mergeCell ref="E108:F108"/>
    <mergeCell ref="B109:J109"/>
    <mergeCell ref="B110:J110"/>
    <mergeCell ref="B112:H112"/>
    <mergeCell ref="B113:J113"/>
    <mergeCell ref="I103:I107"/>
    <mergeCell ref="J103:J107"/>
    <mergeCell ref="C104:D104"/>
    <mergeCell ref="E104:F104"/>
    <mergeCell ref="G104:H104"/>
    <mergeCell ref="C105:D105"/>
    <mergeCell ref="E105:F105"/>
    <mergeCell ref="G105:H105"/>
    <mergeCell ref="C106:D106"/>
    <mergeCell ref="E106:F106"/>
    <mergeCell ref="E120:F120"/>
    <mergeCell ref="G120:H120"/>
    <mergeCell ref="J115:J120"/>
    <mergeCell ref="C116:D116"/>
    <mergeCell ref="E116:F116"/>
    <mergeCell ref="G116:H116"/>
    <mergeCell ref="C117:D117"/>
    <mergeCell ref="E117:F117"/>
    <mergeCell ref="G117:H117"/>
    <mergeCell ref="C118:D118"/>
    <mergeCell ref="E118:F118"/>
    <mergeCell ref="G118:H118"/>
    <mergeCell ref="C126:H126"/>
    <mergeCell ref="C114:H114"/>
    <mergeCell ref="B115:B120"/>
    <mergeCell ref="C115:D115"/>
    <mergeCell ref="E115:F115"/>
    <mergeCell ref="G115:H115"/>
    <mergeCell ref="I115:I120"/>
    <mergeCell ref="C119:D119"/>
    <mergeCell ref="E119:F119"/>
    <mergeCell ref="G119:H119"/>
    <mergeCell ref="C120:D120"/>
    <mergeCell ref="I121:I126"/>
    <mergeCell ref="J121:J126"/>
    <mergeCell ref="C122:D122"/>
    <mergeCell ref="E122:F122"/>
    <mergeCell ref="G122:H122"/>
    <mergeCell ref="C123:D123"/>
    <mergeCell ref="E123:F123"/>
    <mergeCell ref="G123:H123"/>
    <mergeCell ref="C124:D124"/>
    <mergeCell ref="E124:F124"/>
    <mergeCell ref="E132:F132"/>
    <mergeCell ref="G132:H132"/>
    <mergeCell ref="B121:B126"/>
    <mergeCell ref="C121:D121"/>
    <mergeCell ref="E121:F121"/>
    <mergeCell ref="G121:H121"/>
    <mergeCell ref="G124:H124"/>
    <mergeCell ref="C125:D125"/>
    <mergeCell ref="E125:F125"/>
    <mergeCell ref="G125:H125"/>
    <mergeCell ref="J127:J132"/>
    <mergeCell ref="C128:D128"/>
    <mergeCell ref="E128:F128"/>
    <mergeCell ref="G128:H128"/>
    <mergeCell ref="C129:D129"/>
    <mergeCell ref="E129:F129"/>
    <mergeCell ref="G129:H129"/>
    <mergeCell ref="C130:D130"/>
    <mergeCell ref="E130:F130"/>
    <mergeCell ref="G130:H130"/>
    <mergeCell ref="B127:B132"/>
    <mergeCell ref="C127:D127"/>
    <mergeCell ref="E127:F127"/>
    <mergeCell ref="G127:H127"/>
    <mergeCell ref="I127:I132"/>
    <mergeCell ref="C131:D131"/>
    <mergeCell ref="E131:F131"/>
    <mergeCell ref="G131:H131"/>
    <mergeCell ref="C132:D132"/>
    <mergeCell ref="I134:I138"/>
    <mergeCell ref="J134:J138"/>
    <mergeCell ref="C135:D135"/>
    <mergeCell ref="E135:F135"/>
    <mergeCell ref="G135:H135"/>
    <mergeCell ref="C136:D136"/>
    <mergeCell ref="E136:F136"/>
    <mergeCell ref="G136:H136"/>
    <mergeCell ref="C137:D137"/>
    <mergeCell ref="E137:F137"/>
    <mergeCell ref="C133:D133"/>
    <mergeCell ref="E133:F133"/>
    <mergeCell ref="G133:H133"/>
    <mergeCell ref="B134:B138"/>
    <mergeCell ref="C134:D134"/>
    <mergeCell ref="E134:F134"/>
    <mergeCell ref="G134:H134"/>
    <mergeCell ref="C138:D138"/>
    <mergeCell ref="B151:J151"/>
    <mergeCell ref="B152:B154"/>
    <mergeCell ref="C152:D152"/>
    <mergeCell ref="E152:F152"/>
    <mergeCell ref="G152:H152"/>
    <mergeCell ref="I152:I154"/>
    <mergeCell ref="J152:J154"/>
    <mergeCell ref="E153:F153"/>
    <mergeCell ref="G153:H153"/>
    <mergeCell ref="C154:D154"/>
    <mergeCell ref="B145:J145"/>
    <mergeCell ref="B147:H147"/>
    <mergeCell ref="C148:D148"/>
    <mergeCell ref="E148:F148"/>
    <mergeCell ref="G148:H148"/>
    <mergeCell ref="B150:H150"/>
    <mergeCell ref="B140:H140"/>
    <mergeCell ref="B141:J141"/>
    <mergeCell ref="B142:B144"/>
    <mergeCell ref="C142:D142"/>
    <mergeCell ref="E142:F142"/>
    <mergeCell ref="G142:H142"/>
    <mergeCell ref="I142:I144"/>
    <mergeCell ref="J142:J144"/>
    <mergeCell ref="E143:F143"/>
    <mergeCell ref="G143:H143"/>
    <mergeCell ref="C160:H160"/>
    <mergeCell ref="B161:B164"/>
    <mergeCell ref="C161:D161"/>
    <mergeCell ref="E161:F161"/>
    <mergeCell ref="G161:H161"/>
    <mergeCell ref="I161:I164"/>
    <mergeCell ref="I155:I160"/>
    <mergeCell ref="J155:J160"/>
    <mergeCell ref="C156:D156"/>
    <mergeCell ref="E156:F156"/>
    <mergeCell ref="G156:H156"/>
    <mergeCell ref="C157:D157"/>
    <mergeCell ref="E157:F157"/>
    <mergeCell ref="G157:H157"/>
    <mergeCell ref="C158:D158"/>
    <mergeCell ref="E158:F158"/>
    <mergeCell ref="E154:F154"/>
    <mergeCell ref="G154:H154"/>
    <mergeCell ref="B155:B160"/>
    <mergeCell ref="C155:D155"/>
    <mergeCell ref="E155:F155"/>
    <mergeCell ref="G155:H155"/>
    <mergeCell ref="G158:H158"/>
    <mergeCell ref="C159:D159"/>
    <mergeCell ref="E159:F159"/>
    <mergeCell ref="G159:H159"/>
    <mergeCell ref="J166:J167"/>
    <mergeCell ref="C167:D167"/>
    <mergeCell ref="E167:F167"/>
    <mergeCell ref="G167:H167"/>
    <mergeCell ref="B169:H169"/>
    <mergeCell ref="B170:H170"/>
    <mergeCell ref="C165:H165"/>
    <mergeCell ref="B166:B167"/>
    <mergeCell ref="C166:D166"/>
    <mergeCell ref="E166:F166"/>
    <mergeCell ref="G166:H166"/>
    <mergeCell ref="I166:I167"/>
    <mergeCell ref="J161:J164"/>
    <mergeCell ref="C162:D162"/>
    <mergeCell ref="E162:F162"/>
    <mergeCell ref="G162:H162"/>
    <mergeCell ref="C163:D163"/>
    <mergeCell ref="E163:F163"/>
    <mergeCell ref="C164:D164"/>
    <mergeCell ref="J179:J181"/>
    <mergeCell ref="E180:F180"/>
    <mergeCell ref="G180:H180"/>
    <mergeCell ref="C181:D181"/>
    <mergeCell ref="E181:F181"/>
    <mergeCell ref="G181:H181"/>
    <mergeCell ref="C178:H178"/>
    <mergeCell ref="B179:B181"/>
    <mergeCell ref="C179:D179"/>
    <mergeCell ref="E179:F179"/>
    <mergeCell ref="G179:H179"/>
    <mergeCell ref="I179:I181"/>
    <mergeCell ref="C187:D187"/>
    <mergeCell ref="E187:F187"/>
    <mergeCell ref="C188:H188"/>
    <mergeCell ref="B172:H172"/>
    <mergeCell ref="B173:H174"/>
    <mergeCell ref="I173:I174"/>
    <mergeCell ref="J173:J174"/>
    <mergeCell ref="B176:H176"/>
    <mergeCell ref="B177:J177"/>
    <mergeCell ref="I189:I192"/>
    <mergeCell ref="J189:J192"/>
    <mergeCell ref="C190:D190"/>
    <mergeCell ref="E190:F190"/>
    <mergeCell ref="G190:H190"/>
    <mergeCell ref="C191:D191"/>
    <mergeCell ref="E191:F191"/>
    <mergeCell ref="G191:H191"/>
    <mergeCell ref="C192:D192"/>
    <mergeCell ref="B189:B192"/>
    <mergeCell ref="C189:D189"/>
    <mergeCell ref="E189:F189"/>
    <mergeCell ref="G189:H189"/>
    <mergeCell ref="E184:F184"/>
    <mergeCell ref="G184:H184"/>
    <mergeCell ref="C185:D185"/>
    <mergeCell ref="E185:F185"/>
    <mergeCell ref="G185:H185"/>
    <mergeCell ref="C186:D186"/>
    <mergeCell ref="E186:F186"/>
    <mergeCell ref="G186:H186"/>
    <mergeCell ref="B182:B188"/>
    <mergeCell ref="C182:D182"/>
    <mergeCell ref="E182:F182"/>
    <mergeCell ref="G182:H182"/>
    <mergeCell ref="I182:I188"/>
    <mergeCell ref="J182:J188"/>
    <mergeCell ref="C183:D183"/>
    <mergeCell ref="E183:F183"/>
    <mergeCell ref="G183:H183"/>
    <mergeCell ref="C184:D184"/>
    <mergeCell ref="B198:J198"/>
    <mergeCell ref="B199:B201"/>
    <mergeCell ref="C199:D199"/>
    <mergeCell ref="E199:F199"/>
    <mergeCell ref="G199:H199"/>
    <mergeCell ref="I199:I201"/>
    <mergeCell ref="J199:J201"/>
    <mergeCell ref="C200:D200"/>
    <mergeCell ref="E200:F200"/>
    <mergeCell ref="G200:H200"/>
    <mergeCell ref="J194:J197"/>
    <mergeCell ref="C195:D195"/>
    <mergeCell ref="E195:F195"/>
    <mergeCell ref="G195:H195"/>
    <mergeCell ref="C197:H197"/>
    <mergeCell ref="C193:D193"/>
    <mergeCell ref="E193:F193"/>
    <mergeCell ref="G193:H193"/>
    <mergeCell ref="B194:B197"/>
    <mergeCell ref="C194:D194"/>
    <mergeCell ref="E194:F194"/>
    <mergeCell ref="G194:H194"/>
    <mergeCell ref="I194:I197"/>
    <mergeCell ref="G206:H206"/>
    <mergeCell ref="C207:H207"/>
    <mergeCell ref="B208:B211"/>
    <mergeCell ref="C208:D208"/>
    <mergeCell ref="E208:F208"/>
    <mergeCell ref="G208:H208"/>
    <mergeCell ref="I202:I207"/>
    <mergeCell ref="J202:J207"/>
    <mergeCell ref="C203:D203"/>
    <mergeCell ref="E203:F203"/>
    <mergeCell ref="G203:H203"/>
    <mergeCell ref="C204:D204"/>
    <mergeCell ref="E204:F204"/>
    <mergeCell ref="G204:H204"/>
    <mergeCell ref="C205:D205"/>
    <mergeCell ref="E205:F205"/>
    <mergeCell ref="C201:D201"/>
    <mergeCell ref="E201:F201"/>
    <mergeCell ref="G201:H201"/>
    <mergeCell ref="B202:B207"/>
    <mergeCell ref="C202:D202"/>
    <mergeCell ref="E202:F202"/>
    <mergeCell ref="G202:H202"/>
    <mergeCell ref="G205:H205"/>
    <mergeCell ref="C206:D206"/>
    <mergeCell ref="E206:F206"/>
    <mergeCell ref="I213:I214"/>
    <mergeCell ref="J213:J214"/>
    <mergeCell ref="C214:D214"/>
    <mergeCell ref="E214:F214"/>
    <mergeCell ref="G214:H214"/>
    <mergeCell ref="B216:H216"/>
    <mergeCell ref="C212:D212"/>
    <mergeCell ref="E212:F212"/>
    <mergeCell ref="G212:H212"/>
    <mergeCell ref="B213:B214"/>
    <mergeCell ref="C213:D213"/>
    <mergeCell ref="E213:F213"/>
    <mergeCell ref="G213:H213"/>
    <mergeCell ref="I208:I211"/>
    <mergeCell ref="J208:J211"/>
    <mergeCell ref="E209:F209"/>
    <mergeCell ref="G209:H209"/>
    <mergeCell ref="C210:D210"/>
    <mergeCell ref="E210:F210"/>
    <mergeCell ref="G210:H210"/>
    <mergeCell ref="C211:D211"/>
    <mergeCell ref="J220:J222"/>
    <mergeCell ref="C221:D221"/>
    <mergeCell ref="E221:F221"/>
    <mergeCell ref="G221:H221"/>
    <mergeCell ref="C222:D222"/>
    <mergeCell ref="B223:B232"/>
    <mergeCell ref="C223:D223"/>
    <mergeCell ref="E223:F223"/>
    <mergeCell ref="G223:H223"/>
    <mergeCell ref="I223:I232"/>
    <mergeCell ref="C231:D231"/>
    <mergeCell ref="E231:F231"/>
    <mergeCell ref="G231:H231"/>
    <mergeCell ref="C232:H232"/>
    <mergeCell ref="B217:J217"/>
    <mergeCell ref="B218:J218"/>
    <mergeCell ref="C219:D219"/>
    <mergeCell ref="E219:F219"/>
    <mergeCell ref="G219:H219"/>
    <mergeCell ref="B220:B222"/>
    <mergeCell ref="C220:D220"/>
    <mergeCell ref="E220:F220"/>
    <mergeCell ref="G220:H220"/>
    <mergeCell ref="I220:I222"/>
    <mergeCell ref="C229:D229"/>
    <mergeCell ref="E229:F229"/>
    <mergeCell ref="G229:H229"/>
    <mergeCell ref="C230:D230"/>
    <mergeCell ref="E230:F230"/>
    <mergeCell ref="G230:H230"/>
    <mergeCell ref="C227:D227"/>
    <mergeCell ref="E227:F227"/>
    <mergeCell ref="G227:H227"/>
    <mergeCell ref="C228:D228"/>
    <mergeCell ref="E228:F228"/>
    <mergeCell ref="G228:H228"/>
    <mergeCell ref="B236:B237"/>
    <mergeCell ref="C236:D236"/>
    <mergeCell ref="E236:F236"/>
    <mergeCell ref="G236:H236"/>
    <mergeCell ref="J223:J232"/>
    <mergeCell ref="C224:D224"/>
    <mergeCell ref="E224:F224"/>
    <mergeCell ref="G224:H224"/>
    <mergeCell ref="C225:D225"/>
    <mergeCell ref="E225:F225"/>
    <mergeCell ref="G225:H225"/>
    <mergeCell ref="C226:D226"/>
    <mergeCell ref="E226:F226"/>
    <mergeCell ref="G226:H226"/>
    <mergeCell ref="I236:I237"/>
    <mergeCell ref="J236:J237"/>
    <mergeCell ref="C237:D237"/>
    <mergeCell ref="E237:F237"/>
    <mergeCell ref="G237:H237"/>
    <mergeCell ref="I233:I235"/>
    <mergeCell ref="J233:J235"/>
    <mergeCell ref="C234:D234"/>
    <mergeCell ref="E234:F234"/>
    <mergeCell ref="G234:H234"/>
    <mergeCell ref="C235:D235"/>
    <mergeCell ref="E235:F235"/>
    <mergeCell ref="G235:H235"/>
    <mergeCell ref="B248:J248"/>
    <mergeCell ref="C249:H249"/>
    <mergeCell ref="C250:H250"/>
    <mergeCell ref="C251:H251"/>
    <mergeCell ref="B233:B235"/>
    <mergeCell ref="C233:D233"/>
    <mergeCell ref="E233:F233"/>
    <mergeCell ref="G233:H233"/>
    <mergeCell ref="B253:H253"/>
    <mergeCell ref="B254:J254"/>
    <mergeCell ref="B243:J243"/>
    <mergeCell ref="B244:B245"/>
    <mergeCell ref="C244:D244"/>
    <mergeCell ref="E244:F244"/>
    <mergeCell ref="C245:J245"/>
    <mergeCell ref="B247:H247"/>
    <mergeCell ref="B238:J238"/>
    <mergeCell ref="B239:J239"/>
    <mergeCell ref="B240:B241"/>
    <mergeCell ref="C240:H240"/>
    <mergeCell ref="C241:H241"/>
    <mergeCell ref="B242:J242"/>
    <mergeCell ref="E257:F257"/>
    <mergeCell ref="G257:H257"/>
    <mergeCell ref="B258:B263"/>
    <mergeCell ref="C258:D258"/>
    <mergeCell ref="E258:F258"/>
    <mergeCell ref="G258:H258"/>
    <mergeCell ref="G261:H261"/>
    <mergeCell ref="C262:D262"/>
    <mergeCell ref="E262:F262"/>
    <mergeCell ref="G262:H262"/>
    <mergeCell ref="B255:B257"/>
    <mergeCell ref="C255:D255"/>
    <mergeCell ref="E255:F255"/>
    <mergeCell ref="G255:H255"/>
    <mergeCell ref="I255:I257"/>
    <mergeCell ref="J255:J257"/>
    <mergeCell ref="C256:D256"/>
    <mergeCell ref="E256:F256"/>
    <mergeCell ref="G256:H256"/>
    <mergeCell ref="C257:D257"/>
    <mergeCell ref="J264:J267"/>
    <mergeCell ref="C265:D265"/>
    <mergeCell ref="E265:F265"/>
    <mergeCell ref="G265:H265"/>
    <mergeCell ref="C266:D266"/>
    <mergeCell ref="E266:F266"/>
    <mergeCell ref="G266:H266"/>
    <mergeCell ref="C267:D267"/>
    <mergeCell ref="E267:F267"/>
    <mergeCell ref="G267:H267"/>
    <mergeCell ref="C263:H263"/>
    <mergeCell ref="B264:B267"/>
    <mergeCell ref="C264:D264"/>
    <mergeCell ref="E264:F264"/>
    <mergeCell ref="G264:H264"/>
    <mergeCell ref="I264:I267"/>
    <mergeCell ref="I258:I263"/>
    <mergeCell ref="J258:J263"/>
    <mergeCell ref="C259:D259"/>
    <mergeCell ref="E259:F259"/>
    <mergeCell ref="G259:H259"/>
    <mergeCell ref="C260:D260"/>
    <mergeCell ref="E260:F260"/>
    <mergeCell ref="G260:H260"/>
    <mergeCell ref="C261:D261"/>
    <mergeCell ref="E261:F261"/>
    <mergeCell ref="C272:H272"/>
    <mergeCell ref="B273:J273"/>
    <mergeCell ref="B275:H275"/>
    <mergeCell ref="C276:H276"/>
    <mergeCell ref="B278:H278"/>
    <mergeCell ref="B279:J279"/>
    <mergeCell ref="I269:I271"/>
    <mergeCell ref="J269:J271"/>
    <mergeCell ref="C270:D270"/>
    <mergeCell ref="E270:F270"/>
    <mergeCell ref="G270:H270"/>
    <mergeCell ref="C271:D271"/>
    <mergeCell ref="C268:D268"/>
    <mergeCell ref="E268:F268"/>
    <mergeCell ref="G268:H268"/>
    <mergeCell ref="B269:B271"/>
    <mergeCell ref="C269:D269"/>
    <mergeCell ref="E269:F269"/>
    <mergeCell ref="G269:H269"/>
    <mergeCell ref="C287:H287"/>
    <mergeCell ref="B288:B291"/>
    <mergeCell ref="C288:D288"/>
    <mergeCell ref="E288:F288"/>
    <mergeCell ref="G288:H288"/>
    <mergeCell ref="I288:I291"/>
    <mergeCell ref="B284:B287"/>
    <mergeCell ref="C284:H284"/>
    <mergeCell ref="I284:I287"/>
    <mergeCell ref="J284:J287"/>
    <mergeCell ref="C285:D285"/>
    <mergeCell ref="E285:F285"/>
    <mergeCell ref="G285:H285"/>
    <mergeCell ref="C286:D286"/>
    <mergeCell ref="E286:F286"/>
    <mergeCell ref="G286:H286"/>
    <mergeCell ref="C280:H280"/>
    <mergeCell ref="B281:B283"/>
    <mergeCell ref="C281:H281"/>
    <mergeCell ref="I281:I283"/>
    <mergeCell ref="J281:J283"/>
    <mergeCell ref="C282:D282"/>
    <mergeCell ref="E282:F282"/>
    <mergeCell ref="G282:H282"/>
    <mergeCell ref="C283:H283"/>
    <mergeCell ref="I295:I299"/>
    <mergeCell ref="J295:J299"/>
    <mergeCell ref="C296:H296"/>
    <mergeCell ref="C297:H297"/>
    <mergeCell ref="C298:H298"/>
    <mergeCell ref="C299:H299"/>
    <mergeCell ref="C292:H292"/>
    <mergeCell ref="C293:D293"/>
    <mergeCell ref="E293:F293"/>
    <mergeCell ref="G293:H293"/>
    <mergeCell ref="C294:H294"/>
    <mergeCell ref="B295:B300"/>
    <mergeCell ref="C295:H295"/>
    <mergeCell ref="C300:H300"/>
    <mergeCell ref="J288:J291"/>
    <mergeCell ref="C289:D289"/>
    <mergeCell ref="E289:F289"/>
    <mergeCell ref="G289:H289"/>
    <mergeCell ref="C290:D290"/>
    <mergeCell ref="E290:F290"/>
    <mergeCell ref="G290:H290"/>
    <mergeCell ref="C291:H291"/>
    <mergeCell ref="C315:D315"/>
    <mergeCell ref="E315:F315"/>
    <mergeCell ref="B316:B318"/>
    <mergeCell ref="C316:D316"/>
    <mergeCell ref="E316:F316"/>
    <mergeCell ref="G316:H316"/>
    <mergeCell ref="B309:J309"/>
    <mergeCell ref="B311:H311"/>
    <mergeCell ref="B312:J312"/>
    <mergeCell ref="B313:J313"/>
    <mergeCell ref="C314:D314"/>
    <mergeCell ref="E314:F314"/>
    <mergeCell ref="C301:H301"/>
    <mergeCell ref="B302:J302"/>
    <mergeCell ref="B304:H304"/>
    <mergeCell ref="B305:J305"/>
    <mergeCell ref="B306:B308"/>
    <mergeCell ref="C306:H306"/>
    <mergeCell ref="I306:I308"/>
    <mergeCell ref="J306:J308"/>
    <mergeCell ref="C307:H307"/>
    <mergeCell ref="C308:H308"/>
    <mergeCell ref="C324:H324"/>
    <mergeCell ref="C325:H325"/>
    <mergeCell ref="B326:H326"/>
    <mergeCell ref="B327:J327"/>
    <mergeCell ref="C328:E328"/>
    <mergeCell ref="F328:H328"/>
    <mergeCell ref="C319:H319"/>
    <mergeCell ref="B320:J320"/>
    <mergeCell ref="B321:B322"/>
    <mergeCell ref="C321:H321"/>
    <mergeCell ref="C322:H322"/>
    <mergeCell ref="C323:D323"/>
    <mergeCell ref="E323:F323"/>
    <mergeCell ref="I316:I318"/>
    <mergeCell ref="J316:J318"/>
    <mergeCell ref="C317:D317"/>
    <mergeCell ref="E317:F317"/>
    <mergeCell ref="G317:H317"/>
    <mergeCell ref="E318:F318"/>
    <mergeCell ref="G318:H318"/>
    <mergeCell ref="C333:H333"/>
    <mergeCell ref="B335:H335"/>
    <mergeCell ref="B336:J336"/>
    <mergeCell ref="B337:J337"/>
    <mergeCell ref="C338:D338"/>
    <mergeCell ref="E338:F338"/>
    <mergeCell ref="G338:H338"/>
    <mergeCell ref="J330:J332"/>
    <mergeCell ref="C331:D331"/>
    <mergeCell ref="E331:F331"/>
    <mergeCell ref="G331:H331"/>
    <mergeCell ref="C332:D332"/>
    <mergeCell ref="E332:F332"/>
    <mergeCell ref="G332:H332"/>
    <mergeCell ref="C329:H329"/>
    <mergeCell ref="B330:B332"/>
    <mergeCell ref="C330:D330"/>
    <mergeCell ref="E330:F330"/>
    <mergeCell ref="G330:H330"/>
    <mergeCell ref="I330:I332"/>
    <mergeCell ref="G341:H341"/>
    <mergeCell ref="B342:J342"/>
    <mergeCell ref="C343:D343"/>
    <mergeCell ref="E343:F343"/>
    <mergeCell ref="G343:H343"/>
    <mergeCell ref="B344:B347"/>
    <mergeCell ref="C344:D344"/>
    <mergeCell ref="E344:F344"/>
    <mergeCell ref="G344:H344"/>
    <mergeCell ref="I344:I347"/>
    <mergeCell ref="B339:B341"/>
    <mergeCell ref="C339:D339"/>
    <mergeCell ref="E339:F339"/>
    <mergeCell ref="G339:H339"/>
    <mergeCell ref="I339:I341"/>
    <mergeCell ref="J339:J341"/>
    <mergeCell ref="C340:D340"/>
    <mergeCell ref="E340:F340"/>
    <mergeCell ref="G340:H340"/>
    <mergeCell ref="E341:F341"/>
    <mergeCell ref="B348:J348"/>
    <mergeCell ref="B350:J350"/>
    <mergeCell ref="C351:D351"/>
    <mergeCell ref="E351:F351"/>
    <mergeCell ref="G351:H351"/>
    <mergeCell ref="B352:B354"/>
    <mergeCell ref="C352:D352"/>
    <mergeCell ref="E352:F352"/>
    <mergeCell ref="G352:H352"/>
    <mergeCell ref="I352:I354"/>
    <mergeCell ref="J344:J347"/>
    <mergeCell ref="C345:D345"/>
    <mergeCell ref="E345:F345"/>
    <mergeCell ref="G345:H345"/>
    <mergeCell ref="E346:F346"/>
    <mergeCell ref="G346:H346"/>
    <mergeCell ref="C347:D347"/>
    <mergeCell ref="E347:F347"/>
    <mergeCell ref="G347:H347"/>
    <mergeCell ref="C363:H363"/>
    <mergeCell ref="B364:J364"/>
    <mergeCell ref="C365:H365"/>
    <mergeCell ref="C366:H366"/>
    <mergeCell ref="B367:J367"/>
    <mergeCell ref="C368:H368"/>
    <mergeCell ref="B355:J355"/>
    <mergeCell ref="B357:H357"/>
    <mergeCell ref="B358:J358"/>
    <mergeCell ref="C359:H359"/>
    <mergeCell ref="B360:J360"/>
    <mergeCell ref="C362:H362"/>
    <mergeCell ref="J352:J354"/>
    <mergeCell ref="C353:D353"/>
    <mergeCell ref="E353:F353"/>
    <mergeCell ref="G353:H353"/>
    <mergeCell ref="C354:D354"/>
    <mergeCell ref="E354:F354"/>
    <mergeCell ref="G354:H354"/>
    <mergeCell ref="C384:H384"/>
    <mergeCell ref="C385:H385"/>
    <mergeCell ref="B386:B388"/>
    <mergeCell ref="C386:H386"/>
    <mergeCell ref="C387:H387"/>
    <mergeCell ref="C388:H388"/>
    <mergeCell ref="B375:J375"/>
    <mergeCell ref="C376:H376"/>
    <mergeCell ref="C377:H377"/>
    <mergeCell ref="B378:J378"/>
    <mergeCell ref="B379:B385"/>
    <mergeCell ref="C379:H379"/>
    <mergeCell ref="C380:H380"/>
    <mergeCell ref="C381:H381"/>
    <mergeCell ref="C382:H382"/>
    <mergeCell ref="C383:H383"/>
    <mergeCell ref="C369:H369"/>
    <mergeCell ref="C370:H370"/>
    <mergeCell ref="B371:J371"/>
    <mergeCell ref="C372:H372"/>
    <mergeCell ref="C373:H373"/>
    <mergeCell ref="C374:H374"/>
    <mergeCell ref="C401:H401"/>
    <mergeCell ref="C402:H402"/>
    <mergeCell ref="B404:H404"/>
    <mergeCell ref="B405:J405"/>
    <mergeCell ref="B406:B409"/>
    <mergeCell ref="C406:D406"/>
    <mergeCell ref="I406:I409"/>
    <mergeCell ref="J406:J409"/>
    <mergeCell ref="C407:D407"/>
    <mergeCell ref="E407:F407"/>
    <mergeCell ref="B395:B396"/>
    <mergeCell ref="C395:H395"/>
    <mergeCell ref="C396:H396"/>
    <mergeCell ref="B397:J397"/>
    <mergeCell ref="B399:H399"/>
    <mergeCell ref="B400:J400"/>
    <mergeCell ref="B389:J389"/>
    <mergeCell ref="B390:B394"/>
    <mergeCell ref="C390:H390"/>
    <mergeCell ref="C391:H391"/>
    <mergeCell ref="C392:H392"/>
    <mergeCell ref="C393:H393"/>
    <mergeCell ref="C394:H394"/>
    <mergeCell ref="E416:F416"/>
    <mergeCell ref="G416:H416"/>
    <mergeCell ref="C417:D417"/>
    <mergeCell ref="C410:H410"/>
    <mergeCell ref="B412:H412"/>
    <mergeCell ref="B413:J413"/>
    <mergeCell ref="C414:D414"/>
    <mergeCell ref="E414:F414"/>
    <mergeCell ref="G414:H414"/>
    <mergeCell ref="G407:H407"/>
    <mergeCell ref="C408:D408"/>
    <mergeCell ref="E408:F408"/>
    <mergeCell ref="G408:H408"/>
    <mergeCell ref="V408:V409"/>
    <mergeCell ref="C409:D409"/>
    <mergeCell ref="E409:F409"/>
    <mergeCell ref="G409:H409"/>
    <mergeCell ref="B437:J437"/>
    <mergeCell ref="B439:J439"/>
    <mergeCell ref="B440:J440"/>
    <mergeCell ref="B442:H442"/>
    <mergeCell ref="B443:J443"/>
    <mergeCell ref="B444:B446"/>
    <mergeCell ref="C444:J444"/>
    <mergeCell ref="C445:H445"/>
    <mergeCell ref="C446:H446"/>
    <mergeCell ref="B427:H427"/>
    <mergeCell ref="C428:H428"/>
    <mergeCell ref="C431:H431"/>
    <mergeCell ref="B433:J433"/>
    <mergeCell ref="B434:J434"/>
    <mergeCell ref="B436:J436"/>
    <mergeCell ref="E417:F417"/>
    <mergeCell ref="B419:H419"/>
    <mergeCell ref="B420:J420"/>
    <mergeCell ref="C421:H421"/>
    <mergeCell ref="B423:H423"/>
    <mergeCell ref="B424:B425"/>
    <mergeCell ref="C424:H424"/>
    <mergeCell ref="I424:I425"/>
    <mergeCell ref="J424:J425"/>
    <mergeCell ref="C425:H425"/>
    <mergeCell ref="B415:B417"/>
    <mergeCell ref="C415:D415"/>
    <mergeCell ref="E415:F415"/>
    <mergeCell ref="G415:H415"/>
    <mergeCell ref="I415:I417"/>
    <mergeCell ref="J415:J417"/>
    <mergeCell ref="C416:D416"/>
    <mergeCell ref="J454:J456"/>
    <mergeCell ref="C455:D455"/>
    <mergeCell ref="E455:F455"/>
    <mergeCell ref="G455:H455"/>
    <mergeCell ref="C456:D456"/>
    <mergeCell ref="E456:F456"/>
    <mergeCell ref="G456:H456"/>
    <mergeCell ref="B448:H448"/>
    <mergeCell ref="C449:H449"/>
    <mergeCell ref="B451:H451"/>
    <mergeCell ref="B452:J452"/>
    <mergeCell ref="B453:J453"/>
    <mergeCell ref="B454:B456"/>
    <mergeCell ref="C454:D454"/>
    <mergeCell ref="E454:F454"/>
    <mergeCell ref="G454:H454"/>
    <mergeCell ref="I454:I456"/>
    <mergeCell ref="C465:H465"/>
    <mergeCell ref="C466:H466"/>
    <mergeCell ref="B467:J467"/>
    <mergeCell ref="C468:D468"/>
    <mergeCell ref="E468:F468"/>
    <mergeCell ref="G468:H468"/>
    <mergeCell ref="B463:B464"/>
    <mergeCell ref="C463:D463"/>
    <mergeCell ref="E463:F463"/>
    <mergeCell ref="G463:H463"/>
    <mergeCell ref="I463:I464"/>
    <mergeCell ref="J463:J464"/>
    <mergeCell ref="C464:D464"/>
    <mergeCell ref="E459:F459"/>
    <mergeCell ref="G459:H459"/>
    <mergeCell ref="B460:J460"/>
    <mergeCell ref="B461:J461"/>
    <mergeCell ref="C462:D462"/>
    <mergeCell ref="E462:F462"/>
    <mergeCell ref="G462:H462"/>
    <mergeCell ref="B457:B459"/>
    <mergeCell ref="C457:D457"/>
    <mergeCell ref="E457:F457"/>
    <mergeCell ref="G457:H457"/>
    <mergeCell ref="I457:I459"/>
    <mergeCell ref="J457:J459"/>
    <mergeCell ref="C458:D458"/>
    <mergeCell ref="E458:F458"/>
    <mergeCell ref="G458:H458"/>
    <mergeCell ref="C459:D459"/>
    <mergeCell ref="C471:H471"/>
    <mergeCell ref="B472:J472"/>
    <mergeCell ref="C473:D473"/>
    <mergeCell ref="E473:F473"/>
    <mergeCell ref="G473:H473"/>
    <mergeCell ref="B474:B475"/>
    <mergeCell ref="C474:D474"/>
    <mergeCell ref="E474:F474"/>
    <mergeCell ref="G474:H474"/>
    <mergeCell ref="I474:I475"/>
    <mergeCell ref="B469:B470"/>
    <mergeCell ref="C469:D469"/>
    <mergeCell ref="E469:F469"/>
    <mergeCell ref="G469:H469"/>
    <mergeCell ref="I469:I470"/>
    <mergeCell ref="J469:J470"/>
    <mergeCell ref="C470:D470"/>
    <mergeCell ref="B491:D491"/>
    <mergeCell ref="E491:F491"/>
    <mergeCell ref="I491:J491"/>
    <mergeCell ref="B492:D492"/>
    <mergeCell ref="E492:F492"/>
    <mergeCell ref="I492:J492"/>
    <mergeCell ref="B483:J483"/>
    <mergeCell ref="B485:J485"/>
    <mergeCell ref="B487:J487"/>
    <mergeCell ref="B489:D489"/>
    <mergeCell ref="E489:F490"/>
    <mergeCell ref="B490:D490"/>
    <mergeCell ref="G490:H490"/>
    <mergeCell ref="I490:J490"/>
    <mergeCell ref="J474:J475"/>
    <mergeCell ref="C475:D475"/>
    <mergeCell ref="C476:H476"/>
    <mergeCell ref="B478:J478"/>
    <mergeCell ref="B480:J480"/>
    <mergeCell ref="B482:J482"/>
    <mergeCell ref="B500:J500"/>
    <mergeCell ref="B501:J501"/>
    <mergeCell ref="B502:D502"/>
    <mergeCell ref="E502:F502"/>
    <mergeCell ref="H502:J502"/>
    <mergeCell ref="E503:F503"/>
    <mergeCell ref="H503:J503"/>
    <mergeCell ref="B495:D495"/>
    <mergeCell ref="E495:F495"/>
    <mergeCell ref="I495:J495"/>
    <mergeCell ref="B496:D496"/>
    <mergeCell ref="E496:F496"/>
    <mergeCell ref="B498:J498"/>
    <mergeCell ref="B493:D493"/>
    <mergeCell ref="E493:F493"/>
    <mergeCell ref="I493:J493"/>
    <mergeCell ref="B494:D494"/>
    <mergeCell ref="E494:F494"/>
    <mergeCell ref="I494:J494"/>
    <mergeCell ref="B520:J520"/>
    <mergeCell ref="B522:J522"/>
    <mergeCell ref="B523:J523"/>
    <mergeCell ref="B525:J525"/>
    <mergeCell ref="B527:J527"/>
    <mergeCell ref="B529:J529"/>
    <mergeCell ref="D511:J511"/>
    <mergeCell ref="B513:J513"/>
    <mergeCell ref="B514:J514"/>
    <mergeCell ref="B515:J515"/>
    <mergeCell ref="B516:J516"/>
    <mergeCell ref="B518:J518"/>
    <mergeCell ref="E504:F504"/>
    <mergeCell ref="B505:D505"/>
    <mergeCell ref="E505:F505"/>
    <mergeCell ref="B506:D506"/>
    <mergeCell ref="E506:F506"/>
    <mergeCell ref="B508:J508"/>
  </mergeCells>
  <conditionalFormatting sqref="E4:J5 E6:F6 I18:J19 J6">
    <cfRule type="containsBlanks" dxfId="26" priority="2" stopIfTrue="1">
      <formula>LEN(TRIM(E4))=0</formula>
    </cfRule>
  </conditionalFormatting>
  <conditionalFormatting sqref="E491:E496">
    <cfRule type="containsBlanks" dxfId="25" priority="1" stopIfTrue="1">
      <formula>LEN(TRIM(E491))=0</formula>
    </cfRule>
  </conditionalFormatting>
  <dataValidations count="8">
    <dataValidation allowBlank="1" showInputMessage="1" showErrorMessage="1" prompt="Verificar BMA" sqref="I18:J19"/>
    <dataValidation allowBlank="1" showInputMessage="1" showErrorMessage="1" prompt="Modificar titulos de acuerdo a condiciones" sqref="B3:J3"/>
    <dataValidation allowBlank="1" showInputMessage="1" showErrorMessage="1" prompt="Ingresar El tipo de  Plan: Hijastros, Padres, etc." sqref="B8:J8"/>
    <dataValidation allowBlank="1" showInputMessage="1" showErrorMessage="1" prompt="Ingresar Datos De FTPS" sqref="E4:E6 F6:J6"/>
    <dataValidation allowBlank="1" showInputMessage="1" showErrorMessage="1" prompt="Verificar Aportes" sqref="E491:E496"/>
    <dataValidation errorStyle="warning" allowBlank="1" showInputMessage="1" showErrorMessage="1" errorTitle="Verificar Grupal o Etario" error="Verificar Grupal o Etario" prompt="Verificar Grupal o Etario" sqref="B491:B496 C491:D495"/>
    <dataValidation allowBlank="1" showInputMessage="1" showErrorMessage="1" prompt="Verificar tipo de Plan" sqref="B487:J487"/>
    <dataValidation allowBlank="1" showInputMessage="1" showErrorMessage="1" prompt="Verificar Siniestralidad objetivo" sqref="B503:J506"/>
  </dataValidations>
  <printOptions horizontalCentered="1"/>
  <pageMargins left="0.39370078740157483" right="0.39370078740157483" top="1.7716535433070868" bottom="0.98425196850393704" header="0" footer="0"/>
  <pageSetup paperSize="9" scale="75" fitToHeight="0" orientation="portrait" horizontalDpi="300" verticalDpi="300" r:id="rId1"/>
  <headerFooter alignWithMargins="0">
    <oddFooter>Página &amp;P de &amp;N</oddFooter>
  </headerFooter>
  <rowBreaks count="25" manualBreakCount="25">
    <brk id="25" max="15" man="1"/>
    <brk id="53" max="15" man="1"/>
    <brk id="58" max="15" man="1"/>
    <brk id="77" max="15" man="1"/>
    <brk id="102" max="15" man="1"/>
    <brk id="120" max="15" man="1"/>
    <brk id="139" max="15" man="1"/>
    <brk id="160" max="15" man="1"/>
    <brk id="181" max="15" man="1"/>
    <brk id="201" max="15" man="1"/>
    <brk id="222" max="15" man="1"/>
    <brk id="232" max="15" man="1"/>
    <brk id="249" max="15" man="1"/>
    <brk id="257" max="15" man="1"/>
    <brk id="280" max="15" man="1"/>
    <brk id="301" max="15" man="1"/>
    <brk id="326" max="15" man="1"/>
    <brk id="349" max="15" man="1"/>
    <brk id="377" max="15" man="1"/>
    <brk id="403" max="15" man="1"/>
    <brk id="422" max="15" man="1"/>
    <brk id="435" max="15" man="1"/>
    <brk id="459" max="15" man="1"/>
    <brk id="484" max="15" man="1"/>
    <brk id="508" max="15"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F0000"/>
  </sheetPr>
  <dimension ref="A1:AF318"/>
  <sheetViews>
    <sheetView showGridLines="0" tabSelected="1" view="pageBreakPreview" topLeftCell="B1" zoomScale="90" zoomScaleNormal="90" zoomScaleSheetLayoutView="90" workbookViewId="0">
      <selection activeCell="B9" sqref="B9:J9"/>
    </sheetView>
  </sheetViews>
  <sheetFormatPr baseColWidth="10" defaultColWidth="11.42578125" defaultRowHeight="12.75" x14ac:dyDescent="0.2"/>
  <cols>
    <col min="1" max="1" width="14.42578125" style="4" hidden="1" customWidth="1"/>
    <col min="2" max="2" width="20.85546875" style="1" customWidth="1"/>
    <col min="3" max="3" width="13.140625" style="1" customWidth="1"/>
    <col min="4" max="7" width="14.42578125" style="1" customWidth="1"/>
    <col min="8" max="8" width="11.7109375" style="1" customWidth="1"/>
    <col min="9" max="9" width="11.7109375" style="11" customWidth="1"/>
    <col min="10" max="10" width="11.7109375" style="1" customWidth="1"/>
    <col min="11" max="11" width="23" style="18" hidden="1" customWidth="1"/>
    <col min="12" max="12" width="15.140625" style="18" hidden="1" customWidth="1"/>
    <col min="13" max="13" width="6" style="4" hidden="1" customWidth="1"/>
    <col min="14" max="15" width="6" style="18" hidden="1" customWidth="1"/>
    <col min="16" max="16" width="23.140625" style="18" hidden="1" customWidth="1"/>
    <col min="17" max="17" width="11.42578125" style="18" hidden="1" customWidth="1"/>
    <col min="18" max="18" width="11.42578125" style="18" customWidth="1"/>
    <col min="19" max="16384" width="11.42578125" style="18"/>
  </cols>
  <sheetData>
    <row r="1" spans="1:13" ht="18.75" customHeight="1" x14ac:dyDescent="0.2">
      <c r="B1" s="1331" t="s">
        <v>561</v>
      </c>
      <c r="C1" s="1331"/>
      <c r="D1" s="1331"/>
      <c r="E1" s="1331"/>
      <c r="F1" s="1331"/>
      <c r="G1" s="1331"/>
      <c r="H1" s="1331"/>
      <c r="I1" s="1331"/>
      <c r="J1" s="1331"/>
    </row>
    <row r="2" spans="1:13" ht="20.100000000000001" customHeight="1" x14ac:dyDescent="0.2">
      <c r="B2" s="1332"/>
      <c r="C2" s="1332"/>
      <c r="D2" s="1332"/>
      <c r="E2" s="1332"/>
      <c r="F2" s="1332"/>
      <c r="G2" s="1332"/>
      <c r="H2" s="1332"/>
      <c r="I2" s="1332"/>
      <c r="J2" s="1332"/>
      <c r="K2" s="171"/>
      <c r="M2" s="171"/>
    </row>
    <row r="3" spans="1:13" ht="18.75" customHeight="1" x14ac:dyDescent="0.2">
      <c r="B3" s="1325" t="s">
        <v>2</v>
      </c>
      <c r="C3" s="1325"/>
      <c r="D3" s="1325"/>
      <c r="E3" s="1327" t="s">
        <v>922</v>
      </c>
      <c r="F3" s="1327"/>
      <c r="G3" s="1327"/>
      <c r="H3" s="1327"/>
      <c r="I3" s="1327"/>
      <c r="J3" s="1327"/>
      <c r="K3" s="169"/>
      <c r="M3" s="171"/>
    </row>
    <row r="4" spans="1:13" ht="30.75" customHeight="1" x14ac:dyDescent="0.2">
      <c r="B4" s="1325" t="s">
        <v>3</v>
      </c>
      <c r="C4" s="1325"/>
      <c r="D4" s="1325"/>
      <c r="E4" s="1333" t="s">
        <v>923</v>
      </c>
      <c r="F4" s="1327"/>
      <c r="G4" s="1327"/>
      <c r="H4" s="1327"/>
      <c r="I4" s="1327"/>
      <c r="J4" s="1327"/>
      <c r="K4" s="169"/>
      <c r="M4" s="171"/>
    </row>
    <row r="5" spans="1:13" ht="18.75" customHeight="1" x14ac:dyDescent="0.2">
      <c r="B5" s="1325" t="s">
        <v>4</v>
      </c>
      <c r="C5" s="1325"/>
      <c r="D5" s="1325"/>
      <c r="E5" s="1326">
        <v>43922</v>
      </c>
      <c r="F5" s="1327"/>
      <c r="G5" s="8"/>
      <c r="H5" s="1328" t="s">
        <v>5</v>
      </c>
      <c r="I5" s="1328"/>
      <c r="J5" s="9">
        <v>231002</v>
      </c>
    </row>
    <row r="6" spans="1:13" ht="20.100000000000001" customHeight="1" x14ac:dyDescent="0.2">
      <c r="B6" s="1325"/>
      <c r="C6" s="1325"/>
      <c r="D6" s="1325"/>
      <c r="E6" s="1329"/>
      <c r="F6" s="1329"/>
      <c r="G6" s="10"/>
      <c r="J6" s="9"/>
    </row>
    <row r="7" spans="1:13" ht="14.25" customHeight="1" x14ac:dyDescent="0.2">
      <c r="B7" s="1330" t="s">
        <v>6</v>
      </c>
      <c r="C7" s="1330"/>
      <c r="D7" s="1330"/>
      <c r="E7" s="1330"/>
      <c r="F7" s="1330"/>
      <c r="G7" s="1330"/>
      <c r="H7" s="1330"/>
      <c r="I7" s="1330"/>
      <c r="J7" s="1330"/>
      <c r="K7" s="317"/>
      <c r="M7" s="318"/>
    </row>
    <row r="8" spans="1:13" ht="20.100000000000001" customHeight="1" x14ac:dyDescent="0.2">
      <c r="B8" s="14"/>
      <c r="C8" s="14"/>
      <c r="D8" s="14"/>
      <c r="E8" s="14"/>
      <c r="F8" s="14"/>
      <c r="G8" s="14"/>
      <c r="H8" s="14"/>
      <c r="I8" s="14"/>
      <c r="J8" s="14"/>
      <c r="K8" s="317"/>
      <c r="M8" s="318"/>
    </row>
    <row r="9" spans="1:13" ht="30" customHeight="1" x14ac:dyDescent="0.2">
      <c r="B9" s="855" t="s">
        <v>562</v>
      </c>
      <c r="C9" s="856"/>
      <c r="D9" s="856"/>
      <c r="E9" s="856"/>
      <c r="F9" s="856"/>
      <c r="G9" s="856"/>
      <c r="H9" s="856"/>
      <c r="I9" s="856"/>
      <c r="J9" s="857"/>
    </row>
    <row r="10" spans="1:13" ht="90" customHeight="1" x14ac:dyDescent="0.2">
      <c r="A10" s="23"/>
      <c r="B10" s="1320" t="s">
        <v>563</v>
      </c>
      <c r="C10" s="1321"/>
      <c r="D10" s="1321"/>
      <c r="E10" s="1321"/>
      <c r="F10" s="1321"/>
      <c r="G10" s="1321"/>
      <c r="H10" s="1321"/>
      <c r="I10" s="1321"/>
      <c r="J10" s="1322"/>
    </row>
    <row r="11" spans="1:13" ht="20.100000000000001" customHeight="1" x14ac:dyDescent="0.2">
      <c r="A11" s="23"/>
      <c r="B11" s="16"/>
      <c r="C11" s="16"/>
      <c r="D11" s="16"/>
      <c r="E11" s="16"/>
      <c r="F11" s="16"/>
      <c r="G11" s="16"/>
      <c r="H11" s="16"/>
      <c r="I11" s="16"/>
      <c r="J11" s="16"/>
    </row>
    <row r="12" spans="1:13" ht="30" customHeight="1" x14ac:dyDescent="0.2">
      <c r="A12" s="23"/>
      <c r="B12" s="855" t="s">
        <v>564</v>
      </c>
      <c r="C12" s="856"/>
      <c r="D12" s="856"/>
      <c r="E12" s="856"/>
      <c r="F12" s="856"/>
      <c r="G12" s="856"/>
      <c r="H12" s="856"/>
      <c r="I12" s="856"/>
      <c r="J12" s="857"/>
    </row>
    <row r="13" spans="1:13" s="322" customFormat="1" ht="20.100000000000001" customHeight="1" x14ac:dyDescent="0.2">
      <c r="A13" s="319"/>
      <c r="B13" s="320">
        <v>1000000</v>
      </c>
      <c r="C13" s="320" t="s">
        <v>931</v>
      </c>
      <c r="D13" s="320" t="s">
        <v>932</v>
      </c>
      <c r="E13" s="321"/>
      <c r="F13" s="321"/>
      <c r="G13" s="321"/>
      <c r="H13" s="321"/>
      <c r="I13" s="321"/>
      <c r="J13" s="321"/>
      <c r="M13" s="319"/>
    </row>
    <row r="14" spans="1:13" ht="24.95" customHeight="1" x14ac:dyDescent="0.2">
      <c r="A14" s="23"/>
      <c r="B14" s="25" t="s">
        <v>933</v>
      </c>
      <c r="C14" s="26"/>
      <c r="D14" s="26"/>
      <c r="E14" s="26"/>
      <c r="F14" s="27"/>
      <c r="G14" s="26"/>
      <c r="H14" s="26"/>
      <c r="I14" s="1315">
        <v>2500000</v>
      </c>
      <c r="J14" s="1316"/>
    </row>
    <row r="15" spans="1:13" ht="20.100000000000001" customHeight="1" x14ac:dyDescent="0.2">
      <c r="A15" s="23"/>
      <c r="B15" s="28"/>
      <c r="C15" s="28"/>
      <c r="D15" s="28"/>
      <c r="E15" s="28"/>
      <c r="F15" s="29"/>
      <c r="G15" s="28"/>
      <c r="H15" s="28"/>
      <c r="I15" s="28"/>
      <c r="J15" s="29"/>
    </row>
    <row r="16" spans="1:13" ht="30" customHeight="1" x14ac:dyDescent="0.2">
      <c r="A16" s="23"/>
      <c r="B16" s="855" t="s">
        <v>565</v>
      </c>
      <c r="C16" s="856"/>
      <c r="D16" s="856"/>
      <c r="E16" s="856"/>
      <c r="F16" s="856"/>
      <c r="G16" s="856"/>
      <c r="H16" s="856"/>
      <c r="I16" s="856"/>
      <c r="J16" s="857"/>
    </row>
    <row r="17" spans="1:16" ht="20.100000000000001" customHeight="1" x14ac:dyDescent="0.2">
      <c r="A17" s="23"/>
      <c r="B17" s="31"/>
      <c r="C17" s="31"/>
      <c r="D17" s="31"/>
      <c r="E17" s="31"/>
      <c r="F17" s="31"/>
      <c r="G17" s="31"/>
      <c r="H17" s="31"/>
      <c r="I17" s="32"/>
      <c r="J17" s="31"/>
    </row>
    <row r="18" spans="1:16" ht="30" customHeight="1" x14ac:dyDescent="0.2">
      <c r="A18" s="23"/>
      <c r="B18" s="904" t="s">
        <v>16</v>
      </c>
      <c r="C18" s="905"/>
      <c r="D18" s="905"/>
      <c r="E18" s="905"/>
      <c r="F18" s="905"/>
      <c r="G18" s="905"/>
      <c r="H18" s="906"/>
      <c r="I18" s="34" t="s">
        <v>17</v>
      </c>
      <c r="J18" s="254" t="s">
        <v>18</v>
      </c>
      <c r="K18" s="36" t="s">
        <v>19</v>
      </c>
      <c r="L18" s="37">
        <v>1</v>
      </c>
      <c r="O18" s="37">
        <v>1</v>
      </c>
      <c r="P18" s="38" t="s">
        <v>20</v>
      </c>
    </row>
    <row r="19" spans="1:16" ht="30" customHeight="1" x14ac:dyDescent="0.2">
      <c r="A19" s="23"/>
      <c r="B19" s="1268" t="s">
        <v>566</v>
      </c>
      <c r="C19" s="1268"/>
      <c r="D19" s="1268"/>
      <c r="E19" s="1268"/>
      <c r="F19" s="1268"/>
      <c r="G19" s="1268"/>
      <c r="H19" s="1268"/>
      <c r="I19" s="1268"/>
      <c r="J19" s="1268"/>
      <c r="O19" s="37">
        <v>1</v>
      </c>
      <c r="P19" s="38" t="s">
        <v>20</v>
      </c>
    </row>
    <row r="20" spans="1:16" s="24" customFormat="1" ht="30" customHeight="1" x14ac:dyDescent="0.2">
      <c r="A20" s="4"/>
      <c r="B20" s="1309" t="s">
        <v>567</v>
      </c>
      <c r="C20" s="1508" t="s">
        <v>134</v>
      </c>
      <c r="D20" s="1509"/>
      <c r="E20" s="1510" t="s">
        <v>239</v>
      </c>
      <c r="F20" s="1510"/>
      <c r="G20" s="1188"/>
      <c r="H20" s="1189"/>
      <c r="I20" s="1312">
        <v>45</v>
      </c>
      <c r="J20" s="1241">
        <v>0.85</v>
      </c>
      <c r="K20" s="43" t="s">
        <v>567</v>
      </c>
      <c r="L20" s="44" t="s">
        <v>25</v>
      </c>
      <c r="M20" s="3"/>
      <c r="N20" s="46" t="s">
        <v>30</v>
      </c>
      <c r="O20" s="37">
        <v>1</v>
      </c>
      <c r="P20" s="38" t="s">
        <v>20</v>
      </c>
    </row>
    <row r="21" spans="1:16" s="24" customFormat="1" ht="30" customHeight="1" x14ac:dyDescent="0.2">
      <c r="A21" s="4"/>
      <c r="B21" s="1311"/>
      <c r="C21" s="1181" t="s">
        <v>568</v>
      </c>
      <c r="D21" s="1182"/>
      <c r="E21" s="1182" t="s">
        <v>569</v>
      </c>
      <c r="F21" s="1182"/>
      <c r="G21" s="1182" t="s">
        <v>570</v>
      </c>
      <c r="H21" s="1183"/>
      <c r="I21" s="1314"/>
      <c r="J21" s="1243"/>
      <c r="K21" s="43" t="s">
        <v>567</v>
      </c>
      <c r="L21" s="44" t="s">
        <v>25</v>
      </c>
      <c r="M21" s="3"/>
      <c r="N21" s="4"/>
      <c r="O21" s="37">
        <v>1</v>
      </c>
      <c r="P21" s="38" t="s">
        <v>20</v>
      </c>
    </row>
    <row r="22" spans="1:16" s="24" customFormat="1" ht="30" customHeight="1" x14ac:dyDescent="0.2">
      <c r="A22" s="4"/>
      <c r="B22" s="1309" t="s">
        <v>571</v>
      </c>
      <c r="C22" s="1214" t="s">
        <v>572</v>
      </c>
      <c r="D22" s="1195"/>
      <c r="E22" s="1195" t="s">
        <v>378</v>
      </c>
      <c r="F22" s="1195"/>
      <c r="G22" s="1130" t="s">
        <v>342</v>
      </c>
      <c r="H22" s="1131"/>
      <c r="I22" s="1312">
        <v>40</v>
      </c>
      <c r="J22" s="1241">
        <v>0.85</v>
      </c>
      <c r="K22" s="43"/>
      <c r="L22" s="44"/>
      <c r="M22" s="3"/>
      <c r="N22" s="4"/>
      <c r="O22" s="37"/>
      <c r="P22" s="38"/>
    </row>
    <row r="23" spans="1:16" s="24" customFormat="1" ht="30" customHeight="1" x14ac:dyDescent="0.2">
      <c r="A23" s="4"/>
      <c r="B23" s="1310"/>
      <c r="C23" s="1211" t="s">
        <v>573</v>
      </c>
      <c r="D23" s="1190"/>
      <c r="E23" s="1190" t="s">
        <v>574</v>
      </c>
      <c r="F23" s="1190"/>
      <c r="G23" s="1190" t="s">
        <v>575</v>
      </c>
      <c r="H23" s="1212"/>
      <c r="I23" s="1313"/>
      <c r="J23" s="1242"/>
      <c r="K23" s="43"/>
      <c r="L23" s="44"/>
      <c r="M23" s="3"/>
      <c r="N23" s="4"/>
      <c r="O23" s="37"/>
      <c r="P23" s="38"/>
    </row>
    <row r="24" spans="1:16" s="24" customFormat="1" ht="30" customHeight="1" x14ac:dyDescent="0.2">
      <c r="A24" s="4"/>
      <c r="B24" s="1310"/>
      <c r="C24" s="1211" t="s">
        <v>576</v>
      </c>
      <c r="D24" s="1190"/>
      <c r="E24" s="1190" t="s">
        <v>577</v>
      </c>
      <c r="F24" s="1190"/>
      <c r="G24" s="1132" t="s">
        <v>578</v>
      </c>
      <c r="H24" s="1134"/>
      <c r="I24" s="1313"/>
      <c r="J24" s="1242"/>
      <c r="K24" s="43"/>
      <c r="L24" s="44"/>
      <c r="M24" s="3"/>
      <c r="N24" s="4"/>
      <c r="O24" s="37"/>
      <c r="P24" s="38"/>
    </row>
    <row r="25" spans="1:16" s="24" customFormat="1" ht="30" customHeight="1" x14ac:dyDescent="0.2">
      <c r="A25" s="4"/>
      <c r="B25" s="1310"/>
      <c r="C25" s="1211" t="s">
        <v>402</v>
      </c>
      <c r="D25" s="1190"/>
      <c r="E25" s="1190" t="s">
        <v>579</v>
      </c>
      <c r="F25" s="1190"/>
      <c r="G25" s="1022" t="s">
        <v>580</v>
      </c>
      <c r="H25" s="1028"/>
      <c r="I25" s="1313"/>
      <c r="J25" s="1242"/>
      <c r="K25" s="43"/>
      <c r="L25" s="44"/>
      <c r="M25" s="3"/>
      <c r="N25" s="4"/>
      <c r="O25" s="37"/>
      <c r="P25" s="38"/>
    </row>
    <row r="26" spans="1:16" s="24" customFormat="1" ht="30" customHeight="1" x14ac:dyDescent="0.2">
      <c r="A26" s="4"/>
      <c r="B26" s="1310"/>
      <c r="C26" s="1046" t="s">
        <v>581</v>
      </c>
      <c r="D26" s="1022"/>
      <c r="E26" s="1190" t="s">
        <v>582</v>
      </c>
      <c r="F26" s="1190"/>
      <c r="G26" s="1190"/>
      <c r="H26" s="1212"/>
      <c r="I26" s="1313"/>
      <c r="J26" s="1242"/>
      <c r="K26" s="43"/>
      <c r="L26" s="44"/>
      <c r="M26" s="3"/>
      <c r="N26" s="4"/>
      <c r="O26" s="37"/>
      <c r="P26" s="38"/>
    </row>
    <row r="27" spans="1:16" s="24" customFormat="1" ht="30" customHeight="1" x14ac:dyDescent="0.2">
      <c r="A27" s="4"/>
      <c r="B27" s="1310"/>
      <c r="C27" s="1218" t="s">
        <v>98</v>
      </c>
      <c r="D27" s="1180"/>
      <c r="E27" s="1180"/>
      <c r="F27" s="1180"/>
      <c r="G27" s="1180"/>
      <c r="H27" s="1227"/>
      <c r="I27" s="1313"/>
      <c r="J27" s="1242"/>
      <c r="K27" s="43"/>
      <c r="L27" s="44"/>
      <c r="M27" s="3"/>
      <c r="N27" s="4"/>
      <c r="O27" s="37"/>
      <c r="P27" s="38"/>
    </row>
    <row r="28" spans="1:16" s="24" customFormat="1" ht="30" customHeight="1" x14ac:dyDescent="0.2">
      <c r="A28" s="4"/>
      <c r="B28" s="1311"/>
      <c r="C28" s="1306" t="s">
        <v>583</v>
      </c>
      <c r="D28" s="1307"/>
      <c r="E28" s="1307"/>
      <c r="F28" s="1307"/>
      <c r="G28" s="1307"/>
      <c r="H28" s="1308"/>
      <c r="I28" s="1314"/>
      <c r="J28" s="1243"/>
      <c r="K28" s="43"/>
      <c r="L28" s="44"/>
      <c r="M28" s="3"/>
      <c r="N28" s="4"/>
      <c r="O28" s="37"/>
      <c r="P28" s="38"/>
    </row>
    <row r="29" spans="1:16" s="324" customFormat="1" ht="30" customHeight="1" x14ac:dyDescent="0.2">
      <c r="A29" s="4"/>
      <c r="B29" s="1408" t="s">
        <v>584</v>
      </c>
      <c r="C29" s="1476" t="s">
        <v>585</v>
      </c>
      <c r="D29" s="1477"/>
      <c r="E29" s="1462" t="s">
        <v>138</v>
      </c>
      <c r="F29" s="1462"/>
      <c r="G29" s="859" t="s">
        <v>586</v>
      </c>
      <c r="H29" s="860"/>
      <c r="I29" s="1239">
        <v>50</v>
      </c>
      <c r="J29" s="1241">
        <v>0.85</v>
      </c>
      <c r="K29" s="43" t="s">
        <v>584</v>
      </c>
      <c r="L29" s="44" t="s">
        <v>25</v>
      </c>
      <c r="M29" s="323"/>
      <c r="N29" s="46" t="s">
        <v>30</v>
      </c>
      <c r="O29" s="37">
        <v>1</v>
      </c>
      <c r="P29" s="38" t="s">
        <v>20</v>
      </c>
    </row>
    <row r="30" spans="1:16" s="324" customFormat="1" ht="30" customHeight="1" x14ac:dyDescent="0.2">
      <c r="A30" s="4"/>
      <c r="B30" s="1471"/>
      <c r="C30" s="1504" t="s">
        <v>587</v>
      </c>
      <c r="D30" s="1504"/>
      <c r="E30" s="1504" t="s">
        <v>588</v>
      </c>
      <c r="F30" s="1504"/>
      <c r="G30" s="1504" t="s">
        <v>589</v>
      </c>
      <c r="H30" s="1505"/>
      <c r="I30" s="1240"/>
      <c r="J30" s="1242"/>
      <c r="K30" s="43" t="s">
        <v>584</v>
      </c>
      <c r="L30" s="44" t="s">
        <v>25</v>
      </c>
      <c r="M30" s="323"/>
      <c r="O30" s="37">
        <v>1</v>
      </c>
      <c r="P30" s="38" t="s">
        <v>20</v>
      </c>
    </row>
    <row r="31" spans="1:16" s="324" customFormat="1" ht="30" customHeight="1" x14ac:dyDescent="0.2">
      <c r="A31" s="37" t="s">
        <v>97</v>
      </c>
      <c r="B31" s="1471"/>
      <c r="C31" s="1452" t="s">
        <v>98</v>
      </c>
      <c r="D31" s="1506"/>
      <c r="E31" s="1506"/>
      <c r="F31" s="1506"/>
      <c r="G31" s="1506"/>
      <c r="H31" s="1507"/>
      <c r="I31" s="1240"/>
      <c r="J31" s="1242"/>
      <c r="K31" s="43" t="s">
        <v>584</v>
      </c>
      <c r="L31" s="44" t="s">
        <v>25</v>
      </c>
      <c r="M31" s="323"/>
      <c r="O31" s="37">
        <v>1</v>
      </c>
      <c r="P31" s="38" t="s">
        <v>20</v>
      </c>
    </row>
    <row r="32" spans="1:16" s="324" customFormat="1" ht="30" customHeight="1" x14ac:dyDescent="0.2">
      <c r="A32" s="37" t="s">
        <v>97</v>
      </c>
      <c r="B32" s="1471"/>
      <c r="C32" s="1452" t="s">
        <v>590</v>
      </c>
      <c r="D32" s="1192"/>
      <c r="E32" s="1192"/>
      <c r="F32" s="1192"/>
      <c r="G32" s="1192"/>
      <c r="H32" s="1215"/>
      <c r="I32" s="1240"/>
      <c r="J32" s="1242"/>
      <c r="K32" s="43" t="s">
        <v>584</v>
      </c>
      <c r="L32" s="44" t="s">
        <v>25</v>
      </c>
      <c r="M32" s="323"/>
      <c r="O32" s="37">
        <v>1</v>
      </c>
      <c r="P32" s="38" t="s">
        <v>20</v>
      </c>
    </row>
    <row r="33" spans="1:16" ht="39.950000000000003" customHeight="1" x14ac:dyDescent="0.2">
      <c r="A33" s="18"/>
      <c r="B33" s="1497" t="s">
        <v>591</v>
      </c>
      <c r="C33" s="1499" t="s">
        <v>592</v>
      </c>
      <c r="D33" s="1499"/>
      <c r="E33" s="1499" t="s">
        <v>176</v>
      </c>
      <c r="F33" s="1499"/>
      <c r="G33" s="1499" t="s">
        <v>593</v>
      </c>
      <c r="H33" s="1499"/>
      <c r="I33" s="1500">
        <v>80</v>
      </c>
      <c r="J33" s="1502">
        <v>0.75</v>
      </c>
      <c r="K33" s="43" t="s">
        <v>591</v>
      </c>
      <c r="L33" s="44" t="s">
        <v>25</v>
      </c>
      <c r="M33" s="18"/>
      <c r="N33" s="46" t="s">
        <v>30</v>
      </c>
      <c r="O33" s="37">
        <v>1</v>
      </c>
      <c r="P33" s="38" t="s">
        <v>20</v>
      </c>
    </row>
    <row r="34" spans="1:16" ht="39.950000000000003" customHeight="1" x14ac:dyDescent="0.2">
      <c r="A34" s="18"/>
      <c r="B34" s="1498"/>
      <c r="C34" s="1213" t="s">
        <v>594</v>
      </c>
      <c r="D34" s="1213"/>
      <c r="E34" s="166"/>
      <c r="F34" s="166"/>
      <c r="G34" s="166"/>
      <c r="H34" s="166"/>
      <c r="I34" s="1501"/>
      <c r="J34" s="1503"/>
      <c r="K34" s="43" t="s">
        <v>591</v>
      </c>
      <c r="L34" s="44" t="s">
        <v>25</v>
      </c>
      <c r="M34" s="18"/>
      <c r="N34" s="4"/>
      <c r="O34" s="37">
        <v>1</v>
      </c>
      <c r="P34" s="38" t="s">
        <v>20</v>
      </c>
    </row>
    <row r="35" spans="1:16" s="324" customFormat="1" ht="30" customHeight="1" x14ac:dyDescent="0.2">
      <c r="A35" s="4"/>
      <c r="B35" s="1408" t="s">
        <v>595</v>
      </c>
      <c r="C35" s="1410" t="s">
        <v>596</v>
      </c>
      <c r="D35" s="1411"/>
      <c r="E35" s="1195" t="s">
        <v>597</v>
      </c>
      <c r="F35" s="1195"/>
      <c r="G35" s="1412" t="s">
        <v>598</v>
      </c>
      <c r="H35" s="1413"/>
      <c r="I35" s="1397">
        <v>55</v>
      </c>
      <c r="J35" s="1474">
        <v>0.85</v>
      </c>
      <c r="K35" s="43" t="s">
        <v>571</v>
      </c>
      <c r="L35" s="44" t="s">
        <v>25</v>
      </c>
      <c r="M35" s="323"/>
      <c r="N35" s="46" t="s">
        <v>30</v>
      </c>
      <c r="O35" s="37">
        <v>1</v>
      </c>
      <c r="P35" s="38" t="s">
        <v>20</v>
      </c>
    </row>
    <row r="36" spans="1:16" s="324" customFormat="1" ht="30" customHeight="1" x14ac:dyDescent="0.2">
      <c r="A36" s="4"/>
      <c r="B36" s="1409"/>
      <c r="C36" s="1399" t="s">
        <v>599</v>
      </c>
      <c r="D36" s="1400"/>
      <c r="E36" s="1400" t="s">
        <v>600</v>
      </c>
      <c r="F36" s="1400"/>
      <c r="G36" s="325"/>
      <c r="H36" s="326"/>
      <c r="I36" s="1398"/>
      <c r="J36" s="1475"/>
      <c r="K36" s="43" t="s">
        <v>571</v>
      </c>
      <c r="L36" s="44" t="s">
        <v>25</v>
      </c>
      <c r="M36" s="323"/>
      <c r="O36" s="37">
        <v>1</v>
      </c>
      <c r="P36" s="38" t="s">
        <v>20</v>
      </c>
    </row>
    <row r="37" spans="1:16" ht="39.950000000000003" customHeight="1" x14ac:dyDescent="0.2">
      <c r="B37" s="327" t="s">
        <v>601</v>
      </c>
      <c r="C37" s="1063" t="s">
        <v>602</v>
      </c>
      <c r="D37" s="1063"/>
      <c r="E37" s="1063"/>
      <c r="F37" s="1063"/>
      <c r="G37" s="1063"/>
      <c r="H37" s="1063"/>
      <c r="I37" s="328">
        <v>35</v>
      </c>
      <c r="J37" s="329">
        <v>0.9</v>
      </c>
      <c r="K37" s="43" t="s">
        <v>601</v>
      </c>
      <c r="L37" s="44" t="s">
        <v>25</v>
      </c>
      <c r="N37" s="46" t="s">
        <v>30</v>
      </c>
      <c r="O37" s="37">
        <v>1</v>
      </c>
      <c r="P37" s="38" t="s">
        <v>20</v>
      </c>
    </row>
    <row r="38" spans="1:16" s="24" customFormat="1" ht="39.950000000000003" customHeight="1" x14ac:dyDescent="0.2">
      <c r="A38" s="23"/>
      <c r="B38" s="96" t="s">
        <v>603</v>
      </c>
      <c r="C38" s="1063" t="s">
        <v>604</v>
      </c>
      <c r="D38" s="1063"/>
      <c r="E38" s="1063"/>
      <c r="F38" s="1063"/>
      <c r="G38" s="1063"/>
      <c r="H38" s="1063"/>
      <c r="I38" s="328">
        <v>55</v>
      </c>
      <c r="J38" s="329">
        <v>0.85</v>
      </c>
      <c r="K38" s="43" t="s">
        <v>603</v>
      </c>
      <c r="L38" s="44" t="s">
        <v>25</v>
      </c>
      <c r="M38" s="23"/>
      <c r="N38" s="46" t="s">
        <v>30</v>
      </c>
      <c r="O38" s="37">
        <v>1</v>
      </c>
      <c r="P38" s="38" t="s">
        <v>20</v>
      </c>
    </row>
    <row r="39" spans="1:16" s="24" customFormat="1" ht="20.100000000000001" customHeight="1" x14ac:dyDescent="0.2">
      <c r="A39" s="23"/>
      <c r="B39" s="76"/>
      <c r="C39" s="85"/>
      <c r="D39" s="85"/>
      <c r="E39" s="85"/>
      <c r="F39" s="85"/>
      <c r="G39" s="85"/>
      <c r="H39" s="85"/>
      <c r="I39" s="141"/>
      <c r="J39" s="330"/>
      <c r="K39" s="18"/>
      <c r="L39" s="58"/>
      <c r="M39" s="23"/>
      <c r="N39" s="4"/>
      <c r="O39" s="4"/>
      <c r="P39" s="59"/>
    </row>
    <row r="40" spans="1:16" s="24" customFormat="1" ht="30" customHeight="1" x14ac:dyDescent="0.2">
      <c r="A40" s="23"/>
      <c r="B40" s="904" t="s">
        <v>129</v>
      </c>
      <c r="C40" s="1274"/>
      <c r="D40" s="1274"/>
      <c r="E40" s="1274"/>
      <c r="F40" s="1274"/>
      <c r="G40" s="1274"/>
      <c r="H40" s="1275"/>
      <c r="I40" s="34" t="s">
        <v>130</v>
      </c>
      <c r="J40" s="254" t="s">
        <v>18</v>
      </c>
      <c r="K40" s="18"/>
      <c r="L40" s="58"/>
      <c r="M40" s="23"/>
      <c r="N40" s="46" t="s">
        <v>30</v>
      </c>
      <c r="O40" s="4"/>
      <c r="P40" s="59"/>
    </row>
    <row r="41" spans="1:16" s="24" customFormat="1" ht="35.25" customHeight="1" x14ac:dyDescent="0.2">
      <c r="A41" s="23"/>
      <c r="B41" s="1120" t="s">
        <v>605</v>
      </c>
      <c r="C41" s="1410" t="s">
        <v>592</v>
      </c>
      <c r="D41" s="1411"/>
      <c r="E41" s="1412" t="s">
        <v>606</v>
      </c>
      <c r="F41" s="1492"/>
      <c r="G41" s="331"/>
      <c r="H41" s="332"/>
      <c r="I41" s="1490">
        <v>0</v>
      </c>
      <c r="J41" s="1469">
        <v>0.6</v>
      </c>
      <c r="K41" s="18"/>
      <c r="L41" s="58"/>
      <c r="M41" s="23"/>
      <c r="N41" s="23"/>
      <c r="O41" s="4"/>
      <c r="P41" s="59"/>
    </row>
    <row r="42" spans="1:16" s="24" customFormat="1" ht="30" customHeight="1" x14ac:dyDescent="0.2">
      <c r="A42" s="23"/>
      <c r="B42" s="1122"/>
      <c r="C42" s="130" t="s">
        <v>607</v>
      </c>
      <c r="D42" s="333"/>
      <c r="E42" s="333"/>
      <c r="F42" s="333"/>
      <c r="G42" s="333"/>
      <c r="H42" s="334"/>
      <c r="I42" s="1491"/>
      <c r="J42" s="1470"/>
      <c r="K42" s="18"/>
      <c r="L42" s="58"/>
      <c r="M42" s="23"/>
      <c r="N42"/>
      <c r="O42" s="4"/>
      <c r="P42" s="59"/>
    </row>
    <row r="43" spans="1:16" s="24" customFormat="1" ht="50.1" customHeight="1" x14ac:dyDescent="0.2">
      <c r="A43" s="263"/>
      <c r="B43" s="96" t="s">
        <v>608</v>
      </c>
      <c r="C43" s="1486" t="s">
        <v>609</v>
      </c>
      <c r="D43" s="1486"/>
      <c r="E43" s="1486"/>
      <c r="F43" s="1486"/>
      <c r="G43" s="1486"/>
      <c r="H43" s="1486"/>
      <c r="I43" s="335">
        <v>0</v>
      </c>
      <c r="J43" s="97">
        <v>0.7</v>
      </c>
      <c r="K43" s="18"/>
      <c r="L43" s="58"/>
      <c r="M43" s="23"/>
      <c r="N43" s="46" t="s">
        <v>30</v>
      </c>
      <c r="O43" s="4"/>
      <c r="P43" s="59"/>
    </row>
    <row r="44" spans="1:16" s="24" customFormat="1" ht="20.100000000000001" customHeight="1" x14ac:dyDescent="0.2">
      <c r="A44" s="23"/>
      <c r="B44" s="76"/>
      <c r="C44" s="85"/>
      <c r="D44" s="85"/>
      <c r="E44" s="85"/>
      <c r="F44" s="85"/>
      <c r="G44" s="85"/>
      <c r="H44" s="85"/>
      <c r="I44" s="336"/>
      <c r="J44" s="337"/>
      <c r="K44" s="18"/>
      <c r="L44" s="58"/>
      <c r="M44" s="23"/>
      <c r="N44" s="4"/>
      <c r="O44" s="4"/>
      <c r="P44" s="59"/>
    </row>
    <row r="45" spans="1:16" s="24" customFormat="1" ht="30" customHeight="1" x14ac:dyDescent="0.2">
      <c r="A45" s="23"/>
      <c r="B45" s="1159" t="s">
        <v>142</v>
      </c>
      <c r="C45" s="1274"/>
      <c r="D45" s="1274"/>
      <c r="E45" s="1274"/>
      <c r="F45" s="1274"/>
      <c r="G45" s="1274"/>
      <c r="H45" s="1275"/>
      <c r="I45" s="34" t="s">
        <v>130</v>
      </c>
      <c r="J45" s="254" t="s">
        <v>18</v>
      </c>
      <c r="K45" s="18"/>
      <c r="L45" s="58"/>
      <c r="M45" s="23"/>
      <c r="N45" s="46" t="s">
        <v>30</v>
      </c>
      <c r="O45" s="4"/>
      <c r="P45" s="59"/>
    </row>
    <row r="46" spans="1:16" s="24" customFormat="1" ht="39.950000000000003" customHeight="1" x14ac:dyDescent="0.2">
      <c r="A46" s="23"/>
      <c r="B46" s="1120" t="s">
        <v>610</v>
      </c>
      <c r="C46" s="1410" t="s">
        <v>611</v>
      </c>
      <c r="D46" s="1411"/>
      <c r="E46" s="1412" t="s">
        <v>612</v>
      </c>
      <c r="F46" s="1492"/>
      <c r="G46" s="1493"/>
      <c r="H46" s="1494"/>
      <c r="I46" s="1490">
        <v>0</v>
      </c>
      <c r="J46" s="1469">
        <v>0.7</v>
      </c>
      <c r="K46" s="18"/>
      <c r="L46" s="58"/>
      <c r="M46" s="23"/>
      <c r="N46" s="58"/>
      <c r="O46" s="4"/>
      <c r="P46" s="59"/>
    </row>
    <row r="47" spans="1:16" s="24" customFormat="1" ht="30" customHeight="1" x14ac:dyDescent="0.2">
      <c r="A47" s="23"/>
      <c r="B47" s="1121"/>
      <c r="C47" s="1133" t="s">
        <v>514</v>
      </c>
      <c r="D47" s="1132"/>
      <c r="E47" s="1132"/>
      <c r="F47" s="1132"/>
      <c r="G47" s="1132"/>
      <c r="H47" s="1134"/>
      <c r="I47" s="1495"/>
      <c r="J47" s="1496"/>
      <c r="K47" s="18"/>
      <c r="L47" s="58"/>
      <c r="M47" s="23"/>
      <c r="N47" s="4"/>
      <c r="O47" s="4"/>
      <c r="P47" s="59"/>
    </row>
    <row r="48" spans="1:16" s="24" customFormat="1" ht="30" customHeight="1" x14ac:dyDescent="0.2">
      <c r="A48" s="23"/>
      <c r="B48" s="1122"/>
      <c r="C48" s="1483" t="s">
        <v>613</v>
      </c>
      <c r="D48" s="1484"/>
      <c r="E48" s="1484"/>
      <c r="F48" s="1484"/>
      <c r="G48" s="1484"/>
      <c r="H48" s="1485"/>
      <c r="I48" s="1491"/>
      <c r="J48" s="1470"/>
      <c r="K48" s="18"/>
      <c r="L48" s="58"/>
      <c r="M48" s="23"/>
      <c r="N48" s="4"/>
      <c r="O48" s="4"/>
      <c r="P48" s="59"/>
    </row>
    <row r="49" spans="1:16" s="24" customFormat="1" ht="52.5" customHeight="1" x14ac:dyDescent="0.2">
      <c r="A49" s="23"/>
      <c r="B49" s="338" t="s">
        <v>608</v>
      </c>
      <c r="C49" s="1486" t="s">
        <v>614</v>
      </c>
      <c r="D49" s="1486"/>
      <c r="E49" s="1486"/>
      <c r="F49" s="1486"/>
      <c r="G49" s="1486"/>
      <c r="H49" s="1486"/>
      <c r="I49" s="339">
        <v>0</v>
      </c>
      <c r="J49" s="340">
        <v>0.7</v>
      </c>
      <c r="K49" s="18"/>
      <c r="L49" s="58"/>
      <c r="M49" s="23"/>
      <c r="N49" s="46" t="s">
        <v>30</v>
      </c>
      <c r="O49" s="4"/>
      <c r="P49" s="59"/>
    </row>
    <row r="50" spans="1:16" s="24" customFormat="1" ht="20.100000000000001" customHeight="1" x14ac:dyDescent="0.2">
      <c r="A50" s="23"/>
      <c r="B50" s="76"/>
      <c r="C50" s="85"/>
      <c r="D50" s="85"/>
      <c r="E50" s="85"/>
      <c r="F50" s="85"/>
      <c r="G50" s="85"/>
      <c r="H50" s="85"/>
      <c r="I50" s="141"/>
      <c r="J50" s="330"/>
      <c r="K50" s="18"/>
      <c r="L50" s="58"/>
      <c r="M50" s="23"/>
      <c r="O50" s="4"/>
      <c r="P50" s="59"/>
    </row>
    <row r="51" spans="1:16" ht="30" customHeight="1" x14ac:dyDescent="0.2">
      <c r="B51" s="1223" t="s">
        <v>155</v>
      </c>
      <c r="C51" s="1223"/>
      <c r="D51" s="1223"/>
      <c r="E51" s="1223"/>
      <c r="F51" s="1223"/>
      <c r="G51" s="1223"/>
      <c r="H51" s="1223"/>
      <c r="I51" s="34" t="s">
        <v>17</v>
      </c>
      <c r="J51" s="254" t="s">
        <v>18</v>
      </c>
      <c r="K51" s="36" t="s">
        <v>156</v>
      </c>
      <c r="L51" s="37">
        <v>7</v>
      </c>
      <c r="N51" s="46" t="s">
        <v>30</v>
      </c>
      <c r="O51" s="37">
        <v>7</v>
      </c>
      <c r="P51" s="38" t="s">
        <v>157</v>
      </c>
    </row>
    <row r="52" spans="1:16" ht="30" customHeight="1" x14ac:dyDescent="0.2">
      <c r="B52" s="1395" t="s">
        <v>566</v>
      </c>
      <c r="C52" s="1395"/>
      <c r="D52" s="1395"/>
      <c r="E52" s="1395"/>
      <c r="F52" s="1395"/>
      <c r="G52" s="1395"/>
      <c r="H52" s="1395"/>
      <c r="I52" s="1395"/>
      <c r="J52" s="1395"/>
      <c r="O52" s="37">
        <v>7</v>
      </c>
      <c r="P52" s="38" t="s">
        <v>157</v>
      </c>
    </row>
    <row r="53" spans="1:16" ht="54.95" customHeight="1" x14ac:dyDescent="0.2">
      <c r="A53" s="49"/>
      <c r="B53" s="96" t="s">
        <v>615</v>
      </c>
      <c r="C53" s="1487" t="s">
        <v>616</v>
      </c>
      <c r="D53" s="1488"/>
      <c r="E53" s="1488"/>
      <c r="F53" s="1488"/>
      <c r="G53" s="1488"/>
      <c r="H53" s="1489"/>
      <c r="I53" s="341">
        <v>50</v>
      </c>
      <c r="J53" s="271">
        <v>0.8</v>
      </c>
      <c r="K53" s="101" t="s">
        <v>617</v>
      </c>
      <c r="L53" s="342" t="s">
        <v>618</v>
      </c>
      <c r="M53" s="18"/>
      <c r="O53" s="37">
        <v>7</v>
      </c>
      <c r="P53" s="38" t="s">
        <v>157</v>
      </c>
    </row>
    <row r="54" spans="1:16" ht="20.100000000000001" customHeight="1" x14ac:dyDescent="0.2">
      <c r="A54" s="23"/>
      <c r="B54" s="31"/>
      <c r="C54" s="31"/>
      <c r="D54" s="31"/>
      <c r="E54" s="31"/>
      <c r="F54" s="31"/>
      <c r="G54" s="31"/>
      <c r="H54" s="31"/>
      <c r="I54" s="32"/>
      <c r="J54" s="31"/>
    </row>
    <row r="55" spans="1:16" ht="30" customHeight="1" x14ac:dyDescent="0.2">
      <c r="B55" s="1223" t="s">
        <v>185</v>
      </c>
      <c r="C55" s="1223"/>
      <c r="D55" s="1223"/>
      <c r="E55" s="1223"/>
      <c r="F55" s="1223"/>
      <c r="G55" s="1223"/>
      <c r="H55" s="1223"/>
      <c r="I55" s="34" t="s">
        <v>229</v>
      </c>
      <c r="J55" s="254" t="s">
        <v>18</v>
      </c>
      <c r="K55" s="36" t="s">
        <v>186</v>
      </c>
      <c r="L55" s="37">
        <v>8</v>
      </c>
      <c r="N55" s="46" t="s">
        <v>30</v>
      </c>
      <c r="O55" s="37">
        <v>8</v>
      </c>
      <c r="P55" s="38" t="s">
        <v>187</v>
      </c>
    </row>
    <row r="56" spans="1:16" ht="30" customHeight="1" x14ac:dyDescent="0.2">
      <c r="B56" s="1268" t="s">
        <v>566</v>
      </c>
      <c r="C56" s="1478"/>
      <c r="D56" s="1478"/>
      <c r="E56" s="1478"/>
      <c r="F56" s="1478"/>
      <c r="G56" s="1478"/>
      <c r="H56" s="1478"/>
      <c r="I56" s="1268"/>
      <c r="J56" s="1268"/>
      <c r="O56" s="37">
        <v>8</v>
      </c>
      <c r="P56" s="38" t="s">
        <v>187</v>
      </c>
    </row>
    <row r="57" spans="1:16" s="24" customFormat="1" ht="39.75" customHeight="1" x14ac:dyDescent="0.2">
      <c r="A57" s="18"/>
      <c r="B57" s="1479" t="s">
        <v>619</v>
      </c>
      <c r="C57" s="1214" t="s">
        <v>134</v>
      </c>
      <c r="D57" s="1195"/>
      <c r="E57" s="1195" t="s">
        <v>570</v>
      </c>
      <c r="F57" s="1195"/>
      <c r="G57" s="1195" t="s">
        <v>569</v>
      </c>
      <c r="H57" s="1226"/>
      <c r="I57" s="1480">
        <v>45</v>
      </c>
      <c r="J57" s="1225">
        <v>0.85</v>
      </c>
      <c r="K57" s="118" t="s">
        <v>567</v>
      </c>
      <c r="L57" s="117" t="s">
        <v>190</v>
      </c>
      <c r="M57" s="79"/>
      <c r="N57" s="46" t="s">
        <v>30</v>
      </c>
      <c r="O57" s="37">
        <v>8</v>
      </c>
      <c r="P57" s="38" t="s">
        <v>187</v>
      </c>
    </row>
    <row r="58" spans="1:16" s="24" customFormat="1" ht="39.75" customHeight="1" x14ac:dyDescent="0.2">
      <c r="A58" s="18"/>
      <c r="B58" s="1479"/>
      <c r="C58" s="1481" t="s">
        <v>620</v>
      </c>
      <c r="D58" s="1482"/>
      <c r="E58" s="1482" t="s">
        <v>621</v>
      </c>
      <c r="F58" s="1482"/>
      <c r="G58" s="1022" t="s">
        <v>622</v>
      </c>
      <c r="H58" s="1028"/>
      <c r="I58" s="1480"/>
      <c r="J58" s="1225"/>
      <c r="K58" s="118" t="s">
        <v>567</v>
      </c>
      <c r="L58" s="117" t="s">
        <v>190</v>
      </c>
      <c r="M58" s="79"/>
      <c r="N58" s="343"/>
      <c r="O58" s="37">
        <v>8</v>
      </c>
      <c r="P58" s="38" t="s">
        <v>187</v>
      </c>
    </row>
    <row r="59" spans="1:16" s="24" customFormat="1" ht="39.75" customHeight="1" x14ac:dyDescent="0.2">
      <c r="A59" s="18"/>
      <c r="B59" s="1479"/>
      <c r="C59" s="1206" t="s">
        <v>568</v>
      </c>
      <c r="D59" s="1207"/>
      <c r="E59" s="1207"/>
      <c r="F59" s="1207"/>
      <c r="G59" s="344"/>
      <c r="H59" s="345"/>
      <c r="I59" s="1480"/>
      <c r="J59" s="1225"/>
      <c r="K59" s="118" t="s">
        <v>567</v>
      </c>
      <c r="L59" s="117" t="s">
        <v>190</v>
      </c>
      <c r="M59" s="79"/>
      <c r="N59" s="343"/>
      <c r="O59" s="37">
        <v>8</v>
      </c>
      <c r="P59" s="38" t="s">
        <v>187</v>
      </c>
    </row>
    <row r="60" spans="1:16" s="24" customFormat="1" ht="39.75" customHeight="1" x14ac:dyDescent="0.2">
      <c r="A60" s="18"/>
      <c r="B60" s="1120" t="s">
        <v>623</v>
      </c>
      <c r="C60" s="1214" t="s">
        <v>572</v>
      </c>
      <c r="D60" s="1195"/>
      <c r="E60" s="1015" t="s">
        <v>378</v>
      </c>
      <c r="F60" s="1015"/>
      <c r="G60" s="1204" t="s">
        <v>342</v>
      </c>
      <c r="H60" s="1205"/>
      <c r="I60" s="1042">
        <v>40</v>
      </c>
      <c r="J60" s="915">
        <v>0.85</v>
      </c>
      <c r="K60" s="118"/>
      <c r="L60" s="117"/>
      <c r="M60" s="79"/>
      <c r="N60" s="343"/>
      <c r="O60" s="37"/>
      <c r="P60" s="38"/>
    </row>
    <row r="61" spans="1:16" s="24" customFormat="1" ht="39.75" customHeight="1" x14ac:dyDescent="0.2">
      <c r="A61" s="18"/>
      <c r="B61" s="1121"/>
      <c r="C61" s="1211" t="s">
        <v>573</v>
      </c>
      <c r="D61" s="1190"/>
      <c r="E61" s="1190" t="s">
        <v>574</v>
      </c>
      <c r="F61" s="1190"/>
      <c r="G61" s="1022" t="s">
        <v>402</v>
      </c>
      <c r="H61" s="1028"/>
      <c r="I61" s="1043"/>
      <c r="J61" s="1045"/>
      <c r="K61" s="118"/>
      <c r="L61" s="117"/>
      <c r="M61" s="79"/>
      <c r="N61" s="343"/>
      <c r="O61" s="37"/>
      <c r="P61" s="38"/>
    </row>
    <row r="62" spans="1:16" s="24" customFormat="1" ht="39.75" customHeight="1" x14ac:dyDescent="0.2">
      <c r="A62" s="18"/>
      <c r="B62" s="1121"/>
      <c r="C62" s="1211" t="s">
        <v>576</v>
      </c>
      <c r="D62" s="1190"/>
      <c r="E62" s="1190" t="s">
        <v>577</v>
      </c>
      <c r="F62" s="1190"/>
      <c r="G62" s="1190" t="s">
        <v>624</v>
      </c>
      <c r="H62" s="1212"/>
      <c r="I62" s="1043"/>
      <c r="J62" s="1045"/>
      <c r="K62" s="118"/>
      <c r="L62" s="117"/>
      <c r="M62" s="79"/>
      <c r="N62" s="343"/>
      <c r="O62" s="37"/>
      <c r="P62" s="38"/>
    </row>
    <row r="63" spans="1:16" s="24" customFormat="1" ht="39.75" customHeight="1" x14ac:dyDescent="0.2">
      <c r="A63" s="18"/>
      <c r="B63" s="1121"/>
      <c r="C63" s="1211" t="s">
        <v>579</v>
      </c>
      <c r="D63" s="1190"/>
      <c r="E63" s="1190" t="s">
        <v>578</v>
      </c>
      <c r="F63" s="1190"/>
      <c r="G63" s="1190" t="s">
        <v>580</v>
      </c>
      <c r="H63" s="1212"/>
      <c r="I63" s="1043"/>
      <c r="J63" s="1045"/>
      <c r="K63" s="118"/>
      <c r="L63" s="117"/>
      <c r="M63" s="79"/>
      <c r="N63" s="343"/>
      <c r="O63" s="37"/>
      <c r="P63" s="38"/>
    </row>
    <row r="64" spans="1:16" s="24" customFormat="1" ht="39.75" customHeight="1" x14ac:dyDescent="0.2">
      <c r="A64" s="18"/>
      <c r="B64" s="1122"/>
      <c r="C64" s="1211" t="s">
        <v>581</v>
      </c>
      <c r="D64" s="1190"/>
      <c r="E64" s="1180"/>
      <c r="F64" s="1180"/>
      <c r="G64" s="1022"/>
      <c r="H64" s="1028"/>
      <c r="I64" s="1043"/>
      <c r="J64" s="1045"/>
      <c r="K64" s="118"/>
      <c r="L64" s="117"/>
      <c r="M64" s="79"/>
      <c r="N64" s="343"/>
      <c r="O64" s="37"/>
      <c r="P64" s="38"/>
    </row>
    <row r="65" spans="1:16" ht="39.950000000000003" customHeight="1" x14ac:dyDescent="0.2">
      <c r="B65" s="1309" t="s">
        <v>625</v>
      </c>
      <c r="C65" s="1476" t="s">
        <v>585</v>
      </c>
      <c r="D65" s="1477"/>
      <c r="E65" s="1195" t="s">
        <v>587</v>
      </c>
      <c r="F65" s="1195"/>
      <c r="G65" s="1195" t="s">
        <v>588</v>
      </c>
      <c r="H65" s="1226"/>
      <c r="I65" s="1042">
        <v>50</v>
      </c>
      <c r="J65" s="1175">
        <v>0.85</v>
      </c>
      <c r="K65" s="118" t="s">
        <v>584</v>
      </c>
      <c r="L65" s="117" t="s">
        <v>190</v>
      </c>
      <c r="O65" s="37">
        <v>8</v>
      </c>
      <c r="P65" s="38" t="s">
        <v>187</v>
      </c>
    </row>
    <row r="66" spans="1:16" ht="30" customHeight="1" x14ac:dyDescent="0.2">
      <c r="B66" s="1310"/>
      <c r="C66" s="1206" t="s">
        <v>586</v>
      </c>
      <c r="D66" s="1207"/>
      <c r="E66" s="50"/>
      <c r="F66" s="50"/>
      <c r="G66" s="50"/>
      <c r="H66" s="124"/>
      <c r="I66" s="1043"/>
      <c r="J66" s="1179"/>
      <c r="K66" s="118" t="s">
        <v>584</v>
      </c>
      <c r="L66" s="117" t="s">
        <v>190</v>
      </c>
      <c r="O66" s="37">
        <v>8</v>
      </c>
      <c r="P66" s="38" t="s">
        <v>187</v>
      </c>
    </row>
    <row r="67" spans="1:16" ht="37.5" customHeight="1" x14ac:dyDescent="0.2">
      <c r="A67" s="18"/>
      <c r="B67" s="1236" t="s">
        <v>626</v>
      </c>
      <c r="C67" s="1461" t="s">
        <v>592</v>
      </c>
      <c r="D67" s="1462"/>
      <c r="E67" s="1462" t="s">
        <v>176</v>
      </c>
      <c r="F67" s="1462"/>
      <c r="G67" s="1462" t="s">
        <v>593</v>
      </c>
      <c r="H67" s="1463"/>
      <c r="I67" s="1446">
        <v>80</v>
      </c>
      <c r="J67" s="1449">
        <v>0.75</v>
      </c>
      <c r="K67" s="118" t="s">
        <v>591</v>
      </c>
      <c r="L67" s="117" t="s">
        <v>190</v>
      </c>
      <c r="M67" s="18"/>
      <c r="N67" s="46" t="s">
        <v>30</v>
      </c>
      <c r="O67" s="37">
        <v>8</v>
      </c>
      <c r="P67" s="38" t="s">
        <v>187</v>
      </c>
    </row>
    <row r="68" spans="1:16" ht="37.5" customHeight="1" x14ac:dyDescent="0.2">
      <c r="A68" s="18"/>
      <c r="B68" s="1238"/>
      <c r="C68" s="1192" t="s">
        <v>594</v>
      </c>
      <c r="D68" s="1192"/>
      <c r="E68" s="346"/>
      <c r="F68" s="346"/>
      <c r="G68" s="346"/>
      <c r="H68" s="347"/>
      <c r="I68" s="1448"/>
      <c r="J68" s="1451"/>
      <c r="K68" s="118" t="s">
        <v>591</v>
      </c>
      <c r="L68" s="117" t="s">
        <v>190</v>
      </c>
      <c r="M68" s="18"/>
      <c r="N68" s="4"/>
      <c r="O68" s="37">
        <v>8</v>
      </c>
      <c r="P68" s="38" t="s">
        <v>187</v>
      </c>
    </row>
    <row r="69" spans="1:16" s="324" customFormat="1" ht="30" customHeight="1" x14ac:dyDescent="0.2">
      <c r="A69" s="4"/>
      <c r="B69" s="1236" t="s">
        <v>627</v>
      </c>
      <c r="C69" s="1410" t="s">
        <v>596</v>
      </c>
      <c r="D69" s="1411"/>
      <c r="E69" s="1195" t="s">
        <v>597</v>
      </c>
      <c r="F69" s="1195"/>
      <c r="G69" s="1412" t="s">
        <v>598</v>
      </c>
      <c r="H69" s="1413"/>
      <c r="I69" s="1397">
        <v>55</v>
      </c>
      <c r="J69" s="1474">
        <v>0.85</v>
      </c>
      <c r="K69" s="118" t="s">
        <v>571</v>
      </c>
      <c r="L69" s="117" t="s">
        <v>190</v>
      </c>
      <c r="M69" s="323"/>
      <c r="N69" s="46" t="s">
        <v>30</v>
      </c>
      <c r="O69" s="37">
        <v>8</v>
      </c>
      <c r="P69" s="38" t="s">
        <v>187</v>
      </c>
    </row>
    <row r="70" spans="1:16" s="324" customFormat="1" ht="30" customHeight="1" x14ac:dyDescent="0.2">
      <c r="A70" s="4"/>
      <c r="B70" s="1238"/>
      <c r="C70" s="1399" t="s">
        <v>599</v>
      </c>
      <c r="D70" s="1400"/>
      <c r="E70" s="1400" t="s">
        <v>600</v>
      </c>
      <c r="F70" s="1400"/>
      <c r="G70" s="325"/>
      <c r="H70" s="326"/>
      <c r="I70" s="1398"/>
      <c r="J70" s="1475"/>
      <c r="K70" s="118" t="s">
        <v>571</v>
      </c>
      <c r="L70" s="117" t="s">
        <v>190</v>
      </c>
      <c r="M70" s="323"/>
      <c r="N70" s="46"/>
      <c r="O70" s="37">
        <v>8</v>
      </c>
      <c r="P70" s="38" t="s">
        <v>187</v>
      </c>
    </row>
    <row r="71" spans="1:16" ht="39.950000000000003" customHeight="1" x14ac:dyDescent="0.2">
      <c r="B71" s="327" t="s">
        <v>628</v>
      </c>
      <c r="C71" s="1063" t="s">
        <v>602</v>
      </c>
      <c r="D71" s="1063"/>
      <c r="E71" s="1063"/>
      <c r="F71" s="1063"/>
      <c r="G71" s="1063"/>
      <c r="H71" s="1063"/>
      <c r="I71" s="61">
        <v>35</v>
      </c>
      <c r="J71" s="348">
        <v>0.9</v>
      </c>
      <c r="K71" s="118" t="s">
        <v>601</v>
      </c>
      <c r="L71" s="117" t="s">
        <v>190</v>
      </c>
      <c r="N71" s="46" t="s">
        <v>30</v>
      </c>
      <c r="O71" s="37">
        <v>8</v>
      </c>
      <c r="P71" s="38" t="s">
        <v>187</v>
      </c>
    </row>
    <row r="72" spans="1:16" ht="39.950000000000003" customHeight="1" x14ac:dyDescent="0.2">
      <c r="B72" s="327" t="s">
        <v>629</v>
      </c>
      <c r="C72" s="1063" t="s">
        <v>604</v>
      </c>
      <c r="D72" s="1063"/>
      <c r="E72" s="1063"/>
      <c r="F72" s="1063"/>
      <c r="G72" s="1063"/>
      <c r="H72" s="1063"/>
      <c r="I72" s="61">
        <v>55</v>
      </c>
      <c r="J72" s="348">
        <v>0.85</v>
      </c>
      <c r="K72" s="118" t="s">
        <v>603</v>
      </c>
      <c r="L72" s="117" t="s">
        <v>190</v>
      </c>
      <c r="N72" s="46" t="s">
        <v>30</v>
      </c>
      <c r="O72" s="37">
        <v>8</v>
      </c>
      <c r="P72" s="38" t="s">
        <v>187</v>
      </c>
    </row>
    <row r="73" spans="1:16" ht="20.100000000000001" customHeight="1" x14ac:dyDescent="0.2">
      <c r="B73" s="31"/>
      <c r="C73" s="31"/>
      <c r="D73" s="31"/>
      <c r="E73" s="31"/>
      <c r="F73" s="31"/>
      <c r="G73" s="31"/>
      <c r="H73" s="31"/>
      <c r="I73" s="32"/>
      <c r="J73" s="31"/>
    </row>
    <row r="74" spans="1:16" ht="30" customHeight="1" x14ac:dyDescent="0.2">
      <c r="A74" s="23"/>
      <c r="B74" s="1223" t="s">
        <v>240</v>
      </c>
      <c r="C74" s="1223"/>
      <c r="D74" s="1223"/>
      <c r="E74" s="1223"/>
      <c r="F74" s="1223"/>
      <c r="G74" s="1223"/>
      <c r="H74" s="1223"/>
      <c r="I74" s="34" t="s">
        <v>229</v>
      </c>
      <c r="J74" s="254" t="s">
        <v>18</v>
      </c>
      <c r="K74" s="36" t="s">
        <v>242</v>
      </c>
      <c r="L74" s="37">
        <v>10</v>
      </c>
      <c r="N74" s="46" t="s">
        <v>30</v>
      </c>
      <c r="O74" s="37">
        <v>10</v>
      </c>
      <c r="P74" s="38" t="s">
        <v>243</v>
      </c>
    </row>
    <row r="75" spans="1:16" ht="30" customHeight="1" x14ac:dyDescent="0.2">
      <c r="A75" s="23"/>
      <c r="B75" s="1268" t="s">
        <v>630</v>
      </c>
      <c r="C75" s="1268"/>
      <c r="D75" s="1268"/>
      <c r="E75" s="1268"/>
      <c r="F75" s="1268"/>
      <c r="G75" s="1268"/>
      <c r="H75" s="1268"/>
      <c r="I75" s="1268"/>
      <c r="J75" s="1268"/>
      <c r="O75" s="37">
        <v>10</v>
      </c>
      <c r="P75" s="38" t="s">
        <v>243</v>
      </c>
    </row>
    <row r="76" spans="1:16" s="80" customFormat="1" ht="32.25" customHeight="1" x14ac:dyDescent="0.2">
      <c r="A76" s="349"/>
      <c r="B76" s="161" t="s">
        <v>567</v>
      </c>
      <c r="C76" s="1208" t="s">
        <v>134</v>
      </c>
      <c r="D76" s="1209"/>
      <c r="E76" s="1473" t="s">
        <v>631</v>
      </c>
      <c r="F76" s="1473"/>
      <c r="G76" s="1209" t="s">
        <v>95</v>
      </c>
      <c r="H76" s="1210"/>
      <c r="I76" s="61" t="s">
        <v>924</v>
      </c>
      <c r="J76" s="42">
        <v>0.85</v>
      </c>
      <c r="K76" s="43" t="s">
        <v>567</v>
      </c>
      <c r="L76" s="44" t="s">
        <v>246</v>
      </c>
      <c r="M76" s="79"/>
      <c r="N76" s="46" t="s">
        <v>30</v>
      </c>
      <c r="O76" s="37">
        <v>10</v>
      </c>
      <c r="P76" s="38" t="s">
        <v>243</v>
      </c>
    </row>
    <row r="77" spans="1:16" s="80" customFormat="1" ht="30" customHeight="1" x14ac:dyDescent="0.2">
      <c r="A77" s="349"/>
      <c r="B77" s="1004" t="s">
        <v>571</v>
      </c>
      <c r="C77" s="1214" t="s">
        <v>378</v>
      </c>
      <c r="D77" s="1195"/>
      <c r="E77" s="1195" t="s">
        <v>342</v>
      </c>
      <c r="F77" s="1195"/>
      <c r="G77" s="1195" t="s">
        <v>632</v>
      </c>
      <c r="H77" s="1226"/>
      <c r="I77" s="1042" t="s">
        <v>924</v>
      </c>
      <c r="J77" s="915">
        <v>0.8</v>
      </c>
      <c r="K77" s="43"/>
      <c r="L77" s="44"/>
      <c r="M77" s="79"/>
      <c r="N77" s="46"/>
      <c r="O77" s="37"/>
      <c r="P77" s="38"/>
    </row>
    <row r="78" spans="1:16" s="80" customFormat="1" ht="30" customHeight="1" x14ac:dyDescent="0.2">
      <c r="A78" s="349"/>
      <c r="B78" s="1039"/>
      <c r="C78" s="1211" t="s">
        <v>574</v>
      </c>
      <c r="D78" s="1190"/>
      <c r="E78" s="1190" t="s">
        <v>580</v>
      </c>
      <c r="F78" s="1190"/>
      <c r="G78" s="1190" t="s">
        <v>576</v>
      </c>
      <c r="H78" s="1212"/>
      <c r="I78" s="1043"/>
      <c r="J78" s="1045"/>
      <c r="K78" s="43"/>
      <c r="L78" s="44"/>
      <c r="M78" s="79"/>
      <c r="N78" s="46"/>
      <c r="O78" s="37"/>
      <c r="P78" s="38"/>
    </row>
    <row r="79" spans="1:16" s="80" customFormat="1" ht="30" customHeight="1" x14ac:dyDescent="0.2">
      <c r="A79" s="349"/>
      <c r="B79" s="1039"/>
      <c r="C79" s="1211" t="s">
        <v>577</v>
      </c>
      <c r="D79" s="1190"/>
      <c r="E79" s="1190" t="s">
        <v>624</v>
      </c>
      <c r="F79" s="1190"/>
      <c r="G79" s="1190" t="s">
        <v>578</v>
      </c>
      <c r="H79" s="1212"/>
      <c r="I79" s="1043"/>
      <c r="J79" s="1045"/>
      <c r="K79" s="43"/>
      <c r="L79" s="44"/>
      <c r="M79" s="79"/>
      <c r="N79" s="46"/>
      <c r="O79" s="37"/>
      <c r="P79" s="38"/>
    </row>
    <row r="80" spans="1:16" s="80" customFormat="1" ht="30" customHeight="1" x14ac:dyDescent="0.2">
      <c r="A80" s="349"/>
      <c r="B80" s="1039"/>
      <c r="C80" s="1116" t="s">
        <v>402</v>
      </c>
      <c r="D80" s="1034"/>
      <c r="E80" s="1207" t="s">
        <v>581</v>
      </c>
      <c r="F80" s="1207"/>
      <c r="G80" s="1207" t="s">
        <v>579</v>
      </c>
      <c r="H80" s="1222"/>
      <c r="I80" s="1043"/>
      <c r="J80" s="1045"/>
      <c r="K80" s="43"/>
      <c r="L80" s="44"/>
      <c r="M80" s="79"/>
      <c r="N80" s="46"/>
      <c r="O80" s="37"/>
      <c r="P80" s="38"/>
    </row>
    <row r="81" spans="1:16" ht="30" customHeight="1" x14ac:dyDescent="0.2">
      <c r="B81" s="1408" t="s">
        <v>584</v>
      </c>
      <c r="C81" s="1457" t="s">
        <v>585</v>
      </c>
      <c r="D81" s="1219"/>
      <c r="E81" s="1190" t="s">
        <v>138</v>
      </c>
      <c r="F81" s="1190"/>
      <c r="G81" s="1022" t="s">
        <v>586</v>
      </c>
      <c r="H81" s="1028"/>
      <c r="I81" s="1110" t="s">
        <v>924</v>
      </c>
      <c r="J81" s="1175">
        <v>0.8</v>
      </c>
      <c r="K81" s="43" t="s">
        <v>584</v>
      </c>
      <c r="L81" s="44" t="s">
        <v>246</v>
      </c>
      <c r="O81" s="37">
        <v>10</v>
      </c>
      <c r="P81" s="38" t="s">
        <v>243</v>
      </c>
    </row>
    <row r="82" spans="1:16" ht="30" customHeight="1" x14ac:dyDescent="0.2">
      <c r="B82" s="1471"/>
      <c r="C82" s="1452" t="s">
        <v>587</v>
      </c>
      <c r="D82" s="1192"/>
      <c r="E82" s="1192"/>
      <c r="F82" s="1192"/>
      <c r="G82" s="18"/>
      <c r="H82" s="18"/>
      <c r="I82" s="1111"/>
      <c r="J82" s="1179"/>
      <c r="K82" s="43" t="s">
        <v>584</v>
      </c>
      <c r="L82" s="44" t="s">
        <v>246</v>
      </c>
      <c r="O82" s="37">
        <v>10</v>
      </c>
      <c r="P82" s="38" t="s">
        <v>243</v>
      </c>
    </row>
    <row r="83" spans="1:16" ht="52.5" customHeight="1" x14ac:dyDescent="0.2">
      <c r="B83" s="350" t="s">
        <v>595</v>
      </c>
      <c r="C83" s="1458" t="s">
        <v>596</v>
      </c>
      <c r="D83" s="1459"/>
      <c r="E83" s="1058" t="s">
        <v>598</v>
      </c>
      <c r="F83" s="1058"/>
      <c r="G83" s="1459" t="s">
        <v>599</v>
      </c>
      <c r="H83" s="1460"/>
      <c r="I83" s="351" t="s">
        <v>924</v>
      </c>
      <c r="J83" s="352">
        <v>0.8</v>
      </c>
      <c r="K83" s="43" t="s">
        <v>571</v>
      </c>
      <c r="L83" s="44" t="s">
        <v>246</v>
      </c>
      <c r="N83" s="46" t="s">
        <v>30</v>
      </c>
      <c r="O83" s="37">
        <v>10</v>
      </c>
      <c r="P83" s="38" t="s">
        <v>243</v>
      </c>
    </row>
    <row r="84" spans="1:16" ht="39.950000000000003" customHeight="1" x14ac:dyDescent="0.2">
      <c r="A84" s="18"/>
      <c r="B84" s="327" t="s">
        <v>591</v>
      </c>
      <c r="C84" s="1432" t="s">
        <v>592</v>
      </c>
      <c r="D84" s="1433"/>
      <c r="E84" s="1433" t="s">
        <v>176</v>
      </c>
      <c r="F84" s="1433"/>
      <c r="G84" s="1433" t="s">
        <v>593</v>
      </c>
      <c r="H84" s="1472"/>
      <c r="I84" s="328" t="s">
        <v>924</v>
      </c>
      <c r="J84" s="353">
        <v>0.75</v>
      </c>
      <c r="K84" s="43" t="s">
        <v>591</v>
      </c>
      <c r="L84" s="44" t="s">
        <v>246</v>
      </c>
      <c r="M84" s="18"/>
      <c r="N84" s="46" t="s">
        <v>30</v>
      </c>
      <c r="O84" s="37">
        <v>10</v>
      </c>
      <c r="P84" s="38" t="s">
        <v>243</v>
      </c>
    </row>
    <row r="85" spans="1:16" ht="39.950000000000003" customHeight="1" x14ac:dyDescent="0.2">
      <c r="B85" s="327" t="s">
        <v>601</v>
      </c>
      <c r="C85" s="1063" t="s">
        <v>602</v>
      </c>
      <c r="D85" s="1063"/>
      <c r="E85" s="1063"/>
      <c r="F85" s="1063"/>
      <c r="G85" s="1063"/>
      <c r="H85" s="1063"/>
      <c r="I85" s="328" t="s">
        <v>924</v>
      </c>
      <c r="J85" s="329">
        <v>0.9</v>
      </c>
      <c r="K85" s="43" t="s">
        <v>601</v>
      </c>
      <c r="L85" s="44" t="s">
        <v>246</v>
      </c>
      <c r="N85" s="46" t="s">
        <v>30</v>
      </c>
      <c r="O85" s="37">
        <v>10</v>
      </c>
      <c r="P85" s="38" t="s">
        <v>243</v>
      </c>
    </row>
    <row r="86" spans="1:16" ht="42.75" customHeight="1" x14ac:dyDescent="0.2">
      <c r="B86" s="327" t="s">
        <v>603</v>
      </c>
      <c r="C86" s="1063" t="s">
        <v>604</v>
      </c>
      <c r="D86" s="1063"/>
      <c r="E86" s="1063"/>
      <c r="F86" s="1063"/>
      <c r="G86" s="1063"/>
      <c r="H86" s="1063"/>
      <c r="I86" s="328" t="s">
        <v>924</v>
      </c>
      <c r="J86" s="329">
        <v>0.85</v>
      </c>
      <c r="K86" s="43" t="s">
        <v>603</v>
      </c>
      <c r="L86" s="44" t="s">
        <v>246</v>
      </c>
      <c r="N86" s="46" t="s">
        <v>30</v>
      </c>
      <c r="O86" s="37">
        <v>10</v>
      </c>
      <c r="P86" s="38" t="s">
        <v>243</v>
      </c>
    </row>
    <row r="87" spans="1:16" ht="20.100000000000001" customHeight="1" x14ac:dyDescent="0.2">
      <c r="B87" s="31"/>
      <c r="C87" s="31"/>
      <c r="D87" s="31"/>
      <c r="E87" s="31"/>
      <c r="F87" s="31"/>
      <c r="G87" s="31"/>
      <c r="H87" s="31"/>
      <c r="I87" s="32"/>
      <c r="J87" s="31"/>
    </row>
    <row r="88" spans="1:16" ht="30" customHeight="1" x14ac:dyDescent="0.2">
      <c r="A88" s="23"/>
      <c r="B88" s="1223" t="s">
        <v>633</v>
      </c>
      <c r="C88" s="1223"/>
      <c r="D88" s="1223"/>
      <c r="E88" s="1223"/>
      <c r="F88" s="1223"/>
      <c r="G88" s="1223"/>
      <c r="H88" s="1223"/>
      <c r="I88" s="34" t="s">
        <v>17</v>
      </c>
      <c r="J88" s="254" t="s">
        <v>18</v>
      </c>
      <c r="K88" s="354" t="s">
        <v>634</v>
      </c>
      <c r="L88" s="354" t="s">
        <v>634</v>
      </c>
      <c r="N88" s="46" t="s">
        <v>30</v>
      </c>
      <c r="O88" s="4"/>
    </row>
    <row r="89" spans="1:16" ht="38.25" customHeight="1" x14ac:dyDescent="0.2">
      <c r="B89" s="1395" t="s">
        <v>635</v>
      </c>
      <c r="C89" s="1395"/>
      <c r="D89" s="1395"/>
      <c r="E89" s="1395"/>
      <c r="F89" s="1395"/>
      <c r="G89" s="1395"/>
      <c r="H89" s="1395"/>
      <c r="I89" s="1395"/>
      <c r="J89" s="1395"/>
      <c r="K89" s="354" t="s">
        <v>634</v>
      </c>
      <c r="L89" s="354" t="s">
        <v>634</v>
      </c>
    </row>
    <row r="90" spans="1:16" ht="31.5" customHeight="1" x14ac:dyDescent="0.2">
      <c r="B90" s="1223" t="s">
        <v>636</v>
      </c>
      <c r="C90" s="1223"/>
      <c r="D90" s="1223"/>
      <c r="E90" s="1223"/>
      <c r="F90" s="1223"/>
      <c r="G90" s="1223"/>
      <c r="H90" s="1223"/>
      <c r="I90" s="34" t="s">
        <v>17</v>
      </c>
      <c r="J90" s="254" t="s">
        <v>18</v>
      </c>
      <c r="K90" s="354"/>
      <c r="L90" s="354"/>
    </row>
    <row r="91" spans="1:16" ht="56.25" customHeight="1" x14ac:dyDescent="0.2">
      <c r="B91" s="1279" t="s">
        <v>328</v>
      </c>
      <c r="C91" s="1025" t="s">
        <v>637</v>
      </c>
      <c r="D91" s="1065"/>
      <c r="E91" s="1065"/>
      <c r="F91" s="1065"/>
      <c r="G91" s="1065"/>
      <c r="H91" s="1065"/>
      <c r="I91" s="1228">
        <v>0</v>
      </c>
      <c r="J91" s="1469">
        <v>1</v>
      </c>
      <c r="K91" s="354" t="s">
        <v>634</v>
      </c>
      <c r="L91" s="354" t="s">
        <v>634</v>
      </c>
      <c r="O91" s="4"/>
    </row>
    <row r="92" spans="1:16" ht="19.5" customHeight="1" x14ac:dyDescent="0.2">
      <c r="B92" s="1280"/>
      <c r="C92" s="1023" t="s">
        <v>638</v>
      </c>
      <c r="D92" s="1024"/>
      <c r="E92" s="1024"/>
      <c r="F92" s="1024"/>
      <c r="G92" s="1024"/>
      <c r="H92" s="1025"/>
      <c r="I92" s="1230"/>
      <c r="J92" s="1470"/>
      <c r="K92" s="354" t="s">
        <v>634</v>
      </c>
      <c r="L92" s="354" t="s">
        <v>634</v>
      </c>
      <c r="O92" s="4"/>
    </row>
    <row r="93" spans="1:16" ht="28.5" customHeight="1" x14ac:dyDescent="0.2">
      <c r="B93" s="1223" t="s">
        <v>639</v>
      </c>
      <c r="C93" s="1223"/>
      <c r="D93" s="1223"/>
      <c r="E93" s="1223"/>
      <c r="F93" s="1223"/>
      <c r="G93" s="1223"/>
      <c r="H93" s="1223"/>
      <c r="I93" s="34" t="s">
        <v>17</v>
      </c>
      <c r="J93" s="254" t="s">
        <v>18</v>
      </c>
      <c r="K93" s="354"/>
      <c r="L93" s="354"/>
      <c r="O93" s="4"/>
    </row>
    <row r="94" spans="1:16" ht="46.5" customHeight="1" x14ac:dyDescent="0.2">
      <c r="B94" s="1279" t="s">
        <v>328</v>
      </c>
      <c r="C94" s="1025" t="s">
        <v>637</v>
      </c>
      <c r="D94" s="1065"/>
      <c r="E94" s="1065"/>
      <c r="F94" s="1065"/>
      <c r="G94" s="1065"/>
      <c r="H94" s="1065"/>
      <c r="I94" s="1228">
        <v>0</v>
      </c>
      <c r="J94" s="1469">
        <v>1</v>
      </c>
      <c r="K94" s="354"/>
      <c r="L94" s="354"/>
      <c r="O94" s="4"/>
    </row>
    <row r="95" spans="1:16" ht="38.25" customHeight="1" x14ac:dyDescent="0.2">
      <c r="B95" s="1280"/>
      <c r="C95" s="1023" t="s">
        <v>640</v>
      </c>
      <c r="D95" s="1024"/>
      <c r="E95" s="1024"/>
      <c r="F95" s="1024"/>
      <c r="G95" s="1024"/>
      <c r="H95" s="1025"/>
      <c r="I95" s="1230"/>
      <c r="J95" s="1470"/>
      <c r="K95" s="354"/>
      <c r="L95" s="354"/>
      <c r="O95" s="4"/>
    </row>
    <row r="96" spans="1:16" ht="20.100000000000001" customHeight="1" x14ac:dyDescent="0.2">
      <c r="A96" s="23"/>
      <c r="B96" s="31"/>
      <c r="C96" s="31"/>
      <c r="D96" s="31"/>
      <c r="E96" s="31"/>
      <c r="F96" s="31"/>
      <c r="G96" s="31"/>
      <c r="H96" s="31"/>
      <c r="I96" s="32"/>
      <c r="J96" s="31"/>
    </row>
    <row r="97" spans="1:32" s="24" customFormat="1" ht="30" customHeight="1" x14ac:dyDescent="0.2">
      <c r="A97" s="23"/>
      <c r="B97" s="904" t="s">
        <v>257</v>
      </c>
      <c r="C97" s="905"/>
      <c r="D97" s="905"/>
      <c r="E97" s="905"/>
      <c r="F97" s="905"/>
      <c r="G97" s="905"/>
      <c r="H97" s="905"/>
      <c r="I97" s="34" t="s">
        <v>17</v>
      </c>
      <c r="J97" s="355" t="s">
        <v>18</v>
      </c>
      <c r="K97" s="213" t="s">
        <v>258</v>
      </c>
      <c r="L97" s="356">
        <v>11</v>
      </c>
      <c r="M97" s="23"/>
      <c r="N97" s="357" t="s">
        <v>30</v>
      </c>
      <c r="O97" s="356">
        <v>11</v>
      </c>
      <c r="P97" s="358" t="s">
        <v>259</v>
      </c>
    </row>
    <row r="98" spans="1:32" s="24" customFormat="1" ht="30" customHeight="1" x14ac:dyDescent="0.2">
      <c r="A98" s="23"/>
      <c r="B98" s="979" t="s">
        <v>641</v>
      </c>
      <c r="C98" s="980"/>
      <c r="D98" s="980"/>
      <c r="E98" s="980"/>
      <c r="F98" s="980"/>
      <c r="G98" s="980"/>
      <c r="H98" s="980"/>
      <c r="I98" s="980"/>
      <c r="J98" s="981"/>
      <c r="M98" s="23"/>
      <c r="O98" s="37">
        <v>11</v>
      </c>
      <c r="P98" s="38" t="s">
        <v>259</v>
      </c>
    </row>
    <row r="99" spans="1:32" s="24" customFormat="1" ht="36" customHeight="1" x14ac:dyDescent="0.2">
      <c r="B99" s="60" t="s">
        <v>567</v>
      </c>
      <c r="C99" s="1194" t="s">
        <v>134</v>
      </c>
      <c r="D99" s="1177"/>
      <c r="E99" s="1034" t="s">
        <v>95</v>
      </c>
      <c r="F99" s="1034"/>
      <c r="G99" s="1034" t="s">
        <v>631</v>
      </c>
      <c r="H99" s="1035"/>
      <c r="I99" s="61">
        <v>0</v>
      </c>
      <c r="J99" s="42">
        <v>0.95</v>
      </c>
      <c r="K99" s="43" t="s">
        <v>567</v>
      </c>
      <c r="L99" s="44" t="s">
        <v>262</v>
      </c>
      <c r="M99" s="79"/>
      <c r="N99" s="46" t="s">
        <v>30</v>
      </c>
      <c r="O99" s="37">
        <v>11</v>
      </c>
      <c r="P99" s="38" t="s">
        <v>259</v>
      </c>
    </row>
    <row r="100" spans="1:32" s="24" customFormat="1" ht="30" customHeight="1" x14ac:dyDescent="0.2">
      <c r="B100" s="1004" t="s">
        <v>571</v>
      </c>
      <c r="C100" s="1214" t="s">
        <v>572</v>
      </c>
      <c r="D100" s="1195"/>
      <c r="E100" s="1195" t="s">
        <v>378</v>
      </c>
      <c r="F100" s="1195"/>
      <c r="G100" s="1195" t="s">
        <v>342</v>
      </c>
      <c r="H100" s="1226"/>
      <c r="I100" s="1110">
        <v>0</v>
      </c>
      <c r="J100" s="915">
        <v>0.9</v>
      </c>
      <c r="K100" s="43"/>
      <c r="L100" s="44"/>
      <c r="M100" s="79"/>
      <c r="N100" s="46"/>
      <c r="O100" s="37"/>
      <c r="P100" s="38"/>
    </row>
    <row r="101" spans="1:32" s="24" customFormat="1" ht="30" customHeight="1" x14ac:dyDescent="0.2">
      <c r="B101" s="1039"/>
      <c r="C101" s="1211" t="s">
        <v>579</v>
      </c>
      <c r="D101" s="1190"/>
      <c r="E101" s="1190" t="s">
        <v>574</v>
      </c>
      <c r="F101" s="1190"/>
      <c r="G101" s="1022" t="s">
        <v>402</v>
      </c>
      <c r="H101" s="1028"/>
      <c r="I101" s="1111"/>
      <c r="J101" s="1045"/>
      <c r="K101" s="43"/>
      <c r="L101" s="44"/>
      <c r="M101" s="79"/>
      <c r="N101" s="46"/>
      <c r="O101" s="37"/>
      <c r="P101" s="38"/>
    </row>
    <row r="102" spans="1:32" s="24" customFormat="1" ht="30" customHeight="1" x14ac:dyDescent="0.2">
      <c r="B102" s="1039"/>
      <c r="C102" s="1211" t="s">
        <v>576</v>
      </c>
      <c r="D102" s="1190"/>
      <c r="E102" s="1190" t="s">
        <v>577</v>
      </c>
      <c r="F102" s="1190"/>
      <c r="G102" s="1190" t="s">
        <v>624</v>
      </c>
      <c r="H102" s="1212"/>
      <c r="I102" s="1111"/>
      <c r="J102" s="1045"/>
      <c r="K102" s="43"/>
      <c r="L102" s="44"/>
      <c r="M102" s="79"/>
      <c r="N102" s="46"/>
      <c r="O102" s="37"/>
      <c r="P102" s="38"/>
    </row>
    <row r="103" spans="1:32" s="24" customFormat="1" ht="30" customHeight="1" x14ac:dyDescent="0.2">
      <c r="B103" s="1039"/>
      <c r="C103" s="1211" t="s">
        <v>573</v>
      </c>
      <c r="D103" s="1190"/>
      <c r="E103" s="1022" t="s">
        <v>580</v>
      </c>
      <c r="F103" s="1022"/>
      <c r="G103" s="1190" t="s">
        <v>581</v>
      </c>
      <c r="H103" s="1212"/>
      <c r="I103" s="1111"/>
      <c r="J103" s="1045"/>
      <c r="K103" s="43"/>
      <c r="L103" s="44"/>
      <c r="M103" s="79"/>
      <c r="N103" s="46"/>
      <c r="O103" s="37"/>
      <c r="P103" s="38"/>
    </row>
    <row r="104" spans="1:32" s="24" customFormat="1" ht="30" customHeight="1" x14ac:dyDescent="0.2">
      <c r="B104" s="1039"/>
      <c r="C104" s="1046" t="s">
        <v>98</v>
      </c>
      <c r="D104" s="1022"/>
      <c r="E104" s="1022"/>
      <c r="F104" s="1022"/>
      <c r="G104" s="1022"/>
      <c r="H104" s="1028"/>
      <c r="I104" s="1111"/>
      <c r="J104" s="1045"/>
      <c r="K104" s="43"/>
      <c r="L104" s="44"/>
      <c r="M104" s="79"/>
      <c r="N104" s="46"/>
      <c r="O104" s="37"/>
      <c r="P104" s="38"/>
    </row>
    <row r="105" spans="1:32" s="24" customFormat="1" ht="30" customHeight="1" x14ac:dyDescent="0.2">
      <c r="B105" s="1005"/>
      <c r="C105" s="1116" t="s">
        <v>642</v>
      </c>
      <c r="D105" s="1034"/>
      <c r="E105" s="1034"/>
      <c r="F105" s="1034"/>
      <c r="G105" s="1034"/>
      <c r="H105" s="1035"/>
      <c r="I105" s="1112"/>
      <c r="J105" s="916"/>
      <c r="K105" s="43"/>
      <c r="L105" s="44"/>
      <c r="M105" s="79"/>
      <c r="N105" s="46"/>
      <c r="O105" s="37"/>
      <c r="P105" s="38"/>
    </row>
    <row r="106" spans="1:32" ht="39.950000000000003" customHeight="1" x14ac:dyDescent="0.2">
      <c r="B106" s="952" t="s">
        <v>584</v>
      </c>
      <c r="C106" s="1457" t="s">
        <v>585</v>
      </c>
      <c r="D106" s="1219"/>
      <c r="E106" s="1219" t="s">
        <v>138</v>
      </c>
      <c r="F106" s="1219"/>
      <c r="G106" s="957" t="s">
        <v>586</v>
      </c>
      <c r="H106" s="958"/>
      <c r="I106" s="1455">
        <v>0</v>
      </c>
      <c r="J106" s="1425">
        <v>0.9</v>
      </c>
      <c r="K106" s="43" t="s">
        <v>584</v>
      </c>
      <c r="L106" s="44" t="s">
        <v>262</v>
      </c>
      <c r="O106" s="37">
        <v>11</v>
      </c>
      <c r="P106" s="38" t="s">
        <v>259</v>
      </c>
    </row>
    <row r="107" spans="1:32" ht="30" customHeight="1" x14ac:dyDescent="0.2">
      <c r="B107" s="953"/>
      <c r="C107" s="1144" t="s">
        <v>587</v>
      </c>
      <c r="D107" s="1145"/>
      <c r="E107" s="18"/>
      <c r="F107" s="18"/>
      <c r="G107" s="18"/>
      <c r="H107" s="18"/>
      <c r="I107" s="1456"/>
      <c r="J107" s="1426"/>
      <c r="K107" s="43" t="s">
        <v>584</v>
      </c>
      <c r="L107" s="44" t="s">
        <v>262</v>
      </c>
      <c r="O107" s="37">
        <v>11</v>
      </c>
      <c r="P107" s="38" t="s">
        <v>259</v>
      </c>
    </row>
    <row r="108" spans="1:32" ht="30" customHeight="1" x14ac:dyDescent="0.2">
      <c r="B108" s="359" t="s">
        <v>595</v>
      </c>
      <c r="C108" s="1458" t="s">
        <v>596</v>
      </c>
      <c r="D108" s="1459"/>
      <c r="E108" s="1058" t="s">
        <v>598</v>
      </c>
      <c r="F108" s="1058"/>
      <c r="G108" s="1459" t="s">
        <v>599</v>
      </c>
      <c r="H108" s="1460"/>
      <c r="I108" s="360">
        <v>0</v>
      </c>
      <c r="J108" s="361">
        <v>0.9</v>
      </c>
      <c r="K108" s="43" t="s">
        <v>571</v>
      </c>
      <c r="L108" s="44" t="s">
        <v>262</v>
      </c>
      <c r="N108" s="46" t="s">
        <v>30</v>
      </c>
      <c r="O108" s="37">
        <v>11</v>
      </c>
      <c r="P108" s="38" t="s">
        <v>259</v>
      </c>
    </row>
    <row r="109" spans="1:32" ht="39.950000000000003" customHeight="1" x14ac:dyDescent="0.2">
      <c r="A109" s="18"/>
      <c r="B109" s="1465" t="s">
        <v>591</v>
      </c>
      <c r="C109" s="1461" t="s">
        <v>592</v>
      </c>
      <c r="D109" s="1462"/>
      <c r="E109" s="1130" t="s">
        <v>176</v>
      </c>
      <c r="F109" s="1130"/>
      <c r="G109" s="1195" t="s">
        <v>593</v>
      </c>
      <c r="H109" s="1226"/>
      <c r="I109" s="1446" t="s">
        <v>924</v>
      </c>
      <c r="J109" s="1467">
        <v>0.8</v>
      </c>
      <c r="K109" s="43" t="s">
        <v>591</v>
      </c>
      <c r="L109" s="44" t="s">
        <v>262</v>
      </c>
      <c r="M109" s="18"/>
      <c r="N109" s="46" t="s">
        <v>30</v>
      </c>
      <c r="O109" s="37">
        <v>11</v>
      </c>
      <c r="P109" s="38" t="s">
        <v>259</v>
      </c>
      <c r="Q109" s="24"/>
      <c r="R109" s="24"/>
      <c r="S109" s="24"/>
      <c r="T109" s="24"/>
      <c r="U109" s="24"/>
      <c r="V109" s="24"/>
      <c r="W109" s="24"/>
      <c r="X109" s="24"/>
      <c r="Y109" s="24"/>
      <c r="Z109" s="24"/>
      <c r="AA109" s="24"/>
      <c r="AB109" s="24"/>
      <c r="AC109" s="24"/>
      <c r="AD109" s="24"/>
      <c r="AE109" s="24"/>
      <c r="AF109" s="24"/>
    </row>
    <row r="110" spans="1:32" ht="39.950000000000003" customHeight="1" x14ac:dyDescent="0.2">
      <c r="A110" s="18"/>
      <c r="B110" s="1466"/>
      <c r="C110" s="1453" t="s">
        <v>594</v>
      </c>
      <c r="D110" s="1213"/>
      <c r="E110" s="362"/>
      <c r="F110" s="362"/>
      <c r="G110" s="344"/>
      <c r="H110" s="345"/>
      <c r="I110" s="1447"/>
      <c r="J110" s="1468"/>
      <c r="K110" s="43" t="s">
        <v>591</v>
      </c>
      <c r="L110" s="44" t="s">
        <v>262</v>
      </c>
      <c r="M110" s="18"/>
      <c r="N110" s="4"/>
      <c r="O110" s="37">
        <v>11</v>
      </c>
      <c r="P110" s="38" t="s">
        <v>259</v>
      </c>
      <c r="Q110" s="24"/>
      <c r="R110" s="24"/>
      <c r="S110" s="24"/>
      <c r="T110" s="24"/>
      <c r="U110" s="24"/>
      <c r="V110" s="24"/>
      <c r="W110" s="24"/>
      <c r="X110" s="24"/>
      <c r="Y110" s="24"/>
      <c r="Z110" s="24"/>
      <c r="AA110" s="24"/>
      <c r="AB110" s="24"/>
      <c r="AC110" s="24"/>
      <c r="AD110" s="24"/>
      <c r="AE110" s="24"/>
      <c r="AF110" s="24"/>
    </row>
    <row r="111" spans="1:32" ht="39.950000000000003" customHeight="1" x14ac:dyDescent="0.2">
      <c r="B111" s="115" t="s">
        <v>601</v>
      </c>
      <c r="C111" s="1464" t="s">
        <v>602</v>
      </c>
      <c r="D111" s="1464"/>
      <c r="E111" s="1464"/>
      <c r="F111" s="1464"/>
      <c r="G111" s="1464"/>
      <c r="H111" s="1464"/>
      <c r="I111" s="116">
        <v>0</v>
      </c>
      <c r="J111" s="363">
        <v>1</v>
      </c>
      <c r="K111" s="43" t="s">
        <v>601</v>
      </c>
      <c r="L111" s="44" t="s">
        <v>262</v>
      </c>
      <c r="N111" s="46" t="s">
        <v>30</v>
      </c>
      <c r="O111" s="37">
        <v>11</v>
      </c>
      <c r="P111" s="38" t="s">
        <v>259</v>
      </c>
    </row>
    <row r="112" spans="1:32" ht="39.950000000000003" customHeight="1" x14ac:dyDescent="0.2">
      <c r="B112" s="115" t="s">
        <v>603</v>
      </c>
      <c r="C112" s="1065" t="s">
        <v>604</v>
      </c>
      <c r="D112" s="1065"/>
      <c r="E112" s="1065"/>
      <c r="F112" s="1065"/>
      <c r="G112" s="1065"/>
      <c r="H112" s="1065"/>
      <c r="I112" s="116">
        <v>0</v>
      </c>
      <c r="J112" s="363">
        <v>0.95</v>
      </c>
      <c r="K112" s="43" t="s">
        <v>603</v>
      </c>
      <c r="L112" s="44" t="s">
        <v>262</v>
      </c>
      <c r="N112" s="46" t="s">
        <v>30</v>
      </c>
      <c r="O112" s="37">
        <v>11</v>
      </c>
      <c r="P112" s="38" t="s">
        <v>259</v>
      </c>
    </row>
    <row r="113" spans="1:32" ht="30" customHeight="1" x14ac:dyDescent="0.2">
      <c r="B113" s="1268" t="s">
        <v>264</v>
      </c>
      <c r="C113" s="1268"/>
      <c r="D113" s="1268"/>
      <c r="E113" s="1268"/>
      <c r="F113" s="1268"/>
      <c r="G113" s="1268"/>
      <c r="H113" s="1268"/>
      <c r="I113" s="1268"/>
      <c r="J113" s="1268"/>
      <c r="N113" s="46" t="s">
        <v>30</v>
      </c>
      <c r="O113" s="37">
        <v>11</v>
      </c>
      <c r="P113" s="157" t="s">
        <v>265</v>
      </c>
    </row>
    <row r="114" spans="1:32" s="24" customFormat="1" ht="30" customHeight="1" x14ac:dyDescent="0.2">
      <c r="A114" s="18"/>
      <c r="B114" s="60" t="s">
        <v>567</v>
      </c>
      <c r="C114" s="1208" t="s">
        <v>134</v>
      </c>
      <c r="D114" s="1209"/>
      <c r="E114" s="1209" t="s">
        <v>95</v>
      </c>
      <c r="F114" s="1209"/>
      <c r="G114" s="865" t="s">
        <v>631</v>
      </c>
      <c r="H114" s="866"/>
      <c r="I114" s="61" t="s">
        <v>924</v>
      </c>
      <c r="J114" s="42">
        <v>0.8</v>
      </c>
      <c r="K114" s="43" t="s">
        <v>567</v>
      </c>
      <c r="L114" s="44" t="s">
        <v>266</v>
      </c>
      <c r="M114" s="79"/>
      <c r="N114" s="46" t="s">
        <v>30</v>
      </c>
      <c r="O114" s="37">
        <v>11</v>
      </c>
      <c r="P114" s="157" t="s">
        <v>265</v>
      </c>
    </row>
    <row r="115" spans="1:32" s="24" customFormat="1" ht="30" customHeight="1" x14ac:dyDescent="0.2">
      <c r="A115" s="18"/>
      <c r="B115" s="1004" t="s">
        <v>571</v>
      </c>
      <c r="C115" s="1214" t="s">
        <v>378</v>
      </c>
      <c r="D115" s="1195"/>
      <c r="E115" s="1195" t="s">
        <v>342</v>
      </c>
      <c r="F115" s="1195"/>
      <c r="G115" s="1195" t="s">
        <v>573</v>
      </c>
      <c r="H115" s="1226"/>
      <c r="I115" s="1042" t="s">
        <v>924</v>
      </c>
      <c r="J115" s="915">
        <v>0.8</v>
      </c>
      <c r="K115" s="43"/>
      <c r="L115" s="44"/>
      <c r="M115" s="79"/>
      <c r="N115" s="46"/>
      <c r="O115" s="37"/>
      <c r="P115" s="157"/>
    </row>
    <row r="116" spans="1:32" s="24" customFormat="1" ht="30" customHeight="1" x14ac:dyDescent="0.2">
      <c r="A116" s="18"/>
      <c r="B116" s="1039"/>
      <c r="C116" s="1211" t="s">
        <v>574</v>
      </c>
      <c r="D116" s="1190"/>
      <c r="E116" s="957" t="s">
        <v>402</v>
      </c>
      <c r="F116" s="957"/>
      <c r="G116" s="1190" t="s">
        <v>576</v>
      </c>
      <c r="H116" s="1212"/>
      <c r="I116" s="1043"/>
      <c r="J116" s="1045"/>
      <c r="K116" s="43"/>
      <c r="L116" s="44"/>
      <c r="M116" s="79"/>
      <c r="N116" s="46"/>
      <c r="O116" s="37"/>
      <c r="P116" s="157"/>
    </row>
    <row r="117" spans="1:32" s="24" customFormat="1" ht="30" customHeight="1" x14ac:dyDescent="0.2">
      <c r="A117" s="18"/>
      <c r="B117" s="1039"/>
      <c r="C117" s="1211" t="s">
        <v>577</v>
      </c>
      <c r="D117" s="1190"/>
      <c r="E117" s="1190" t="s">
        <v>624</v>
      </c>
      <c r="F117" s="1190"/>
      <c r="G117" s="1190" t="s">
        <v>578</v>
      </c>
      <c r="H117" s="1212"/>
      <c r="I117" s="1043"/>
      <c r="J117" s="1045"/>
      <c r="K117" s="43"/>
      <c r="L117" s="44"/>
      <c r="M117" s="79"/>
      <c r="N117" s="46"/>
      <c r="O117" s="37"/>
      <c r="P117" s="157"/>
    </row>
    <row r="118" spans="1:32" s="24" customFormat="1" ht="30" customHeight="1" x14ac:dyDescent="0.2">
      <c r="A118" s="18"/>
      <c r="B118" s="1039"/>
      <c r="C118" s="1206" t="s">
        <v>580</v>
      </c>
      <c r="D118" s="1207"/>
      <c r="E118" s="1207" t="s">
        <v>581</v>
      </c>
      <c r="F118" s="1207"/>
      <c r="G118" s="1207" t="s">
        <v>579</v>
      </c>
      <c r="H118" s="1222"/>
      <c r="I118" s="1043"/>
      <c r="J118" s="1045"/>
      <c r="K118" s="43"/>
      <c r="L118" s="44"/>
      <c r="M118" s="79"/>
      <c r="N118" s="46"/>
      <c r="O118" s="37"/>
      <c r="P118" s="157"/>
    </row>
    <row r="119" spans="1:32" ht="30" customHeight="1" x14ac:dyDescent="0.2">
      <c r="B119" s="1172" t="s">
        <v>584</v>
      </c>
      <c r="C119" s="1457" t="s">
        <v>585</v>
      </c>
      <c r="D119" s="1219"/>
      <c r="E119" s="1219" t="s">
        <v>138</v>
      </c>
      <c r="F119" s="1219"/>
      <c r="G119" s="1145" t="s">
        <v>586</v>
      </c>
      <c r="H119" s="1146"/>
      <c r="I119" s="1455" t="s">
        <v>924</v>
      </c>
      <c r="J119" s="1425">
        <v>0.75</v>
      </c>
      <c r="K119" s="43" t="s">
        <v>584</v>
      </c>
      <c r="L119" s="44" t="s">
        <v>266</v>
      </c>
      <c r="O119" s="37">
        <v>11</v>
      </c>
      <c r="P119" s="157" t="s">
        <v>265</v>
      </c>
    </row>
    <row r="120" spans="1:32" ht="39.950000000000003" customHeight="1" x14ac:dyDescent="0.2">
      <c r="B120" s="1173"/>
      <c r="C120" s="1457" t="s">
        <v>587</v>
      </c>
      <c r="D120" s="1219"/>
      <c r="E120" s="18"/>
      <c r="F120" s="18"/>
      <c r="G120" s="18"/>
      <c r="H120" s="18"/>
      <c r="I120" s="1456"/>
      <c r="J120" s="1426"/>
      <c r="K120" s="43" t="s">
        <v>584</v>
      </c>
      <c r="L120" s="44" t="s">
        <v>266</v>
      </c>
      <c r="O120" s="37">
        <v>11</v>
      </c>
      <c r="P120" s="157" t="s">
        <v>265</v>
      </c>
    </row>
    <row r="121" spans="1:32" ht="30" customHeight="1" x14ac:dyDescent="0.2">
      <c r="B121" s="350" t="s">
        <v>595</v>
      </c>
      <c r="C121" s="1458" t="s">
        <v>596</v>
      </c>
      <c r="D121" s="1459"/>
      <c r="E121" s="1058" t="s">
        <v>598</v>
      </c>
      <c r="F121" s="1058"/>
      <c r="G121" s="1459" t="s">
        <v>599</v>
      </c>
      <c r="H121" s="1460"/>
      <c r="I121" s="351" t="s">
        <v>924</v>
      </c>
      <c r="J121" s="352">
        <v>0.8</v>
      </c>
      <c r="K121" s="43" t="s">
        <v>571</v>
      </c>
      <c r="L121" s="44" t="s">
        <v>266</v>
      </c>
      <c r="N121" s="46" t="s">
        <v>30</v>
      </c>
      <c r="O121" s="37">
        <v>11</v>
      </c>
      <c r="P121" s="157" t="s">
        <v>265</v>
      </c>
    </row>
    <row r="122" spans="1:32" ht="39.950000000000003" customHeight="1" x14ac:dyDescent="0.2">
      <c r="A122" s="18"/>
      <c r="B122" s="1236" t="s">
        <v>591</v>
      </c>
      <c r="C122" s="1461" t="s">
        <v>592</v>
      </c>
      <c r="D122" s="1462"/>
      <c r="E122" s="1462" t="s">
        <v>176</v>
      </c>
      <c r="F122" s="1462"/>
      <c r="G122" s="1462" t="s">
        <v>593</v>
      </c>
      <c r="H122" s="1463"/>
      <c r="I122" s="1446" t="s">
        <v>924</v>
      </c>
      <c r="J122" s="1449">
        <v>0.7</v>
      </c>
      <c r="K122" s="43" t="s">
        <v>591</v>
      </c>
      <c r="L122" s="44" t="s">
        <v>266</v>
      </c>
      <c r="M122" s="18"/>
      <c r="N122" s="46" t="s">
        <v>30</v>
      </c>
      <c r="O122" s="37">
        <v>11</v>
      </c>
      <c r="P122" s="157" t="s">
        <v>265</v>
      </c>
      <c r="Q122" s="24"/>
      <c r="R122" s="24"/>
      <c r="S122" s="24"/>
      <c r="T122" s="24"/>
      <c r="U122" s="24"/>
      <c r="V122" s="24"/>
      <c r="W122" s="24"/>
      <c r="X122" s="24"/>
      <c r="Y122" s="24"/>
      <c r="Z122" s="24"/>
      <c r="AA122" s="24"/>
      <c r="AB122" s="24"/>
      <c r="AC122" s="24"/>
      <c r="AD122" s="24"/>
      <c r="AE122" s="24"/>
      <c r="AF122" s="24"/>
    </row>
    <row r="123" spans="1:32" ht="39.950000000000003" customHeight="1" x14ac:dyDescent="0.2">
      <c r="A123" s="18"/>
      <c r="B123" s="1237"/>
      <c r="C123" s="1452" t="s">
        <v>594</v>
      </c>
      <c r="D123" s="1192"/>
      <c r="E123" s="346"/>
      <c r="F123" s="346"/>
      <c r="G123" s="346"/>
      <c r="H123" s="347"/>
      <c r="I123" s="1447"/>
      <c r="J123" s="1450"/>
      <c r="K123" s="43" t="s">
        <v>591</v>
      </c>
      <c r="L123" s="44" t="s">
        <v>266</v>
      </c>
      <c r="M123" s="18"/>
      <c r="N123" s="4"/>
      <c r="O123" s="37">
        <v>11</v>
      </c>
      <c r="P123" s="157" t="s">
        <v>265</v>
      </c>
      <c r="Q123" s="24"/>
      <c r="R123" s="24"/>
      <c r="S123" s="24"/>
      <c r="T123" s="24"/>
      <c r="U123" s="24"/>
      <c r="V123" s="24"/>
      <c r="W123" s="24"/>
      <c r="X123" s="24"/>
      <c r="Y123" s="24"/>
      <c r="Z123" s="24"/>
      <c r="AA123" s="24"/>
      <c r="AB123" s="24"/>
      <c r="AC123" s="24"/>
      <c r="AD123" s="24"/>
      <c r="AE123" s="24"/>
      <c r="AF123" s="24"/>
    </row>
    <row r="124" spans="1:32" ht="30" customHeight="1" x14ac:dyDescent="0.2">
      <c r="A124" s="18"/>
      <c r="B124" s="1237"/>
      <c r="C124" s="364" t="s">
        <v>98</v>
      </c>
      <c r="D124" s="346"/>
      <c r="E124" s="346"/>
      <c r="F124" s="346"/>
      <c r="G124" s="346"/>
      <c r="H124" s="347"/>
      <c r="I124" s="1447"/>
      <c r="J124" s="1450"/>
      <c r="K124" s="43" t="s">
        <v>591</v>
      </c>
      <c r="L124" s="44" t="s">
        <v>266</v>
      </c>
      <c r="M124" s="18"/>
      <c r="N124" s="4"/>
      <c r="O124" s="37">
        <v>11</v>
      </c>
      <c r="P124" s="157" t="s">
        <v>265</v>
      </c>
      <c r="Q124" s="24"/>
      <c r="R124" s="24"/>
      <c r="S124" s="24"/>
      <c r="T124" s="24"/>
      <c r="U124" s="24"/>
      <c r="V124" s="24"/>
      <c r="W124" s="24"/>
      <c r="X124" s="24"/>
      <c r="Y124" s="24"/>
      <c r="Z124" s="24"/>
      <c r="AA124" s="24"/>
      <c r="AB124" s="24"/>
      <c r="AC124" s="24"/>
      <c r="AD124" s="24"/>
      <c r="AE124" s="24"/>
      <c r="AF124" s="24"/>
    </row>
    <row r="125" spans="1:32" ht="30" customHeight="1" x14ac:dyDescent="0.2">
      <c r="A125" s="18"/>
      <c r="B125" s="1238"/>
      <c r="C125" s="1453" t="s">
        <v>643</v>
      </c>
      <c r="D125" s="1213"/>
      <c r="E125" s="1213"/>
      <c r="F125" s="1213"/>
      <c r="G125" s="1213"/>
      <c r="H125" s="1454"/>
      <c r="I125" s="1448"/>
      <c r="J125" s="1451"/>
      <c r="K125" s="43" t="s">
        <v>591</v>
      </c>
      <c r="L125" s="44" t="s">
        <v>266</v>
      </c>
      <c r="M125" s="18"/>
      <c r="N125" s="4"/>
      <c r="O125" s="37">
        <v>11</v>
      </c>
      <c r="P125" s="157" t="s">
        <v>265</v>
      </c>
      <c r="Q125" s="24"/>
      <c r="R125" s="24"/>
      <c r="S125" s="24"/>
      <c r="T125" s="24"/>
      <c r="U125" s="24"/>
      <c r="V125" s="24"/>
      <c r="W125" s="24"/>
      <c r="X125" s="24"/>
      <c r="Y125" s="24"/>
      <c r="Z125" s="24"/>
      <c r="AA125" s="24"/>
      <c r="AB125" s="24"/>
      <c r="AC125" s="24"/>
      <c r="AD125" s="24"/>
      <c r="AE125" s="24"/>
      <c r="AF125" s="24"/>
    </row>
    <row r="126" spans="1:32" ht="39.950000000000003" customHeight="1" x14ac:dyDescent="0.2">
      <c r="B126" s="327" t="s">
        <v>601</v>
      </c>
      <c r="C126" s="1063" t="s">
        <v>602</v>
      </c>
      <c r="D126" s="1063"/>
      <c r="E126" s="1063"/>
      <c r="F126" s="1063"/>
      <c r="G126" s="1063"/>
      <c r="H126" s="1063"/>
      <c r="I126" s="328" t="s">
        <v>924</v>
      </c>
      <c r="J126" s="329">
        <v>0.9</v>
      </c>
      <c r="K126" s="43" t="s">
        <v>601</v>
      </c>
      <c r="L126" s="44" t="s">
        <v>266</v>
      </c>
      <c r="N126" s="46" t="s">
        <v>30</v>
      </c>
      <c r="O126" s="37">
        <v>11</v>
      </c>
      <c r="P126" s="157" t="s">
        <v>265</v>
      </c>
    </row>
    <row r="127" spans="1:32" ht="39.950000000000003" customHeight="1" x14ac:dyDescent="0.2">
      <c r="B127" s="327" t="s">
        <v>603</v>
      </c>
      <c r="C127" s="1063" t="s">
        <v>604</v>
      </c>
      <c r="D127" s="1063"/>
      <c r="E127" s="1063"/>
      <c r="F127" s="1063"/>
      <c r="G127" s="1063"/>
      <c r="H127" s="1063"/>
      <c r="I127" s="328" t="s">
        <v>924</v>
      </c>
      <c r="J127" s="329">
        <v>0.85</v>
      </c>
      <c r="K127" s="43" t="s">
        <v>603</v>
      </c>
      <c r="L127" s="44" t="s">
        <v>266</v>
      </c>
      <c r="M127" s="23"/>
      <c r="N127" s="46" t="s">
        <v>30</v>
      </c>
      <c r="O127" s="37">
        <v>11</v>
      </c>
      <c r="P127" s="157" t="s">
        <v>265</v>
      </c>
    </row>
    <row r="128" spans="1:32" ht="20.100000000000001" customHeight="1" x14ac:dyDescent="0.2">
      <c r="B128" s="31"/>
      <c r="C128" s="31"/>
      <c r="D128" s="31"/>
      <c r="E128" s="31"/>
      <c r="F128" s="31"/>
      <c r="G128" s="31"/>
      <c r="H128" s="31"/>
      <c r="I128" s="32"/>
      <c r="J128" s="31"/>
    </row>
    <row r="129" spans="1:17" s="24" customFormat="1" ht="30" customHeight="1" x14ac:dyDescent="0.2">
      <c r="B129" s="904" t="s">
        <v>268</v>
      </c>
      <c r="C129" s="905"/>
      <c r="D129" s="905"/>
      <c r="E129" s="905"/>
      <c r="F129" s="905"/>
      <c r="G129" s="905"/>
      <c r="H129" s="906"/>
      <c r="I129" s="34" t="s">
        <v>17</v>
      </c>
      <c r="J129" s="35" t="s">
        <v>18</v>
      </c>
      <c r="K129" s="18"/>
      <c r="L129" s="4"/>
      <c r="M129" s="22"/>
      <c r="N129" s="46" t="s">
        <v>30</v>
      </c>
      <c r="O129" s="4"/>
      <c r="P129" s="59"/>
    </row>
    <row r="130" spans="1:17" s="24" customFormat="1" ht="30" customHeight="1" x14ac:dyDescent="0.2">
      <c r="A130" s="18"/>
      <c r="B130" s="949" t="s">
        <v>269</v>
      </c>
      <c r="C130" s="950"/>
      <c r="D130" s="950"/>
      <c r="E130" s="950"/>
      <c r="F130" s="950"/>
      <c r="G130" s="950"/>
      <c r="H130" s="950"/>
      <c r="I130" s="950"/>
      <c r="J130" s="951"/>
      <c r="K130" s="18"/>
      <c r="L130" s="4"/>
      <c r="M130" s="3"/>
      <c r="N130" s="4"/>
      <c r="O130" s="4"/>
      <c r="P130" s="59"/>
    </row>
    <row r="131" spans="1:17" s="24" customFormat="1" ht="47.25" customHeight="1" x14ac:dyDescent="0.2">
      <c r="A131" s="18"/>
      <c r="B131" s="1169" t="s">
        <v>270</v>
      </c>
      <c r="C131" s="1170"/>
      <c r="D131" s="1170"/>
      <c r="E131" s="1170"/>
      <c r="F131" s="1170"/>
      <c r="G131" s="1170"/>
      <c r="H131" s="1170"/>
      <c r="I131" s="1170"/>
      <c r="J131" s="1171"/>
      <c r="K131" s="18"/>
      <c r="L131" s="58"/>
      <c r="M131" s="79"/>
      <c r="N131" s="4"/>
      <c r="O131" s="4"/>
      <c r="P131" s="59"/>
    </row>
    <row r="132" spans="1:17" s="24" customFormat="1" ht="47.25" customHeight="1" x14ac:dyDescent="0.2">
      <c r="A132" s="18"/>
      <c r="B132" s="60" t="s">
        <v>567</v>
      </c>
      <c r="C132" s="1194" t="s">
        <v>134</v>
      </c>
      <c r="D132" s="1177"/>
      <c r="E132" s="1034" t="s">
        <v>95</v>
      </c>
      <c r="F132" s="1034"/>
      <c r="G132" s="1034" t="s">
        <v>631</v>
      </c>
      <c r="H132" s="1034"/>
      <c r="I132" s="61">
        <v>0</v>
      </c>
      <c r="J132" s="348">
        <v>1</v>
      </c>
      <c r="K132" s="18"/>
      <c r="L132" s="58"/>
      <c r="M132" s="79"/>
      <c r="N132" s="4"/>
      <c r="O132" s="4"/>
      <c r="P132" s="59"/>
    </row>
    <row r="133" spans="1:17" s="24" customFormat="1" ht="47.25" customHeight="1" x14ac:dyDescent="0.2">
      <c r="A133" s="18"/>
      <c r="B133" s="1047" t="s">
        <v>85</v>
      </c>
      <c r="C133" s="1190" t="s">
        <v>342</v>
      </c>
      <c r="D133" s="1190"/>
      <c r="E133" s="1190" t="s">
        <v>378</v>
      </c>
      <c r="F133" s="1190"/>
      <c r="G133" s="1195" t="s">
        <v>572</v>
      </c>
      <c r="H133" s="1195"/>
      <c r="I133" s="1110">
        <v>0</v>
      </c>
      <c r="J133" s="1175">
        <v>1</v>
      </c>
      <c r="K133" s="18"/>
      <c r="L133" s="58"/>
      <c r="M133" s="79"/>
      <c r="N133" s="4"/>
      <c r="O133" s="4"/>
      <c r="P133" s="59"/>
    </row>
    <row r="134" spans="1:17" s="24" customFormat="1" ht="47.25" customHeight="1" x14ac:dyDescent="0.2">
      <c r="A134" s="18"/>
      <c r="B134" s="1109"/>
      <c r="C134" s="1191" t="s">
        <v>402</v>
      </c>
      <c r="D134" s="1191"/>
      <c r="E134" s="1191" t="s">
        <v>381</v>
      </c>
      <c r="F134" s="1191"/>
      <c r="G134" s="1191" t="s">
        <v>644</v>
      </c>
      <c r="H134" s="1191"/>
      <c r="I134" s="1111"/>
      <c r="J134" s="1179"/>
      <c r="K134" s="18"/>
      <c r="L134" s="58"/>
      <c r="M134" s="79"/>
      <c r="N134" s="4"/>
      <c r="O134" s="4"/>
      <c r="P134" s="59"/>
    </row>
    <row r="135" spans="1:17" s="24" customFormat="1" ht="47.25" customHeight="1" x14ac:dyDescent="0.2">
      <c r="A135" s="18"/>
      <c r="B135" s="1109"/>
      <c r="C135" s="1445" t="s">
        <v>573</v>
      </c>
      <c r="D135" s="1191"/>
      <c r="E135" s="365"/>
      <c r="F135" s="365"/>
      <c r="G135" s="365"/>
      <c r="H135" s="365"/>
      <c r="I135" s="1111"/>
      <c r="J135" s="1179"/>
      <c r="K135" s="18"/>
      <c r="L135" s="58"/>
      <c r="M135" s="79"/>
      <c r="N135" s="4"/>
      <c r="O135" s="4"/>
      <c r="P135" s="59"/>
    </row>
    <row r="136" spans="1:17" s="24" customFormat="1" ht="47.25" customHeight="1" x14ac:dyDescent="0.2">
      <c r="A136" s="18"/>
      <c r="B136" s="1048"/>
      <c r="C136" s="1197" t="s">
        <v>645</v>
      </c>
      <c r="D136" s="1198"/>
      <c r="E136" s="1198"/>
      <c r="F136" s="1198"/>
      <c r="G136" s="1198"/>
      <c r="H136" s="1199"/>
      <c r="I136" s="1112"/>
      <c r="J136" s="1176"/>
      <c r="K136" s="18"/>
      <c r="L136" s="58"/>
      <c r="M136" s="79"/>
      <c r="N136" s="4"/>
      <c r="O136" s="4"/>
      <c r="P136" s="59"/>
    </row>
    <row r="137" spans="1:17" s="24" customFormat="1" ht="30" customHeight="1" x14ac:dyDescent="0.2">
      <c r="A137" s="18"/>
      <c r="B137" s="366" t="s">
        <v>584</v>
      </c>
      <c r="C137" s="1434" t="s">
        <v>587</v>
      </c>
      <c r="D137" s="1435"/>
      <c r="E137" s="1435" t="s">
        <v>138</v>
      </c>
      <c r="F137" s="1435"/>
      <c r="G137" s="1435" t="s">
        <v>586</v>
      </c>
      <c r="H137" s="1436"/>
      <c r="I137" s="367">
        <v>0</v>
      </c>
      <c r="J137" s="368">
        <v>1</v>
      </c>
      <c r="K137" s="18"/>
      <c r="L137" s="58"/>
      <c r="M137" s="79"/>
      <c r="N137" s="4"/>
      <c r="O137" s="4"/>
      <c r="P137" s="59"/>
    </row>
    <row r="138" spans="1:17" s="24" customFormat="1" ht="30" customHeight="1" x14ac:dyDescent="0.2">
      <c r="A138" s="18"/>
      <c r="B138" s="1437" t="s">
        <v>571</v>
      </c>
      <c r="C138" s="1440" t="s">
        <v>596</v>
      </c>
      <c r="D138" s="1441"/>
      <c r="E138" s="1442" t="s">
        <v>646</v>
      </c>
      <c r="F138" s="1442"/>
      <c r="G138" s="1443" t="s">
        <v>598</v>
      </c>
      <c r="H138" s="1444"/>
      <c r="I138" s="1422">
        <v>0</v>
      </c>
      <c r="J138" s="1425">
        <v>1</v>
      </c>
      <c r="K138" s="18"/>
      <c r="L138" s="58"/>
      <c r="M138" s="79"/>
      <c r="N138" s="46" t="s">
        <v>30</v>
      </c>
      <c r="O138" s="4"/>
      <c r="P138" s="59"/>
    </row>
    <row r="139" spans="1:17" s="24" customFormat="1" ht="30" customHeight="1" x14ac:dyDescent="0.2">
      <c r="A139" s="18"/>
      <c r="B139" s="1438"/>
      <c r="C139" s="1428" t="s">
        <v>647</v>
      </c>
      <c r="D139" s="1192"/>
      <c r="E139" s="369"/>
      <c r="F139" s="369"/>
      <c r="G139" s="370"/>
      <c r="H139" s="371"/>
      <c r="I139" s="1423"/>
      <c r="J139" s="1426"/>
      <c r="K139" s="18"/>
      <c r="L139" s="58"/>
      <c r="M139" s="79"/>
      <c r="N139" s="4"/>
      <c r="O139" s="4"/>
      <c r="P139" s="59"/>
    </row>
    <row r="140" spans="1:17" ht="37.5" customHeight="1" x14ac:dyDescent="0.2">
      <c r="B140" s="1439"/>
      <c r="C140" s="1429" t="s">
        <v>648</v>
      </c>
      <c r="D140" s="1430"/>
      <c r="E140" s="1430"/>
      <c r="F140" s="1430"/>
      <c r="G140" s="1430"/>
      <c r="H140" s="1431"/>
      <c r="I140" s="1424"/>
      <c r="J140" s="1427"/>
      <c r="K140"/>
      <c r="L140"/>
      <c r="M140"/>
      <c r="N140"/>
      <c r="O140"/>
      <c r="P140"/>
      <c r="Q140"/>
    </row>
    <row r="141" spans="1:17" ht="37.5" customHeight="1" x14ac:dyDescent="0.2">
      <c r="B141" s="372" t="s">
        <v>591</v>
      </c>
      <c r="C141" s="1432" t="s">
        <v>592</v>
      </c>
      <c r="D141" s="1433"/>
      <c r="E141" s="868" t="s">
        <v>176</v>
      </c>
      <c r="F141" s="868"/>
      <c r="G141" s="1209" t="s">
        <v>593</v>
      </c>
      <c r="H141" s="1210"/>
      <c r="I141" s="373">
        <v>0</v>
      </c>
      <c r="J141" s="363">
        <v>1</v>
      </c>
      <c r="K141"/>
      <c r="L141"/>
      <c r="M141"/>
      <c r="N141"/>
      <c r="O141"/>
      <c r="P141"/>
      <c r="Q141"/>
    </row>
    <row r="142" spans="1:17" ht="20.100000000000001" customHeight="1" x14ac:dyDescent="0.2">
      <c r="B142" s="31"/>
      <c r="C142" s="31"/>
      <c r="D142" s="31"/>
      <c r="E142" s="31"/>
      <c r="F142" s="31"/>
      <c r="G142" s="31"/>
      <c r="H142" s="31"/>
      <c r="I142" s="32"/>
      <c r="J142" s="31"/>
    </row>
    <row r="143" spans="1:17" ht="30" customHeight="1" x14ac:dyDescent="0.2">
      <c r="B143" s="972" t="s">
        <v>505</v>
      </c>
      <c r="C143" s="975"/>
      <c r="D143" s="975"/>
      <c r="E143" s="975"/>
      <c r="F143" s="975"/>
      <c r="G143" s="975"/>
      <c r="H143" s="975"/>
      <c r="I143" s="34" t="s">
        <v>466</v>
      </c>
      <c r="J143" s="374" t="s">
        <v>18</v>
      </c>
      <c r="K143" s="36" t="s">
        <v>506</v>
      </c>
      <c r="L143" s="37">
        <v>47</v>
      </c>
      <c r="M143" s="181"/>
      <c r="N143" s="182" t="s">
        <v>30</v>
      </c>
      <c r="O143" s="37">
        <v>47</v>
      </c>
    </row>
    <row r="144" spans="1:17" ht="30" customHeight="1" x14ac:dyDescent="0.2">
      <c r="B144" s="946" t="s">
        <v>649</v>
      </c>
      <c r="C144" s="947"/>
      <c r="D144" s="947"/>
      <c r="E144" s="947"/>
      <c r="F144" s="947"/>
      <c r="G144" s="947"/>
      <c r="H144" s="947"/>
      <c r="I144" s="947"/>
      <c r="J144" s="948"/>
      <c r="K144" s="36" t="s">
        <v>506</v>
      </c>
      <c r="L144" s="37">
        <v>47</v>
      </c>
      <c r="M144" s="181"/>
      <c r="N144" s="67"/>
      <c r="O144" s="37">
        <v>47</v>
      </c>
    </row>
    <row r="145" spans="1:17" ht="30" customHeight="1" x14ac:dyDescent="0.2">
      <c r="B145" s="901" t="s">
        <v>510</v>
      </c>
      <c r="C145" s="902"/>
      <c r="D145" s="902"/>
      <c r="E145" s="902"/>
      <c r="F145" s="902"/>
      <c r="G145" s="902"/>
      <c r="H145" s="902"/>
      <c r="I145" s="902"/>
      <c r="J145" s="903"/>
      <c r="K145" s="36" t="s">
        <v>506</v>
      </c>
      <c r="L145" s="37">
        <v>47</v>
      </c>
      <c r="M145" s="181"/>
      <c r="N145" s="67"/>
      <c r="O145" s="37">
        <v>47</v>
      </c>
    </row>
    <row r="146" spans="1:17" ht="30" customHeight="1" x14ac:dyDescent="0.2">
      <c r="B146" s="375" t="s">
        <v>650</v>
      </c>
      <c r="C146" s="919" t="s">
        <v>651</v>
      </c>
      <c r="D146" s="919"/>
      <c r="E146" s="919"/>
      <c r="F146" s="919"/>
      <c r="G146" s="919"/>
      <c r="H146" s="919"/>
      <c r="I146" s="108">
        <v>400</v>
      </c>
      <c r="J146" s="376">
        <v>0.5</v>
      </c>
      <c r="K146" s="36" t="s">
        <v>506</v>
      </c>
      <c r="L146" s="37">
        <v>47</v>
      </c>
      <c r="M146" s="181"/>
      <c r="N146" s="67"/>
      <c r="O146" s="37">
        <v>47</v>
      </c>
    </row>
    <row r="147" spans="1:17" ht="30" customHeight="1" x14ac:dyDescent="0.2">
      <c r="B147" s="136" t="s">
        <v>396</v>
      </c>
      <c r="C147" s="919" t="s">
        <v>514</v>
      </c>
      <c r="D147" s="919"/>
      <c r="E147" s="919"/>
      <c r="F147" s="919"/>
      <c r="G147" s="919"/>
      <c r="H147" s="919"/>
      <c r="I147" s="335">
        <v>400</v>
      </c>
      <c r="J147" s="377">
        <v>0.5</v>
      </c>
      <c r="K147" s="36" t="s">
        <v>506</v>
      </c>
      <c r="L147" s="37">
        <v>47</v>
      </c>
      <c r="M147" s="181"/>
      <c r="N147" s="67"/>
      <c r="O147" s="37">
        <v>47</v>
      </c>
    </row>
    <row r="148" spans="1:17" ht="20.100000000000001" customHeight="1" x14ac:dyDescent="0.2">
      <c r="B148" s="31"/>
      <c r="C148" s="31"/>
      <c r="D148" s="31"/>
      <c r="E148" s="31"/>
      <c r="F148" s="31"/>
      <c r="G148" s="31"/>
      <c r="H148" s="31"/>
      <c r="I148" s="32"/>
      <c r="J148" s="31"/>
    </row>
    <row r="149" spans="1:17" ht="30" customHeight="1" x14ac:dyDescent="0.2">
      <c r="A149" s="23"/>
      <c r="B149" s="1223" t="s">
        <v>318</v>
      </c>
      <c r="C149" s="1223"/>
      <c r="D149" s="1223"/>
      <c r="E149" s="1223"/>
      <c r="F149" s="1223"/>
      <c r="G149" s="1223"/>
      <c r="H149" s="1223"/>
      <c r="I149" s="34" t="s">
        <v>17</v>
      </c>
      <c r="J149" s="254" t="s">
        <v>18</v>
      </c>
      <c r="K149" s="36" t="s">
        <v>319</v>
      </c>
      <c r="L149" s="36" t="s">
        <v>319</v>
      </c>
      <c r="M149" s="23"/>
      <c r="N149" s="46" t="s">
        <v>30</v>
      </c>
      <c r="O149" s="37">
        <v>13</v>
      </c>
      <c r="P149"/>
    </row>
    <row r="150" spans="1:17" ht="30" customHeight="1" x14ac:dyDescent="0.2">
      <c r="A150" s="23"/>
      <c r="B150" s="982" t="s">
        <v>567</v>
      </c>
      <c r="C150" s="1416" t="s">
        <v>134</v>
      </c>
      <c r="D150" s="1417"/>
      <c r="E150" s="1418" t="s">
        <v>652</v>
      </c>
      <c r="F150" s="1418"/>
      <c r="G150" s="1149" t="s">
        <v>570</v>
      </c>
      <c r="H150" s="1151"/>
      <c r="I150" s="1414">
        <v>45</v>
      </c>
      <c r="J150" s="1141">
        <v>0.85</v>
      </c>
      <c r="K150" s="36"/>
      <c r="L150" s="36"/>
      <c r="M150" s="23"/>
      <c r="N150" s="46"/>
      <c r="O150" s="37"/>
      <c r="P150"/>
    </row>
    <row r="151" spans="1:17" ht="30" customHeight="1" x14ac:dyDescent="0.2">
      <c r="A151" s="23"/>
      <c r="B151" s="983"/>
      <c r="C151" s="1420" t="s">
        <v>653</v>
      </c>
      <c r="D151" s="1421"/>
      <c r="E151" s="378" t="s">
        <v>654</v>
      </c>
      <c r="F151" s="379"/>
      <c r="G151" s="159" t="s">
        <v>655</v>
      </c>
      <c r="H151" s="380"/>
      <c r="I151" s="1415"/>
      <c r="J151" s="1142"/>
      <c r="K151" s="36"/>
      <c r="L151" s="36"/>
      <c r="M151" s="23"/>
      <c r="N151" s="46"/>
      <c r="O151" s="37"/>
      <c r="P151"/>
    </row>
    <row r="152" spans="1:17" ht="30" customHeight="1" x14ac:dyDescent="0.2">
      <c r="A152" s="23"/>
      <c r="B152" s="984"/>
      <c r="C152" s="1147" t="s">
        <v>656</v>
      </c>
      <c r="D152" s="1148"/>
      <c r="E152" s="1034"/>
      <c r="F152" s="1034"/>
      <c r="G152" s="50"/>
      <c r="H152" s="124"/>
      <c r="I152" s="1419"/>
      <c r="J152" s="1143"/>
      <c r="K152" s="36"/>
      <c r="L152" s="36"/>
      <c r="M152" s="23"/>
      <c r="N152" s="46"/>
      <c r="O152" s="37"/>
      <c r="P152"/>
    </row>
    <row r="153" spans="1:17" ht="30" customHeight="1" x14ac:dyDescent="0.2">
      <c r="A153" s="23"/>
      <c r="B153" s="952" t="s">
        <v>571</v>
      </c>
      <c r="C153" s="1150" t="s">
        <v>577</v>
      </c>
      <c r="D153" s="1149"/>
      <c r="E153" s="1149" t="s">
        <v>378</v>
      </c>
      <c r="F153" s="1149"/>
      <c r="G153" s="986" t="s">
        <v>342</v>
      </c>
      <c r="H153" s="987"/>
      <c r="I153" s="1414">
        <v>40</v>
      </c>
      <c r="J153" s="1141">
        <v>0.85</v>
      </c>
      <c r="K153" s="36"/>
      <c r="L153" s="36"/>
      <c r="M153" s="23"/>
      <c r="N153" s="46"/>
      <c r="O153" s="37"/>
      <c r="P153"/>
    </row>
    <row r="154" spans="1:17" ht="30" customHeight="1" x14ac:dyDescent="0.2">
      <c r="A154" s="23"/>
      <c r="B154" s="953"/>
      <c r="C154" s="1144" t="s">
        <v>657</v>
      </c>
      <c r="D154" s="1145"/>
      <c r="E154" s="1145" t="s">
        <v>574</v>
      </c>
      <c r="F154" s="1145"/>
      <c r="G154" s="1145" t="s">
        <v>580</v>
      </c>
      <c r="H154" s="1146"/>
      <c r="I154" s="1415"/>
      <c r="J154" s="1142"/>
      <c r="K154" s="36"/>
      <c r="L154" s="36"/>
      <c r="M154" s="23"/>
      <c r="N154" s="46"/>
      <c r="O154" s="37"/>
      <c r="P154"/>
    </row>
    <row r="155" spans="1:17" ht="30" customHeight="1" x14ac:dyDescent="0.2">
      <c r="A155" s="23"/>
      <c r="B155" s="954"/>
      <c r="C155" s="1147" t="s">
        <v>576</v>
      </c>
      <c r="D155" s="1148"/>
      <c r="E155" s="1148" t="s">
        <v>578</v>
      </c>
      <c r="F155" s="1148"/>
      <c r="G155" s="944"/>
      <c r="H155" s="945"/>
      <c r="I155" s="1415"/>
      <c r="J155" s="1142"/>
      <c r="K155" s="36"/>
      <c r="L155" s="36"/>
      <c r="M155" s="23"/>
      <c r="N155" s="46"/>
      <c r="O155" s="37"/>
      <c r="P155"/>
    </row>
    <row r="156" spans="1:17" ht="39.950000000000003" customHeight="1" x14ac:dyDescent="0.25">
      <c r="A156" s="23"/>
      <c r="B156" s="381" t="s">
        <v>584</v>
      </c>
      <c r="C156" s="1404" t="s">
        <v>587</v>
      </c>
      <c r="D156" s="1405"/>
      <c r="E156" s="1406" t="s">
        <v>658</v>
      </c>
      <c r="F156" s="1406"/>
      <c r="G156" s="1406"/>
      <c r="H156" s="1407"/>
      <c r="I156" s="382">
        <v>50</v>
      </c>
      <c r="J156" s="53">
        <v>0.85</v>
      </c>
      <c r="K156" s="43" t="s">
        <v>584</v>
      </c>
      <c r="L156" s="36" t="s">
        <v>319</v>
      </c>
      <c r="M156" s="181"/>
      <c r="N156" s="67"/>
      <c r="O156" s="183">
        <v>13</v>
      </c>
      <c r="P156"/>
      <c r="Q156" s="383"/>
    </row>
    <row r="157" spans="1:17" ht="30" customHeight="1" x14ac:dyDescent="0.25">
      <c r="A157" s="23"/>
      <c r="B157" s="1408" t="s">
        <v>595</v>
      </c>
      <c r="C157" s="1410" t="s">
        <v>596</v>
      </c>
      <c r="D157" s="1411"/>
      <c r="E157" s="1195" t="s">
        <v>597</v>
      </c>
      <c r="F157" s="1195"/>
      <c r="G157" s="1412" t="s">
        <v>598</v>
      </c>
      <c r="H157" s="1413"/>
      <c r="I157" s="1397">
        <v>40</v>
      </c>
      <c r="J157" s="915">
        <v>0.85</v>
      </c>
      <c r="K157" s="43" t="s">
        <v>571</v>
      </c>
      <c r="L157" s="36" t="s">
        <v>319</v>
      </c>
      <c r="M157" s="181"/>
      <c r="N157" s="182" t="s">
        <v>30</v>
      </c>
      <c r="O157" s="183">
        <v>13</v>
      </c>
      <c r="P157"/>
      <c r="Q157" s="383"/>
    </row>
    <row r="158" spans="1:17" ht="30" customHeight="1" x14ac:dyDescent="0.25">
      <c r="A158" s="23"/>
      <c r="B158" s="1409"/>
      <c r="C158" s="1399" t="s">
        <v>599</v>
      </c>
      <c r="D158" s="1400"/>
      <c r="E158" s="1400"/>
      <c r="F158" s="1400"/>
      <c r="G158" s="384"/>
      <c r="H158" s="385"/>
      <c r="I158" s="1398"/>
      <c r="J158" s="916"/>
      <c r="K158" s="43" t="s">
        <v>571</v>
      </c>
      <c r="L158" s="36" t="s">
        <v>319</v>
      </c>
      <c r="M158" s="181"/>
      <c r="N158" s="4"/>
      <c r="O158" s="183">
        <v>13</v>
      </c>
      <c r="P158"/>
      <c r="Q158" s="383"/>
    </row>
    <row r="159" spans="1:17" ht="30" customHeight="1" x14ac:dyDescent="0.25">
      <c r="A159" s="23"/>
      <c r="B159" s="386" t="s">
        <v>591</v>
      </c>
      <c r="C159" s="1401" t="s">
        <v>592</v>
      </c>
      <c r="D159" s="1402"/>
      <c r="E159" s="1402" t="s">
        <v>176</v>
      </c>
      <c r="F159" s="1402"/>
      <c r="G159" s="1402"/>
      <c r="H159" s="1403"/>
      <c r="I159" s="387">
        <v>80</v>
      </c>
      <c r="J159" s="388">
        <v>0.75</v>
      </c>
      <c r="K159" s="43"/>
      <c r="L159" s="36"/>
      <c r="M159" s="181"/>
      <c r="N159" s="4"/>
      <c r="O159" s="183"/>
      <c r="P159"/>
      <c r="Q159" s="383"/>
    </row>
    <row r="160" spans="1:17" ht="60" customHeight="1" x14ac:dyDescent="0.25">
      <c r="A160" s="23"/>
      <c r="B160" s="96" t="s">
        <v>312</v>
      </c>
      <c r="C160" s="901" t="s">
        <v>324</v>
      </c>
      <c r="D160" s="902"/>
      <c r="E160" s="902"/>
      <c r="F160" s="902"/>
      <c r="G160" s="902"/>
      <c r="H160" s="903"/>
      <c r="I160" s="74">
        <v>0</v>
      </c>
      <c r="J160" s="97">
        <v>1</v>
      </c>
      <c r="K160" s="36" t="s">
        <v>319</v>
      </c>
      <c r="L160" s="36" t="s">
        <v>319</v>
      </c>
      <c r="M160" s="383"/>
      <c r="N160" s="182" t="s">
        <v>30</v>
      </c>
      <c r="O160"/>
      <c r="P160"/>
      <c r="Q160" s="383"/>
    </row>
    <row r="161" spans="1:17" ht="30" customHeight="1" x14ac:dyDescent="0.25">
      <c r="A161" s="23"/>
      <c r="B161" s="901" t="s">
        <v>325</v>
      </c>
      <c r="C161" s="902"/>
      <c r="D161" s="902"/>
      <c r="E161" s="902"/>
      <c r="F161" s="902"/>
      <c r="G161" s="902"/>
      <c r="H161" s="902"/>
      <c r="I161" s="902"/>
      <c r="J161" s="903"/>
      <c r="K161" s="383"/>
      <c r="L161" s="383"/>
      <c r="M161" s="383"/>
      <c r="N161" s="383"/>
      <c r="O161" s="383"/>
      <c r="P161" s="383"/>
      <c r="Q161" s="383"/>
    </row>
    <row r="162" spans="1:17" ht="20.100000000000001" customHeight="1" x14ac:dyDescent="0.2">
      <c r="B162" s="31"/>
      <c r="C162" s="31"/>
      <c r="D162" s="31"/>
      <c r="E162" s="31"/>
      <c r="F162" s="31"/>
      <c r="G162" s="31"/>
      <c r="H162" s="31"/>
      <c r="I162" s="32"/>
      <c r="J162" s="31"/>
    </row>
    <row r="163" spans="1:17" ht="30" customHeight="1" x14ac:dyDescent="0.2">
      <c r="A163" s="18"/>
      <c r="B163" s="904" t="s">
        <v>326</v>
      </c>
      <c r="C163" s="905"/>
      <c r="D163" s="905"/>
      <c r="E163" s="905"/>
      <c r="F163" s="905"/>
      <c r="G163" s="905"/>
      <c r="H163" s="906"/>
      <c r="I163" s="34" t="s">
        <v>17</v>
      </c>
      <c r="J163" s="35" t="s">
        <v>18</v>
      </c>
      <c r="K163" s="197" t="s">
        <v>327</v>
      </c>
      <c r="L163" s="195">
        <v>14</v>
      </c>
      <c r="N163" s="46" t="s">
        <v>30</v>
      </c>
      <c r="O163" s="195">
        <v>14</v>
      </c>
    </row>
    <row r="164" spans="1:17" ht="39.950000000000003" customHeight="1" x14ac:dyDescent="0.2">
      <c r="A164" s="23"/>
      <c r="B164" s="96" t="s">
        <v>328</v>
      </c>
      <c r="C164" s="1063" t="s">
        <v>659</v>
      </c>
      <c r="D164" s="1395"/>
      <c r="E164" s="1395"/>
      <c r="F164" s="1395"/>
      <c r="G164" s="1395"/>
      <c r="H164" s="1395"/>
      <c r="I164" s="74">
        <v>0</v>
      </c>
      <c r="J164" s="97">
        <v>1</v>
      </c>
      <c r="K164" s="194" t="s">
        <v>327</v>
      </c>
      <c r="L164" s="195">
        <v>14</v>
      </c>
      <c r="O164" s="195">
        <v>14</v>
      </c>
    </row>
    <row r="165" spans="1:17" ht="20.100000000000001" customHeight="1" x14ac:dyDescent="0.2">
      <c r="B165" s="31"/>
      <c r="C165" s="31"/>
      <c r="D165" s="31"/>
      <c r="E165" s="31"/>
      <c r="F165" s="31"/>
      <c r="G165" s="31"/>
      <c r="H165" s="31"/>
      <c r="I165" s="32"/>
      <c r="J165" s="31"/>
    </row>
    <row r="166" spans="1:17" ht="30" customHeight="1" x14ac:dyDescent="0.2">
      <c r="B166" s="1223" t="s">
        <v>330</v>
      </c>
      <c r="C166" s="1223"/>
      <c r="D166" s="1223"/>
      <c r="E166" s="1223"/>
      <c r="F166" s="1223"/>
      <c r="G166" s="1223"/>
      <c r="H166" s="1223"/>
      <c r="I166" s="34" t="s">
        <v>17</v>
      </c>
      <c r="J166" s="254" t="s">
        <v>18</v>
      </c>
      <c r="K166" s="197" t="s">
        <v>331</v>
      </c>
      <c r="L166" s="195">
        <v>15</v>
      </c>
      <c r="N166" s="46" t="s">
        <v>30</v>
      </c>
      <c r="O166" s="195">
        <v>15</v>
      </c>
    </row>
    <row r="167" spans="1:17" ht="30" customHeight="1" x14ac:dyDescent="0.2">
      <c r="B167" s="1396" t="s">
        <v>332</v>
      </c>
      <c r="C167" s="1396"/>
      <c r="D167" s="1396"/>
      <c r="E167" s="1396"/>
      <c r="F167" s="1396"/>
      <c r="G167" s="1396"/>
      <c r="H167" s="1396"/>
      <c r="I167" s="1396"/>
      <c r="J167" s="1396"/>
      <c r="K167" s="197" t="s">
        <v>331</v>
      </c>
      <c r="L167" s="195">
        <v>15</v>
      </c>
      <c r="M167" s="23"/>
      <c r="O167" s="195">
        <v>15</v>
      </c>
    </row>
    <row r="168" spans="1:17" ht="45" customHeight="1" x14ac:dyDescent="0.2">
      <c r="B168" s="60" t="s">
        <v>335</v>
      </c>
      <c r="C168" s="867" t="s">
        <v>660</v>
      </c>
      <c r="D168" s="868"/>
      <c r="E168" s="868"/>
      <c r="F168" s="868"/>
      <c r="G168" s="868"/>
      <c r="H168" s="869"/>
      <c r="I168" s="61">
        <v>0</v>
      </c>
      <c r="J168" s="348">
        <v>1</v>
      </c>
      <c r="K168" s="197" t="s">
        <v>331</v>
      </c>
      <c r="L168" s="195">
        <v>15</v>
      </c>
      <c r="M168" s="23"/>
      <c r="O168" s="195">
        <v>15</v>
      </c>
    </row>
    <row r="169" spans="1:17" ht="39.950000000000003" customHeight="1" x14ac:dyDescent="0.2">
      <c r="A169" s="23"/>
      <c r="B169" s="60" t="s">
        <v>340</v>
      </c>
      <c r="C169" s="867" t="s">
        <v>661</v>
      </c>
      <c r="D169" s="868"/>
      <c r="E169" s="868"/>
      <c r="F169" s="868"/>
      <c r="G169" s="868"/>
      <c r="H169" s="869"/>
      <c r="I169" s="61">
        <v>0</v>
      </c>
      <c r="J169" s="348">
        <v>1</v>
      </c>
      <c r="K169" s="197" t="s">
        <v>331</v>
      </c>
      <c r="L169" s="195">
        <v>15</v>
      </c>
      <c r="N169" s="46" t="s">
        <v>30</v>
      </c>
      <c r="O169" s="195">
        <v>15</v>
      </c>
    </row>
    <row r="170" spans="1:17" ht="51.75" customHeight="1" x14ac:dyDescent="0.2">
      <c r="A170" s="23"/>
      <c r="B170" s="1047" t="s">
        <v>352</v>
      </c>
      <c r="C170" s="867" t="s">
        <v>353</v>
      </c>
      <c r="D170" s="868"/>
      <c r="E170" s="868"/>
      <c r="F170" s="868"/>
      <c r="G170" s="868"/>
      <c r="H170" s="869"/>
      <c r="I170" s="1110">
        <v>0</v>
      </c>
      <c r="J170" s="1175">
        <v>1</v>
      </c>
      <c r="K170" s="197" t="s">
        <v>331</v>
      </c>
      <c r="L170" s="195">
        <v>15</v>
      </c>
      <c r="N170" s="46" t="s">
        <v>30</v>
      </c>
      <c r="O170" s="195">
        <v>15</v>
      </c>
    </row>
    <row r="171" spans="1:17" ht="51.75" customHeight="1" x14ac:dyDescent="0.2">
      <c r="A171" s="23"/>
      <c r="B171" s="1109"/>
      <c r="C171" s="867" t="s">
        <v>354</v>
      </c>
      <c r="D171" s="868"/>
      <c r="E171" s="868"/>
      <c r="F171" s="868"/>
      <c r="G171" s="868"/>
      <c r="H171" s="869"/>
      <c r="I171" s="1111"/>
      <c r="J171" s="1179"/>
      <c r="K171" s="197" t="s">
        <v>331</v>
      </c>
      <c r="L171" s="195">
        <v>15</v>
      </c>
      <c r="N171" s="4"/>
      <c r="O171" s="195">
        <v>15</v>
      </c>
    </row>
    <row r="172" spans="1:17" ht="51.75" customHeight="1" x14ac:dyDescent="0.2">
      <c r="A172" s="23"/>
      <c r="B172" s="1109"/>
      <c r="C172" s="867" t="s">
        <v>355</v>
      </c>
      <c r="D172" s="868"/>
      <c r="E172" s="868"/>
      <c r="F172" s="868"/>
      <c r="G172" s="868"/>
      <c r="H172" s="869"/>
      <c r="I172" s="1111"/>
      <c r="J172" s="1179"/>
      <c r="K172" s="197" t="s">
        <v>331</v>
      </c>
      <c r="L172" s="195">
        <v>15</v>
      </c>
      <c r="N172" s="4"/>
      <c r="O172" s="195">
        <v>15</v>
      </c>
    </row>
    <row r="173" spans="1:17" ht="20.100000000000001" customHeight="1" x14ac:dyDescent="0.2">
      <c r="A173" s="23"/>
      <c r="B173" s="1109"/>
      <c r="C173" s="1113" t="s">
        <v>356</v>
      </c>
      <c r="D173" s="1114"/>
      <c r="E173" s="1114"/>
      <c r="F173" s="1114"/>
      <c r="G173" s="1114"/>
      <c r="H173" s="1115"/>
      <c r="I173" s="1111"/>
      <c r="J173" s="1179"/>
      <c r="K173" s="197" t="s">
        <v>331</v>
      </c>
      <c r="L173" s="195">
        <v>15</v>
      </c>
      <c r="N173" s="4"/>
      <c r="O173" s="195">
        <v>15</v>
      </c>
    </row>
    <row r="174" spans="1:17" ht="20.100000000000001" customHeight="1" x14ac:dyDescent="0.2">
      <c r="A174" s="23"/>
      <c r="B174" s="1109"/>
      <c r="C174" s="867" t="s">
        <v>357</v>
      </c>
      <c r="D174" s="868"/>
      <c r="E174" s="868"/>
      <c r="F174" s="868"/>
      <c r="G174" s="868"/>
      <c r="H174" s="869"/>
      <c r="I174" s="1112"/>
      <c r="J174" s="1176"/>
      <c r="K174" s="197" t="s">
        <v>331</v>
      </c>
      <c r="L174" s="195">
        <v>15</v>
      </c>
      <c r="N174" s="4"/>
      <c r="O174" s="195">
        <v>15</v>
      </c>
    </row>
    <row r="175" spans="1:17" ht="48.75" customHeight="1" x14ac:dyDescent="0.2">
      <c r="A175" s="23"/>
      <c r="B175" s="1048"/>
      <c r="C175" s="867" t="s">
        <v>358</v>
      </c>
      <c r="D175" s="868"/>
      <c r="E175" s="868"/>
      <c r="F175" s="868"/>
      <c r="G175" s="868"/>
      <c r="H175" s="869"/>
      <c r="I175" s="198" t="s">
        <v>256</v>
      </c>
      <c r="J175" s="198" t="s">
        <v>256</v>
      </c>
      <c r="K175" s="197" t="s">
        <v>331</v>
      </c>
      <c r="L175" s="195">
        <v>15</v>
      </c>
      <c r="N175" s="4"/>
      <c r="O175" s="195">
        <v>15</v>
      </c>
    </row>
    <row r="176" spans="1:17" ht="35.1" customHeight="1" x14ac:dyDescent="0.2">
      <c r="A176" s="23"/>
      <c r="B176" s="60" t="s">
        <v>359</v>
      </c>
      <c r="C176" s="1050" t="s">
        <v>360</v>
      </c>
      <c r="D176" s="1050"/>
      <c r="E176" s="1050"/>
      <c r="F176" s="1050"/>
      <c r="G176" s="1050"/>
      <c r="H176" s="1050"/>
      <c r="I176" s="61">
        <v>0</v>
      </c>
      <c r="J176" s="348">
        <v>1</v>
      </c>
      <c r="K176" s="197" t="s">
        <v>331</v>
      </c>
      <c r="L176" s="195">
        <v>15</v>
      </c>
      <c r="N176" s="46" t="s">
        <v>30</v>
      </c>
      <c r="O176" s="195">
        <v>15</v>
      </c>
    </row>
    <row r="177" spans="1:15" ht="40.5" customHeight="1" x14ac:dyDescent="0.2">
      <c r="B177" s="1050" t="s">
        <v>361</v>
      </c>
      <c r="C177" s="1050"/>
      <c r="D177" s="1050"/>
      <c r="E177" s="1050"/>
      <c r="F177" s="1050"/>
      <c r="G177" s="1050"/>
      <c r="H177" s="1050"/>
      <c r="I177" s="1050"/>
      <c r="J177" s="1050"/>
      <c r="K177" s="197" t="s">
        <v>331</v>
      </c>
      <c r="L177" s="195">
        <v>15</v>
      </c>
      <c r="N177" s="46" t="s">
        <v>30</v>
      </c>
      <c r="O177" s="195">
        <v>15</v>
      </c>
    </row>
    <row r="178" spans="1:15" ht="20.100000000000001" customHeight="1" x14ac:dyDescent="0.2">
      <c r="A178" s="18"/>
      <c r="B178" s="31"/>
      <c r="C178" s="31"/>
      <c r="D178" s="31"/>
      <c r="E178" s="31"/>
      <c r="F178" s="31"/>
      <c r="G178" s="31"/>
      <c r="H178" s="31"/>
      <c r="I178" s="32"/>
      <c r="J178" s="33"/>
    </row>
    <row r="179" spans="1:15" ht="30" customHeight="1" x14ac:dyDescent="0.2">
      <c r="A179" s="23"/>
      <c r="B179" s="904" t="s">
        <v>453</v>
      </c>
      <c r="C179" s="905"/>
      <c r="D179" s="905"/>
      <c r="E179" s="905"/>
      <c r="F179" s="905"/>
      <c r="G179" s="905"/>
      <c r="H179" s="906"/>
      <c r="I179" s="34" t="s">
        <v>17</v>
      </c>
      <c r="J179" s="35" t="s">
        <v>18</v>
      </c>
      <c r="K179" s="197" t="s">
        <v>454</v>
      </c>
      <c r="L179" s="195">
        <v>18</v>
      </c>
      <c r="N179" s="46" t="s">
        <v>30</v>
      </c>
      <c r="O179" s="195">
        <v>18</v>
      </c>
    </row>
    <row r="180" spans="1:15" ht="30" customHeight="1" x14ac:dyDescent="0.2">
      <c r="A180" s="23"/>
      <c r="B180" s="867" t="s">
        <v>455</v>
      </c>
      <c r="C180" s="1058"/>
      <c r="D180" s="1058"/>
      <c r="E180" s="1058"/>
      <c r="F180" s="1058"/>
      <c r="G180" s="1058"/>
      <c r="H180" s="1058"/>
      <c r="I180" s="1058"/>
      <c r="J180" s="1059"/>
      <c r="K180" s="197" t="s">
        <v>454</v>
      </c>
      <c r="L180" s="195">
        <v>18</v>
      </c>
      <c r="O180" s="195">
        <v>18</v>
      </c>
    </row>
    <row r="181" spans="1:15" ht="30" customHeight="1" x14ac:dyDescent="0.2">
      <c r="A181" s="23"/>
      <c r="B181" s="1047" t="s">
        <v>395</v>
      </c>
      <c r="C181" s="1217" t="s">
        <v>662</v>
      </c>
      <c r="D181" s="1016"/>
      <c r="E181" s="1016" t="s">
        <v>592</v>
      </c>
      <c r="F181" s="1016"/>
      <c r="G181" s="1016" t="s">
        <v>593</v>
      </c>
      <c r="H181" s="1125"/>
      <c r="I181" s="1110">
        <v>0</v>
      </c>
      <c r="J181" s="915">
        <v>1</v>
      </c>
      <c r="K181" s="197"/>
      <c r="L181" s="195"/>
      <c r="O181" s="195"/>
    </row>
    <row r="182" spans="1:15" ht="30" customHeight="1" x14ac:dyDescent="0.2">
      <c r="A182" s="23"/>
      <c r="B182" s="1048"/>
      <c r="C182" s="1119" t="s">
        <v>663</v>
      </c>
      <c r="D182" s="870"/>
      <c r="E182" s="895" t="s">
        <v>587</v>
      </c>
      <c r="F182" s="895"/>
      <c r="G182" s="895"/>
      <c r="H182" s="896"/>
      <c r="I182" s="1112"/>
      <c r="J182" s="916"/>
      <c r="K182" s="197"/>
      <c r="L182" s="195"/>
      <c r="O182" s="195"/>
    </row>
    <row r="183" spans="1:15" ht="20.100000000000001" customHeight="1" x14ac:dyDescent="0.2">
      <c r="A183" s="24"/>
      <c r="B183" s="62"/>
      <c r="C183" s="192"/>
      <c r="D183" s="192"/>
      <c r="E183" s="192"/>
      <c r="F183" s="192"/>
      <c r="G183" s="192"/>
      <c r="H183" s="192"/>
      <c r="I183" s="64"/>
      <c r="J183" s="65"/>
      <c r="K183" s="1"/>
      <c r="L183" s="1"/>
      <c r="O183" s="1"/>
    </row>
    <row r="184" spans="1:15" ht="30" customHeight="1" x14ac:dyDescent="0.2">
      <c r="A184" s="23"/>
      <c r="B184" s="1341" t="s">
        <v>664</v>
      </c>
      <c r="C184" s="1342"/>
      <c r="D184" s="1342"/>
      <c r="E184" s="1342"/>
      <c r="F184" s="1342"/>
      <c r="G184" s="1342"/>
      <c r="H184" s="1343"/>
      <c r="I184" s="34" t="s">
        <v>17</v>
      </c>
      <c r="J184" s="95" t="s">
        <v>18</v>
      </c>
      <c r="K184" s="194" t="s">
        <v>665</v>
      </c>
      <c r="L184" s="195">
        <v>22</v>
      </c>
      <c r="N184" s="46" t="s">
        <v>30</v>
      </c>
      <c r="O184" s="195">
        <v>22</v>
      </c>
    </row>
    <row r="185" spans="1:15" ht="66.75" customHeight="1" x14ac:dyDescent="0.2">
      <c r="A185" s="23"/>
      <c r="B185" s="115" t="s">
        <v>666</v>
      </c>
      <c r="C185" s="1023" t="s">
        <v>667</v>
      </c>
      <c r="D185" s="1024"/>
      <c r="E185" s="1024"/>
      <c r="F185" s="1024"/>
      <c r="G185" s="1024"/>
      <c r="H185" s="1025"/>
      <c r="I185" s="116" t="s">
        <v>668</v>
      </c>
      <c r="J185" s="116" t="s">
        <v>668</v>
      </c>
      <c r="K185" s="194" t="s">
        <v>665</v>
      </c>
      <c r="L185" s="195">
        <v>22</v>
      </c>
      <c r="O185" s="195">
        <v>22</v>
      </c>
    </row>
    <row r="186" spans="1:15" ht="20.100000000000001" customHeight="1" x14ac:dyDescent="0.2">
      <c r="A186" s="24"/>
      <c r="B186" s="62"/>
      <c r="C186" s="192"/>
      <c r="D186" s="192"/>
      <c r="E186" s="192"/>
      <c r="F186" s="192"/>
      <c r="G186" s="192"/>
      <c r="H186" s="192"/>
      <c r="I186" s="64"/>
      <c r="J186" s="65"/>
      <c r="K186" s="1"/>
      <c r="L186" s="1"/>
      <c r="O186" s="1"/>
    </row>
    <row r="187" spans="1:15" ht="30" customHeight="1" x14ac:dyDescent="0.2">
      <c r="A187" s="24"/>
      <c r="B187" s="904" t="s">
        <v>145</v>
      </c>
      <c r="C187" s="1160"/>
      <c r="D187" s="1160"/>
      <c r="E187" s="1160"/>
      <c r="F187" s="1160"/>
      <c r="G187" s="1160"/>
      <c r="H187" s="1271"/>
      <c r="I187" s="34" t="s">
        <v>17</v>
      </c>
      <c r="J187" s="35" t="s">
        <v>18</v>
      </c>
      <c r="K187" s="1"/>
      <c r="L187" s="1"/>
      <c r="O187" s="1"/>
    </row>
    <row r="188" spans="1:15" ht="30" customHeight="1" x14ac:dyDescent="0.2">
      <c r="A188" s="24"/>
      <c r="B188" s="1279" t="s">
        <v>87</v>
      </c>
      <c r="C188" s="1250" t="s">
        <v>215</v>
      </c>
      <c r="D188" s="1391"/>
      <c r="E188" s="1251" t="s">
        <v>592</v>
      </c>
      <c r="F188" s="1251"/>
      <c r="G188" s="1251" t="s">
        <v>593</v>
      </c>
      <c r="H188" s="1392"/>
      <c r="I188" s="1393">
        <v>0</v>
      </c>
      <c r="J188" s="962">
        <v>0.7</v>
      </c>
      <c r="K188" s="1"/>
      <c r="L188" s="1"/>
      <c r="O188" s="1"/>
    </row>
    <row r="189" spans="1:15" ht="30" customHeight="1" x14ac:dyDescent="0.2">
      <c r="A189" s="24"/>
      <c r="B189" s="1280"/>
      <c r="C189" s="1264" t="s">
        <v>669</v>
      </c>
      <c r="D189" s="1387"/>
      <c r="E189" s="1388" t="s">
        <v>586</v>
      </c>
      <c r="F189" s="1388"/>
      <c r="G189" s="1265"/>
      <c r="H189" s="1389"/>
      <c r="I189" s="1394"/>
      <c r="J189" s="964"/>
      <c r="K189" s="1"/>
      <c r="L189" s="1"/>
      <c r="O189" s="1"/>
    </row>
    <row r="190" spans="1:15" ht="20.100000000000001" customHeight="1" x14ac:dyDescent="0.2">
      <c r="A190" s="23"/>
      <c r="B190" s="31"/>
      <c r="C190" s="31"/>
      <c r="D190" s="31"/>
      <c r="E190" s="31"/>
      <c r="F190" s="31"/>
      <c r="G190" s="31"/>
      <c r="H190" s="31"/>
      <c r="I190" s="32"/>
      <c r="J190" s="31"/>
    </row>
    <row r="191" spans="1:15" ht="30" customHeight="1" x14ac:dyDescent="0.2">
      <c r="A191" s="23"/>
      <c r="B191" s="1087" t="s">
        <v>369</v>
      </c>
      <c r="C191" s="1088"/>
      <c r="D191" s="1088"/>
      <c r="E191" s="1088"/>
      <c r="F191" s="1088"/>
      <c r="G191" s="1088"/>
      <c r="H191" s="1390"/>
      <c r="I191" s="34" t="s">
        <v>130</v>
      </c>
      <c r="J191" s="389" t="s">
        <v>18</v>
      </c>
      <c r="K191" s="36" t="s">
        <v>370</v>
      </c>
      <c r="L191" s="37">
        <v>44</v>
      </c>
      <c r="M191" s="68"/>
      <c r="N191" s="182" t="s">
        <v>30</v>
      </c>
      <c r="O191" s="37">
        <v>44</v>
      </c>
    </row>
    <row r="192" spans="1:15" ht="30" customHeight="1" x14ac:dyDescent="0.2">
      <c r="A192" s="23"/>
      <c r="B192" s="1105" t="s">
        <v>371</v>
      </c>
      <c r="C192" s="1106"/>
      <c r="D192" s="1106"/>
      <c r="E192" s="1106"/>
      <c r="F192" s="1106"/>
      <c r="G192" s="1106"/>
      <c r="H192" s="1106"/>
      <c r="I192" s="1106"/>
      <c r="J192" s="1107"/>
      <c r="K192" s="36" t="s">
        <v>370</v>
      </c>
      <c r="L192" s="37">
        <v>44</v>
      </c>
      <c r="M192" s="181"/>
      <c r="N192" s="67"/>
      <c r="O192" s="37">
        <v>44</v>
      </c>
    </row>
    <row r="193" spans="1:15" ht="30" customHeight="1" x14ac:dyDescent="0.2">
      <c r="A193" s="23"/>
      <c r="B193" s="976" t="s">
        <v>372</v>
      </c>
      <c r="C193" s="977"/>
      <c r="D193" s="977"/>
      <c r="E193" s="977"/>
      <c r="F193" s="977"/>
      <c r="G193" s="977"/>
      <c r="H193" s="977"/>
      <c r="I193" s="977"/>
      <c r="J193" s="978"/>
      <c r="K193" s="36" t="s">
        <v>370</v>
      </c>
      <c r="L193" s="37">
        <v>44</v>
      </c>
      <c r="M193" s="181"/>
      <c r="N193" s="182" t="s">
        <v>30</v>
      </c>
      <c r="O193" s="37">
        <v>44</v>
      </c>
    </row>
    <row r="194" spans="1:15" ht="30" customHeight="1" x14ac:dyDescent="0.2">
      <c r="A194" s="23"/>
      <c r="B194" s="390" t="s">
        <v>512</v>
      </c>
      <c r="C194" s="1103" t="s">
        <v>383</v>
      </c>
      <c r="D194" s="1104"/>
      <c r="E194" s="1104"/>
      <c r="F194" s="1104"/>
      <c r="G194" s="1104"/>
      <c r="H194" s="1386"/>
      <c r="I194" s="391">
        <v>80</v>
      </c>
      <c r="J194" s="363">
        <v>0.5</v>
      </c>
      <c r="K194" s="36" t="s">
        <v>370</v>
      </c>
      <c r="L194" s="37">
        <v>44</v>
      </c>
      <c r="M194" s="181"/>
      <c r="N194" s="67"/>
      <c r="O194" s="37">
        <v>44</v>
      </c>
    </row>
    <row r="195" spans="1:15" ht="30" customHeight="1" x14ac:dyDescent="0.2">
      <c r="A195" s="23"/>
      <c r="B195" s="115" t="s">
        <v>670</v>
      </c>
      <c r="C195" s="1103" t="s">
        <v>383</v>
      </c>
      <c r="D195" s="1104"/>
      <c r="E195" s="1104"/>
      <c r="F195" s="1104"/>
      <c r="G195" s="1104"/>
      <c r="H195" s="1386"/>
      <c r="I195" s="392">
        <v>80</v>
      </c>
      <c r="J195" s="393">
        <v>0.5</v>
      </c>
      <c r="K195" s="36" t="s">
        <v>370</v>
      </c>
      <c r="L195" s="37">
        <v>44</v>
      </c>
      <c r="M195" s="181"/>
      <c r="N195" s="67"/>
      <c r="O195" s="37">
        <v>44</v>
      </c>
    </row>
    <row r="196" spans="1:15" ht="30" customHeight="1" x14ac:dyDescent="0.2">
      <c r="A196" s="23"/>
      <c r="B196" s="976" t="s">
        <v>384</v>
      </c>
      <c r="C196" s="977"/>
      <c r="D196" s="977"/>
      <c r="E196" s="977"/>
      <c r="F196" s="977"/>
      <c r="G196" s="977"/>
      <c r="H196" s="977"/>
      <c r="I196" s="977"/>
      <c r="J196" s="978"/>
      <c r="K196" s="36" t="s">
        <v>370</v>
      </c>
      <c r="L196" s="37">
        <v>44</v>
      </c>
      <c r="M196" s="181"/>
      <c r="N196" s="182" t="s">
        <v>30</v>
      </c>
      <c r="O196" s="37">
        <v>44</v>
      </c>
    </row>
    <row r="197" spans="1:15" ht="30" customHeight="1" x14ac:dyDescent="0.2">
      <c r="A197" s="23"/>
      <c r="B197" s="202" t="s">
        <v>512</v>
      </c>
      <c r="C197" s="1103" t="s">
        <v>383</v>
      </c>
      <c r="D197" s="1104"/>
      <c r="E197" s="1104"/>
      <c r="F197" s="1104"/>
      <c r="G197" s="1104"/>
      <c r="H197" s="1386"/>
      <c r="I197" s="205">
        <v>0</v>
      </c>
      <c r="J197" s="394">
        <v>0.5</v>
      </c>
      <c r="K197" s="36" t="s">
        <v>370</v>
      </c>
      <c r="L197" s="37">
        <v>44</v>
      </c>
      <c r="M197" s="181"/>
      <c r="N197" s="67"/>
      <c r="O197" s="37">
        <v>44</v>
      </c>
    </row>
    <row r="198" spans="1:15" ht="30" customHeight="1" x14ac:dyDescent="0.2">
      <c r="A198" s="23"/>
      <c r="B198" s="202" t="s">
        <v>670</v>
      </c>
      <c r="C198" s="1103" t="s">
        <v>383</v>
      </c>
      <c r="D198" s="1104"/>
      <c r="E198" s="1104"/>
      <c r="F198" s="1104"/>
      <c r="G198" s="1104"/>
      <c r="H198" s="1386"/>
      <c r="I198" s="205">
        <v>0</v>
      </c>
      <c r="J198" s="394">
        <v>0.5</v>
      </c>
      <c r="K198" s="36" t="s">
        <v>370</v>
      </c>
      <c r="L198" s="37">
        <v>44</v>
      </c>
      <c r="M198" s="181"/>
      <c r="N198" s="67"/>
      <c r="O198" s="37">
        <v>44</v>
      </c>
    </row>
    <row r="199" spans="1:15" ht="30" customHeight="1" x14ac:dyDescent="0.2">
      <c r="A199" s="23"/>
      <c r="B199" s="1089" t="s">
        <v>389</v>
      </c>
      <c r="C199" s="1090"/>
      <c r="D199" s="1090"/>
      <c r="E199" s="1090"/>
      <c r="F199" s="1090"/>
      <c r="G199" s="1090"/>
      <c r="H199" s="1091"/>
      <c r="I199" s="205">
        <v>0</v>
      </c>
      <c r="J199" s="394">
        <v>0.5</v>
      </c>
      <c r="K199" s="36" t="s">
        <v>370</v>
      </c>
      <c r="L199" s="37">
        <v>44</v>
      </c>
      <c r="M199" s="181"/>
      <c r="N199" s="182" t="s">
        <v>30</v>
      </c>
      <c r="O199" s="37">
        <v>44</v>
      </c>
    </row>
    <row r="200" spans="1:15" ht="30" customHeight="1" x14ac:dyDescent="0.2">
      <c r="A200" s="23"/>
      <c r="B200" s="949" t="s">
        <v>390</v>
      </c>
      <c r="C200" s="950"/>
      <c r="D200" s="950"/>
      <c r="E200" s="950"/>
      <c r="F200" s="950"/>
      <c r="G200" s="950"/>
      <c r="H200" s="950"/>
      <c r="I200" s="950"/>
      <c r="J200" s="951"/>
      <c r="K200" s="36" t="s">
        <v>370</v>
      </c>
      <c r="L200" s="37">
        <v>44</v>
      </c>
      <c r="M200" s="181"/>
      <c r="N200" s="67"/>
      <c r="O200" s="37">
        <v>44</v>
      </c>
    </row>
    <row r="201" spans="1:15" ht="30" customHeight="1" x14ac:dyDescent="0.2">
      <c r="A201" s="23"/>
      <c r="B201" s="202" t="s">
        <v>512</v>
      </c>
      <c r="C201" s="1103" t="s">
        <v>383</v>
      </c>
      <c r="D201" s="1104"/>
      <c r="E201" s="1104"/>
      <c r="F201" s="1104"/>
      <c r="G201" s="1104"/>
      <c r="H201" s="1386"/>
      <c r="I201" s="205">
        <v>600</v>
      </c>
      <c r="J201" s="394">
        <v>0.5</v>
      </c>
      <c r="K201" s="36" t="s">
        <v>370</v>
      </c>
      <c r="L201" s="37">
        <v>44</v>
      </c>
      <c r="M201" s="181"/>
      <c r="N201" s="67"/>
      <c r="O201" s="37">
        <v>44</v>
      </c>
    </row>
    <row r="202" spans="1:15" ht="30" customHeight="1" x14ac:dyDescent="0.2">
      <c r="A202" s="23"/>
      <c r="B202" s="202" t="s">
        <v>670</v>
      </c>
      <c r="C202" s="1103" t="s">
        <v>383</v>
      </c>
      <c r="D202" s="1104"/>
      <c r="E202" s="1104"/>
      <c r="F202" s="1104"/>
      <c r="G202" s="1104"/>
      <c r="H202" s="1386"/>
      <c r="I202" s="205">
        <v>600</v>
      </c>
      <c r="J202" s="394">
        <v>0.5</v>
      </c>
      <c r="K202" s="36" t="s">
        <v>370</v>
      </c>
      <c r="L202" s="37">
        <v>44</v>
      </c>
      <c r="M202" s="181"/>
      <c r="N202" s="67"/>
      <c r="O202" s="37">
        <v>44</v>
      </c>
    </row>
    <row r="203" spans="1:15" ht="20.100000000000001" customHeight="1" x14ac:dyDescent="0.2">
      <c r="A203" s="24"/>
      <c r="B203" s="62"/>
      <c r="C203" s="192"/>
      <c r="D203" s="192"/>
      <c r="E203" s="192"/>
      <c r="F203" s="192"/>
      <c r="G203" s="192"/>
      <c r="H203" s="192"/>
      <c r="I203" s="64"/>
      <c r="J203" s="65"/>
      <c r="K203" s="1"/>
      <c r="L203" s="1"/>
      <c r="O203" s="1"/>
    </row>
    <row r="204" spans="1:15" ht="30" customHeight="1" x14ac:dyDescent="0.2">
      <c r="A204" s="24"/>
      <c r="B204" s="855" t="s">
        <v>489</v>
      </c>
      <c r="C204" s="856"/>
      <c r="D204" s="856"/>
      <c r="E204" s="856"/>
      <c r="F204" s="856"/>
      <c r="G204" s="856"/>
      <c r="H204" s="856"/>
      <c r="I204" s="856"/>
      <c r="J204" s="857"/>
      <c r="K204" s="1"/>
      <c r="L204" s="1"/>
      <c r="N204" s="46" t="s">
        <v>30</v>
      </c>
      <c r="O204" s="1"/>
    </row>
    <row r="205" spans="1:15" ht="51.75" customHeight="1" x14ac:dyDescent="0.2">
      <c r="A205" s="24"/>
      <c r="B205" s="901" t="s">
        <v>671</v>
      </c>
      <c r="C205" s="902"/>
      <c r="D205" s="902"/>
      <c r="E205" s="902"/>
      <c r="F205" s="902"/>
      <c r="G205" s="902"/>
      <c r="H205" s="902"/>
      <c r="I205" s="902"/>
      <c r="J205" s="903"/>
      <c r="K205" s="1"/>
      <c r="L205" s="1"/>
      <c r="O205" s="1"/>
    </row>
    <row r="206" spans="1:15" s="1" customFormat="1" ht="20.100000000000001" customHeight="1" x14ac:dyDescent="0.2">
      <c r="B206" s="390"/>
      <c r="C206" s="203"/>
      <c r="D206" s="203"/>
      <c r="E206" s="203"/>
      <c r="F206" s="203"/>
      <c r="G206" s="203"/>
      <c r="H206" s="203"/>
      <c r="I206" s="395"/>
      <c r="J206" s="396"/>
    </row>
    <row r="207" spans="1:15" ht="30" customHeight="1" x14ac:dyDescent="0.2">
      <c r="A207" s="24"/>
      <c r="B207" s="855" t="s">
        <v>491</v>
      </c>
      <c r="C207" s="856"/>
      <c r="D207" s="856"/>
      <c r="E207" s="856"/>
      <c r="F207" s="856"/>
      <c r="G207" s="856"/>
      <c r="H207" s="856"/>
      <c r="I207" s="856"/>
      <c r="J207" s="857"/>
      <c r="K207" s="1"/>
      <c r="L207" s="1"/>
      <c r="N207" s="46" t="s">
        <v>30</v>
      </c>
      <c r="O207" s="1"/>
    </row>
    <row r="208" spans="1:15" ht="43.5" customHeight="1" x14ac:dyDescent="0.2">
      <c r="A208" s="24"/>
      <c r="B208" s="901" t="s">
        <v>672</v>
      </c>
      <c r="C208" s="902"/>
      <c r="D208" s="902"/>
      <c r="E208" s="902"/>
      <c r="F208" s="902"/>
      <c r="G208" s="902"/>
      <c r="H208" s="902"/>
      <c r="I208" s="902"/>
      <c r="J208" s="903"/>
      <c r="K208" s="1"/>
      <c r="L208" s="1"/>
      <c r="O208" s="1"/>
    </row>
    <row r="209" spans="1:17" ht="20.100000000000001" customHeight="1" x14ac:dyDescent="0.2">
      <c r="A209" s="24"/>
      <c r="B209" s="62"/>
      <c r="C209" s="192"/>
      <c r="D209" s="192"/>
      <c r="E209" s="192"/>
      <c r="F209" s="192"/>
      <c r="G209" s="192"/>
      <c r="H209" s="192"/>
      <c r="I209" s="64"/>
      <c r="J209" s="65"/>
      <c r="K209" s="1"/>
      <c r="L209" s="1"/>
      <c r="O209" s="1"/>
    </row>
    <row r="210" spans="1:17" ht="30" customHeight="1" x14ac:dyDescent="0.2">
      <c r="A210" s="24"/>
      <c r="B210" s="855" t="s">
        <v>493</v>
      </c>
      <c r="C210" s="856"/>
      <c r="D210" s="856"/>
      <c r="E210" s="856"/>
      <c r="F210" s="856"/>
      <c r="G210" s="856"/>
      <c r="H210" s="856"/>
      <c r="I210" s="856"/>
      <c r="J210" s="857"/>
      <c r="K210" s="1"/>
      <c r="L210" s="1"/>
      <c r="N210" s="46" t="s">
        <v>30</v>
      </c>
      <c r="O210" s="1"/>
    </row>
    <row r="211" spans="1:17" ht="40.5" customHeight="1" x14ac:dyDescent="0.2">
      <c r="A211" s="24"/>
      <c r="B211" s="901" t="s">
        <v>494</v>
      </c>
      <c r="C211" s="902"/>
      <c r="D211" s="902"/>
      <c r="E211" s="902"/>
      <c r="F211" s="902"/>
      <c r="G211" s="902"/>
      <c r="H211" s="902"/>
      <c r="I211" s="902"/>
      <c r="J211" s="903"/>
      <c r="K211" s="1"/>
      <c r="L211" s="1"/>
      <c r="O211" s="1"/>
    </row>
    <row r="212" spans="1:17" ht="20.100000000000001" customHeight="1" x14ac:dyDescent="0.2">
      <c r="A212" s="24"/>
      <c r="B212" s="62"/>
      <c r="C212" s="192"/>
      <c r="D212" s="192"/>
      <c r="E212" s="192"/>
      <c r="F212" s="192"/>
      <c r="G212" s="192"/>
      <c r="H212" s="192"/>
      <c r="I212" s="64"/>
      <c r="J212" s="65"/>
      <c r="K212" s="1"/>
      <c r="L212" s="1"/>
      <c r="O212" s="1"/>
    </row>
    <row r="213" spans="1:17" s="24" customFormat="1" ht="30" customHeight="1" x14ac:dyDescent="0.2">
      <c r="B213" s="855" t="s">
        <v>673</v>
      </c>
      <c r="C213" s="856"/>
      <c r="D213" s="856"/>
      <c r="E213" s="856"/>
      <c r="F213" s="856"/>
      <c r="G213" s="856"/>
      <c r="H213" s="856"/>
      <c r="I213" s="856"/>
      <c r="J213" s="857"/>
      <c r="K213" s="18"/>
      <c r="L213" s="18"/>
      <c r="M213" s="4"/>
      <c r="N213" s="46" t="s">
        <v>30</v>
      </c>
      <c r="O213" s="18"/>
      <c r="P213" s="18"/>
      <c r="Q213" s="18"/>
    </row>
    <row r="214" spans="1:17" s="24" customFormat="1" ht="50.1" customHeight="1" x14ac:dyDescent="0.2">
      <c r="B214" s="901" t="s">
        <v>674</v>
      </c>
      <c r="C214" s="902"/>
      <c r="D214" s="902"/>
      <c r="E214" s="902"/>
      <c r="F214" s="902"/>
      <c r="G214" s="902"/>
      <c r="H214" s="902"/>
      <c r="I214" s="902"/>
      <c r="J214" s="903"/>
      <c r="K214" s="18"/>
      <c r="L214" s="18"/>
      <c r="M214" s="4"/>
      <c r="N214" s="18"/>
      <c r="O214" s="18"/>
      <c r="P214" s="18"/>
      <c r="Q214" s="18"/>
    </row>
    <row r="215" spans="1:17" s="24" customFormat="1" ht="20.100000000000001" customHeight="1" x14ac:dyDescent="0.2">
      <c r="A215" s="18"/>
      <c r="B215" s="85"/>
      <c r="C215" s="85"/>
      <c r="D215" s="85"/>
      <c r="E215" s="85"/>
      <c r="F215" s="85"/>
      <c r="G215" s="85"/>
      <c r="H215" s="85"/>
      <c r="I215" s="85"/>
      <c r="J215" s="85"/>
      <c r="K215" s="18"/>
      <c r="L215" s="18"/>
      <c r="M215" s="4"/>
      <c r="N215" s="18"/>
      <c r="O215" s="18"/>
      <c r="P215" s="18"/>
      <c r="Q215" s="18"/>
    </row>
    <row r="216" spans="1:17" s="24" customFormat="1" ht="30" customHeight="1" x14ac:dyDescent="0.2">
      <c r="B216" s="855" t="s">
        <v>675</v>
      </c>
      <c r="C216" s="856"/>
      <c r="D216" s="856"/>
      <c r="E216" s="856"/>
      <c r="F216" s="856"/>
      <c r="G216" s="856"/>
      <c r="H216" s="856"/>
      <c r="I216" s="856" t="s">
        <v>676</v>
      </c>
      <c r="J216" s="857"/>
      <c r="K216" s="18"/>
      <c r="L216" s="18"/>
      <c r="M216" s="4"/>
      <c r="N216" s="46" t="s">
        <v>30</v>
      </c>
      <c r="O216" s="18"/>
      <c r="P216" s="18"/>
      <c r="Q216" s="18"/>
    </row>
    <row r="217" spans="1:17" ht="87.75" customHeight="1" x14ac:dyDescent="0.2">
      <c r="A217" s="23"/>
      <c r="B217" s="1376" t="s">
        <v>677</v>
      </c>
      <c r="C217" s="1377"/>
      <c r="D217" s="1377"/>
      <c r="E217" s="1377"/>
      <c r="F217" s="1377"/>
      <c r="G217" s="1377"/>
      <c r="H217" s="1378"/>
      <c r="I217" s="1379" t="s">
        <v>678</v>
      </c>
      <c r="J217" s="1380"/>
    </row>
    <row r="218" spans="1:17" ht="20.100000000000001" customHeight="1" x14ac:dyDescent="0.2">
      <c r="A218" s="23"/>
      <c r="B218" s="62"/>
      <c r="C218" s="192"/>
      <c r="D218" s="192"/>
      <c r="E218" s="192"/>
      <c r="F218" s="192"/>
      <c r="G218" s="192"/>
      <c r="H218" s="192"/>
      <c r="I218" s="64"/>
      <c r="J218" s="233"/>
      <c r="K218" s="1"/>
      <c r="L218" s="2"/>
      <c r="M218" s="3"/>
      <c r="N218" s="4"/>
      <c r="O218" s="2"/>
      <c r="Q218" s="24"/>
    </row>
    <row r="219" spans="1:17" ht="30" customHeight="1" x14ac:dyDescent="0.2">
      <c r="A219" s="23"/>
      <c r="B219" s="904" t="s">
        <v>679</v>
      </c>
      <c r="C219" s="905"/>
      <c r="D219" s="905"/>
      <c r="E219" s="905"/>
      <c r="F219" s="905"/>
      <c r="G219" s="905"/>
      <c r="H219" s="906"/>
      <c r="I219" s="1368" t="s">
        <v>676</v>
      </c>
      <c r="J219" s="1369"/>
      <c r="N219" s="46" t="s">
        <v>30</v>
      </c>
      <c r="Q219" s="24"/>
    </row>
    <row r="220" spans="1:17" ht="165.75" customHeight="1" x14ac:dyDescent="0.2">
      <c r="A220" s="23"/>
      <c r="B220" s="1381" t="s">
        <v>680</v>
      </c>
      <c r="C220" s="1382"/>
      <c r="D220" s="1382"/>
      <c r="E220" s="1382"/>
      <c r="F220" s="1382"/>
      <c r="G220" s="1382"/>
      <c r="H220" s="1383"/>
      <c r="I220" s="1384" t="s">
        <v>681</v>
      </c>
      <c r="J220" s="1385"/>
      <c r="L220" s="58"/>
      <c r="M220" s="79"/>
      <c r="N220" s="4"/>
      <c r="O220" s="4"/>
      <c r="P220" s="59"/>
      <c r="Q220" s="24"/>
    </row>
    <row r="221" spans="1:17" ht="20.100000000000001" customHeight="1" x14ac:dyDescent="0.2">
      <c r="A221" s="23"/>
      <c r="B221" s="177"/>
      <c r="C221" s="397"/>
      <c r="D221" s="397"/>
      <c r="E221" s="397"/>
      <c r="F221" s="397"/>
      <c r="G221" s="397"/>
      <c r="H221" s="397"/>
      <c r="I221" s="398"/>
      <c r="J221" s="399"/>
      <c r="K221"/>
      <c r="L221"/>
      <c r="M221"/>
      <c r="N221"/>
      <c r="O221"/>
    </row>
    <row r="222" spans="1:17" ht="30" customHeight="1" x14ac:dyDescent="0.2">
      <c r="A222" s="23"/>
      <c r="B222" s="972" t="s">
        <v>682</v>
      </c>
      <c r="C222" s="973"/>
      <c r="D222" s="973"/>
      <c r="E222" s="973"/>
      <c r="F222" s="973"/>
      <c r="G222" s="973"/>
      <c r="H222" s="974"/>
      <c r="I222" s="34" t="s">
        <v>17</v>
      </c>
      <c r="J222" s="254" t="s">
        <v>18</v>
      </c>
      <c r="K222" s="36" t="s">
        <v>683</v>
      </c>
      <c r="L222" s="37">
        <v>23</v>
      </c>
      <c r="N222" s="46" t="s">
        <v>30</v>
      </c>
      <c r="O222" s="37">
        <v>23</v>
      </c>
    </row>
    <row r="223" spans="1:17" ht="30" customHeight="1" x14ac:dyDescent="0.2">
      <c r="A223" s="23"/>
      <c r="B223" s="1370" t="s">
        <v>684</v>
      </c>
      <c r="C223" s="1371"/>
      <c r="D223" s="1371"/>
      <c r="E223" s="1371"/>
      <c r="F223" s="1371"/>
      <c r="G223" s="1371"/>
      <c r="H223" s="1371"/>
      <c r="I223" s="1371"/>
      <c r="J223" s="1372"/>
      <c r="K223" s="36" t="s">
        <v>683</v>
      </c>
      <c r="L223" s="37">
        <v>23</v>
      </c>
      <c r="O223" s="37">
        <v>23</v>
      </c>
    </row>
    <row r="224" spans="1:17" ht="64.5" customHeight="1" x14ac:dyDescent="0.2">
      <c r="A224" s="23"/>
      <c r="B224" s="400"/>
      <c r="C224" s="867" t="s">
        <v>685</v>
      </c>
      <c r="D224" s="868"/>
      <c r="E224" s="868"/>
      <c r="F224" s="868"/>
      <c r="G224" s="868"/>
      <c r="H224" s="869"/>
      <c r="I224" s="61">
        <v>35</v>
      </c>
      <c r="J224" s="348">
        <v>1</v>
      </c>
      <c r="K224" s="36" t="s">
        <v>683</v>
      </c>
      <c r="L224" s="37">
        <v>23</v>
      </c>
      <c r="O224" s="37">
        <v>23</v>
      </c>
    </row>
    <row r="225" spans="1:17" ht="20.100000000000001" customHeight="1" x14ac:dyDescent="0.2">
      <c r="A225" s="23"/>
      <c r="B225" s="31"/>
      <c r="C225" s="31"/>
      <c r="D225" s="31"/>
      <c r="E225" s="31"/>
      <c r="F225" s="31"/>
      <c r="G225" s="31"/>
      <c r="H225" s="31"/>
      <c r="I225" s="32"/>
      <c r="J225" s="31"/>
    </row>
    <row r="226" spans="1:17" ht="30" customHeight="1" x14ac:dyDescent="0.2">
      <c r="A226" s="23"/>
      <c r="B226" s="972" t="s">
        <v>686</v>
      </c>
      <c r="C226" s="973"/>
      <c r="D226" s="973"/>
      <c r="E226" s="973"/>
      <c r="F226" s="973"/>
      <c r="G226" s="973"/>
      <c r="H226" s="974"/>
      <c r="I226" s="34" t="s">
        <v>17</v>
      </c>
      <c r="J226" s="254" t="s">
        <v>18</v>
      </c>
      <c r="K226" s="36" t="s">
        <v>687</v>
      </c>
      <c r="L226" s="37">
        <v>24</v>
      </c>
      <c r="N226" s="46" t="s">
        <v>30</v>
      </c>
      <c r="O226" s="37">
        <v>24</v>
      </c>
    </row>
    <row r="227" spans="1:17" ht="30" customHeight="1" x14ac:dyDescent="0.2">
      <c r="A227" s="23"/>
      <c r="B227" s="1370" t="s">
        <v>688</v>
      </c>
      <c r="C227" s="1371"/>
      <c r="D227" s="1371"/>
      <c r="E227" s="1371"/>
      <c r="F227" s="1371"/>
      <c r="G227" s="1371"/>
      <c r="H227" s="1371"/>
      <c r="I227" s="1371"/>
      <c r="J227" s="1372"/>
      <c r="K227" s="36" t="s">
        <v>687</v>
      </c>
      <c r="L227" s="37">
        <v>24</v>
      </c>
      <c r="O227" s="37">
        <v>24</v>
      </c>
    </row>
    <row r="228" spans="1:17" ht="68.25" customHeight="1" x14ac:dyDescent="0.2">
      <c r="A228" s="23"/>
      <c r="B228" s="401"/>
      <c r="C228" s="901" t="s">
        <v>689</v>
      </c>
      <c r="D228" s="902"/>
      <c r="E228" s="902"/>
      <c r="F228" s="902"/>
      <c r="G228" s="902"/>
      <c r="H228" s="903"/>
      <c r="I228" s="74">
        <v>51</v>
      </c>
      <c r="J228" s="97">
        <v>1</v>
      </c>
      <c r="K228" s="36" t="s">
        <v>687</v>
      </c>
      <c r="L228" s="37">
        <v>24</v>
      </c>
      <c r="O228" s="37">
        <v>24</v>
      </c>
    </row>
    <row r="229" spans="1:17" ht="20.100000000000001" customHeight="1" x14ac:dyDescent="0.2">
      <c r="A229" s="23"/>
      <c r="B229" s="31"/>
      <c r="C229" s="31"/>
      <c r="D229" s="31"/>
      <c r="E229" s="31"/>
      <c r="F229" s="31"/>
      <c r="G229" s="31"/>
      <c r="H229" s="31"/>
      <c r="I229" s="32"/>
      <c r="J229" s="31"/>
    </row>
    <row r="230" spans="1:17" ht="30" customHeight="1" x14ac:dyDescent="0.2">
      <c r="A230" s="23"/>
      <c r="B230" s="972" t="s">
        <v>690</v>
      </c>
      <c r="C230" s="973"/>
      <c r="D230" s="973"/>
      <c r="E230" s="973"/>
      <c r="F230" s="973"/>
      <c r="G230" s="973"/>
      <c r="H230" s="974"/>
      <c r="I230" s="34" t="s">
        <v>17</v>
      </c>
      <c r="J230" s="254" t="s">
        <v>18</v>
      </c>
      <c r="K230" s="194" t="s">
        <v>691</v>
      </c>
      <c r="L230" s="195">
        <v>25</v>
      </c>
      <c r="N230" s="46" t="s">
        <v>30</v>
      </c>
      <c r="O230" s="195">
        <v>25</v>
      </c>
    </row>
    <row r="231" spans="1:17" ht="30" customHeight="1" x14ac:dyDescent="0.2">
      <c r="B231" s="1370" t="s">
        <v>692</v>
      </c>
      <c r="C231" s="1371"/>
      <c r="D231" s="1371"/>
      <c r="E231" s="1371"/>
      <c r="F231" s="1371"/>
      <c r="G231" s="1371"/>
      <c r="H231" s="1371"/>
      <c r="I231" s="1371"/>
      <c r="J231" s="1372"/>
      <c r="K231" s="194" t="s">
        <v>691</v>
      </c>
      <c r="L231" s="195">
        <v>25</v>
      </c>
      <c r="O231" s="195">
        <v>25</v>
      </c>
    </row>
    <row r="232" spans="1:17" ht="39.950000000000003" customHeight="1" x14ac:dyDescent="0.2">
      <c r="B232" s="1373"/>
      <c r="C232" s="1129" t="s">
        <v>693</v>
      </c>
      <c r="D232" s="1130"/>
      <c r="E232" s="1130"/>
      <c r="F232" s="1130"/>
      <c r="G232" s="1130"/>
      <c r="H232" s="1131"/>
      <c r="I232" s="1110">
        <v>0</v>
      </c>
      <c r="J232" s="915">
        <v>1</v>
      </c>
      <c r="K232" s="194" t="s">
        <v>691</v>
      </c>
      <c r="L232" s="195">
        <v>25</v>
      </c>
      <c r="O232" s="195">
        <v>25</v>
      </c>
    </row>
    <row r="233" spans="1:17" ht="30" customHeight="1" x14ac:dyDescent="0.2">
      <c r="B233" s="1374"/>
      <c r="C233" s="1211" t="s">
        <v>694</v>
      </c>
      <c r="D233" s="1190"/>
      <c r="E233" s="1190" t="s">
        <v>695</v>
      </c>
      <c r="F233" s="1190"/>
      <c r="G233" s="1190" t="s">
        <v>696</v>
      </c>
      <c r="H233" s="1212"/>
      <c r="I233" s="1111"/>
      <c r="J233" s="1045"/>
      <c r="K233" s="194" t="s">
        <v>691</v>
      </c>
      <c r="L233" s="195">
        <v>25</v>
      </c>
      <c r="O233" s="195">
        <v>25</v>
      </c>
    </row>
    <row r="234" spans="1:17" ht="30" customHeight="1" x14ac:dyDescent="0.2">
      <c r="A234" s="23"/>
      <c r="B234" s="1375"/>
      <c r="C234" s="1206" t="s">
        <v>697</v>
      </c>
      <c r="D234" s="1207"/>
      <c r="E234" s="1207"/>
      <c r="F234" s="1207"/>
      <c r="G234" s="1207"/>
      <c r="H234" s="1222"/>
      <c r="I234" s="1112"/>
      <c r="J234" s="916"/>
      <c r="K234" s="194" t="s">
        <v>691</v>
      </c>
      <c r="L234" s="195">
        <v>25</v>
      </c>
      <c r="O234" s="195">
        <v>25</v>
      </c>
    </row>
    <row r="235" spans="1:17" ht="20.100000000000001" customHeight="1" x14ac:dyDescent="0.2">
      <c r="A235" s="23"/>
      <c r="B235" s="192"/>
      <c r="C235" s="402"/>
      <c r="D235" s="402"/>
      <c r="E235" s="402"/>
      <c r="F235" s="402"/>
      <c r="G235" s="402"/>
      <c r="H235" s="402"/>
      <c r="I235" s="127"/>
      <c r="J235" s="403"/>
    </row>
    <row r="236" spans="1:17" s="24" customFormat="1" ht="30" customHeight="1" x14ac:dyDescent="0.2">
      <c r="A236" s="23"/>
      <c r="B236" s="972" t="s">
        <v>698</v>
      </c>
      <c r="C236" s="973"/>
      <c r="D236" s="973"/>
      <c r="E236" s="973"/>
      <c r="F236" s="973"/>
      <c r="G236" s="973"/>
      <c r="H236" s="974"/>
      <c r="I236" s="34" t="s">
        <v>17</v>
      </c>
      <c r="J236" s="254" t="s">
        <v>18</v>
      </c>
      <c r="K236" s="36" t="s">
        <v>699</v>
      </c>
      <c r="L236" s="37">
        <v>26</v>
      </c>
      <c r="M236" s="4"/>
      <c r="N236" s="46" t="s">
        <v>30</v>
      </c>
      <c r="O236" s="37">
        <v>26</v>
      </c>
      <c r="P236" s="18"/>
      <c r="Q236" s="18"/>
    </row>
    <row r="237" spans="1:17" ht="30" customHeight="1" x14ac:dyDescent="0.2">
      <c r="A237" s="23"/>
      <c r="B237" s="949" t="s">
        <v>700</v>
      </c>
      <c r="C237" s="950"/>
      <c r="D237" s="950"/>
      <c r="E237" s="950"/>
      <c r="F237" s="950"/>
      <c r="G237" s="950"/>
      <c r="H237" s="950"/>
      <c r="I237" s="950"/>
      <c r="J237" s="951"/>
      <c r="K237" s="36" t="s">
        <v>699</v>
      </c>
      <c r="L237" s="37">
        <v>26</v>
      </c>
      <c r="O237" s="37">
        <v>26</v>
      </c>
    </row>
    <row r="238" spans="1:17" ht="60" customHeight="1" x14ac:dyDescent="0.2">
      <c r="A238" s="23"/>
      <c r="B238" s="400" t="s">
        <v>701</v>
      </c>
      <c r="C238" s="867" t="s">
        <v>702</v>
      </c>
      <c r="D238" s="868"/>
      <c r="E238" s="868"/>
      <c r="F238" s="868"/>
      <c r="G238" s="868"/>
      <c r="H238" s="869"/>
      <c r="I238" s="404">
        <v>0</v>
      </c>
      <c r="J238" s="405">
        <v>1</v>
      </c>
      <c r="K238" s="36" t="s">
        <v>699</v>
      </c>
      <c r="L238" s="37">
        <v>26</v>
      </c>
      <c r="O238" s="37">
        <v>26</v>
      </c>
    </row>
    <row r="239" spans="1:17" ht="20.100000000000001" customHeight="1" x14ac:dyDescent="0.2">
      <c r="A239" s="23"/>
      <c r="B239" s="62"/>
      <c r="C239" s="192"/>
      <c r="D239" s="192"/>
      <c r="E239" s="192"/>
      <c r="F239" s="192"/>
      <c r="G239" s="192"/>
      <c r="H239" s="192"/>
      <c r="I239" s="64"/>
      <c r="J239" s="233"/>
    </row>
    <row r="240" spans="1:17" ht="30" customHeight="1" x14ac:dyDescent="0.2">
      <c r="A240" s="23"/>
      <c r="B240" s="972" t="s">
        <v>703</v>
      </c>
      <c r="C240" s="973"/>
      <c r="D240" s="973"/>
      <c r="E240" s="973"/>
      <c r="F240" s="973"/>
      <c r="G240" s="973"/>
      <c r="H240" s="974"/>
      <c r="I240" s="1368" t="s">
        <v>17</v>
      </c>
      <c r="J240" s="1369"/>
      <c r="K240" s="36" t="s">
        <v>704</v>
      </c>
      <c r="L240" s="37">
        <v>27</v>
      </c>
      <c r="N240" s="46" t="s">
        <v>30</v>
      </c>
      <c r="O240" s="37">
        <v>27</v>
      </c>
      <c r="P240" s="24"/>
    </row>
    <row r="241" spans="1:17" ht="80.099999999999994" customHeight="1" x14ac:dyDescent="0.2">
      <c r="A241" s="23"/>
      <c r="B241" s="401" t="s">
        <v>705</v>
      </c>
      <c r="C241" s="901" t="s">
        <v>706</v>
      </c>
      <c r="D241" s="902"/>
      <c r="E241" s="902"/>
      <c r="F241" s="902"/>
      <c r="G241" s="902"/>
      <c r="H241" s="903"/>
      <c r="I241" s="1364">
        <v>145</v>
      </c>
      <c r="J241" s="1270"/>
      <c r="K241" s="36" t="s">
        <v>704</v>
      </c>
      <c r="L241" s="37">
        <v>27</v>
      </c>
      <c r="M241" s="23"/>
      <c r="N241" s="24"/>
      <c r="O241" s="37">
        <v>27</v>
      </c>
      <c r="P241" s="24"/>
      <c r="Q241" s="24"/>
    </row>
    <row r="242" spans="1:17" ht="80.099999999999994" customHeight="1" x14ac:dyDescent="0.2">
      <c r="A242" s="23"/>
      <c r="B242" s="401" t="s">
        <v>707</v>
      </c>
      <c r="C242" s="901" t="s">
        <v>708</v>
      </c>
      <c r="D242" s="902"/>
      <c r="E242" s="902"/>
      <c r="F242" s="902"/>
      <c r="G242" s="902"/>
      <c r="H242" s="903"/>
      <c r="I242" s="1364">
        <v>120</v>
      </c>
      <c r="J242" s="1270"/>
      <c r="K242" s="36" t="s">
        <v>704</v>
      </c>
      <c r="L242" s="37">
        <v>27</v>
      </c>
      <c r="N242" s="46" t="s">
        <v>30</v>
      </c>
      <c r="O242" s="37">
        <v>27</v>
      </c>
      <c r="P242" s="24"/>
    </row>
    <row r="243" spans="1:17" ht="24.95" customHeight="1" x14ac:dyDescent="0.2">
      <c r="A243" s="23"/>
      <c r="B243" s="1365" t="s">
        <v>709</v>
      </c>
      <c r="C243" s="901" t="s">
        <v>710</v>
      </c>
      <c r="D243" s="902"/>
      <c r="E243" s="902"/>
      <c r="F243" s="902"/>
      <c r="G243" s="902"/>
      <c r="H243" s="903"/>
      <c r="I243" s="1364">
        <v>50</v>
      </c>
      <c r="J243" s="1270"/>
      <c r="K243" s="36" t="s">
        <v>704</v>
      </c>
      <c r="L243" s="37">
        <v>27</v>
      </c>
      <c r="N243" s="46" t="s">
        <v>30</v>
      </c>
      <c r="O243" s="37">
        <v>27</v>
      </c>
    </row>
    <row r="244" spans="1:17" ht="24.95" customHeight="1" x14ac:dyDescent="0.2">
      <c r="A244" s="23"/>
      <c r="B244" s="1366"/>
      <c r="C244" s="901" t="s">
        <v>711</v>
      </c>
      <c r="D244" s="902"/>
      <c r="E244" s="902"/>
      <c r="F244" s="902"/>
      <c r="G244" s="902"/>
      <c r="H244" s="903"/>
      <c r="I244" s="1364">
        <v>50</v>
      </c>
      <c r="J244" s="1270"/>
      <c r="K244" s="36" t="s">
        <v>704</v>
      </c>
      <c r="L244" s="37">
        <v>27</v>
      </c>
      <c r="O244" s="37">
        <v>27</v>
      </c>
    </row>
    <row r="245" spans="1:17" ht="24.95" customHeight="1" x14ac:dyDescent="0.2">
      <c r="A245" s="23"/>
      <c r="B245" s="1366"/>
      <c r="C245" s="901" t="s">
        <v>712</v>
      </c>
      <c r="D245" s="902"/>
      <c r="E245" s="902"/>
      <c r="F245" s="902"/>
      <c r="G245" s="902"/>
      <c r="H245" s="903"/>
      <c r="I245" s="1364">
        <v>40</v>
      </c>
      <c r="J245" s="1270"/>
      <c r="K245" s="36" t="s">
        <v>704</v>
      </c>
      <c r="L245" s="37">
        <v>27</v>
      </c>
      <c r="O245" s="37">
        <v>27</v>
      </c>
    </row>
    <row r="246" spans="1:17" ht="24.95" customHeight="1" x14ac:dyDescent="0.2">
      <c r="A246" s="23"/>
      <c r="B246" s="1366"/>
      <c r="C246" s="901" t="s">
        <v>713</v>
      </c>
      <c r="D246" s="902"/>
      <c r="E246" s="902"/>
      <c r="F246" s="902"/>
      <c r="G246" s="902"/>
      <c r="H246" s="903"/>
      <c r="I246" s="1364">
        <v>30</v>
      </c>
      <c r="J246" s="1270"/>
      <c r="K246" s="36" t="s">
        <v>704</v>
      </c>
      <c r="L246" s="37">
        <v>27</v>
      </c>
      <c r="O246" s="37">
        <v>27</v>
      </c>
    </row>
    <row r="247" spans="1:17" ht="24.95" customHeight="1" x14ac:dyDescent="0.2">
      <c r="A247" s="23"/>
      <c r="B247" s="1366"/>
      <c r="C247" s="901" t="s">
        <v>714</v>
      </c>
      <c r="D247" s="902"/>
      <c r="E247" s="902"/>
      <c r="F247" s="902"/>
      <c r="G247" s="902"/>
      <c r="H247" s="903"/>
      <c r="I247" s="1364">
        <v>25</v>
      </c>
      <c r="J247" s="1270"/>
      <c r="K247" s="36" t="s">
        <v>704</v>
      </c>
      <c r="L247" s="37">
        <v>27</v>
      </c>
      <c r="N247" s="4"/>
      <c r="O247" s="37">
        <v>27</v>
      </c>
    </row>
    <row r="248" spans="1:17" ht="24.95" customHeight="1" x14ac:dyDescent="0.2">
      <c r="A248" s="23"/>
      <c r="B248" s="1366"/>
      <c r="C248" s="901" t="s">
        <v>715</v>
      </c>
      <c r="D248" s="902"/>
      <c r="E248" s="902"/>
      <c r="F248" s="902"/>
      <c r="G248" s="902"/>
      <c r="H248" s="903"/>
      <c r="I248" s="1364">
        <v>30</v>
      </c>
      <c r="J248" s="1270"/>
      <c r="K248" s="36" t="s">
        <v>704</v>
      </c>
      <c r="L248" s="37">
        <v>27</v>
      </c>
      <c r="O248" s="37">
        <v>27</v>
      </c>
    </row>
    <row r="249" spans="1:17" ht="24.95" customHeight="1" x14ac:dyDescent="0.2">
      <c r="A249" s="23"/>
      <c r="B249" s="1366"/>
      <c r="C249" s="901" t="s">
        <v>716</v>
      </c>
      <c r="D249" s="902"/>
      <c r="E249" s="902"/>
      <c r="F249" s="902"/>
      <c r="G249" s="902"/>
      <c r="H249" s="903"/>
      <c r="I249" s="1364">
        <v>18</v>
      </c>
      <c r="J249" s="1270"/>
      <c r="K249" s="36" t="s">
        <v>704</v>
      </c>
      <c r="L249" s="37">
        <v>27</v>
      </c>
      <c r="O249" s="37">
        <v>27</v>
      </c>
    </row>
    <row r="250" spans="1:17" ht="24.95" customHeight="1" x14ac:dyDescent="0.2">
      <c r="A250" s="23"/>
      <c r="B250" s="1366"/>
      <c r="C250" s="901" t="s">
        <v>717</v>
      </c>
      <c r="D250" s="902"/>
      <c r="E250" s="902"/>
      <c r="F250" s="902"/>
      <c r="G250" s="902"/>
      <c r="H250" s="903"/>
      <c r="I250" s="1364">
        <v>18</v>
      </c>
      <c r="J250" s="1270"/>
      <c r="K250" s="36" t="s">
        <v>704</v>
      </c>
      <c r="L250" s="37">
        <v>27</v>
      </c>
      <c r="O250" s="37">
        <v>27</v>
      </c>
    </row>
    <row r="251" spans="1:17" ht="24.95" customHeight="1" x14ac:dyDescent="0.2">
      <c r="A251" s="23"/>
      <c r="B251" s="1366"/>
      <c r="C251" s="901" t="s">
        <v>718</v>
      </c>
      <c r="D251" s="902"/>
      <c r="E251" s="902"/>
      <c r="F251" s="902"/>
      <c r="G251" s="902"/>
      <c r="H251" s="903"/>
      <c r="I251" s="1364">
        <v>25</v>
      </c>
      <c r="J251" s="1270"/>
      <c r="K251" s="36" t="s">
        <v>704</v>
      </c>
      <c r="L251" s="37">
        <v>27</v>
      </c>
      <c r="O251" s="37">
        <v>27</v>
      </c>
    </row>
    <row r="252" spans="1:17" ht="24.95" customHeight="1" x14ac:dyDescent="0.2">
      <c r="A252" s="23"/>
      <c r="B252" s="1366"/>
      <c r="C252" s="901" t="s">
        <v>719</v>
      </c>
      <c r="D252" s="902"/>
      <c r="E252" s="902"/>
      <c r="F252" s="902"/>
      <c r="G252" s="902"/>
      <c r="H252" s="903"/>
      <c r="I252" s="1364">
        <v>18</v>
      </c>
      <c r="J252" s="1270"/>
      <c r="K252" s="36" t="s">
        <v>704</v>
      </c>
      <c r="L252" s="37">
        <v>27</v>
      </c>
      <c r="O252" s="37">
        <v>27</v>
      </c>
    </row>
    <row r="253" spans="1:17" ht="24.95" customHeight="1" x14ac:dyDescent="0.2">
      <c r="A253" s="23"/>
      <c r="B253" s="1366"/>
      <c r="C253" s="901" t="s">
        <v>720</v>
      </c>
      <c r="D253" s="902"/>
      <c r="E253" s="902"/>
      <c r="F253" s="902"/>
      <c r="G253" s="902"/>
      <c r="H253" s="903"/>
      <c r="I253" s="1364">
        <v>10</v>
      </c>
      <c r="J253" s="1270"/>
      <c r="K253" s="36" t="s">
        <v>704</v>
      </c>
      <c r="L253" s="37">
        <v>27</v>
      </c>
      <c r="O253" s="37">
        <v>27</v>
      </c>
    </row>
    <row r="254" spans="1:17" ht="24.95" customHeight="1" x14ac:dyDescent="0.2">
      <c r="A254" s="23"/>
      <c r="B254" s="1367"/>
      <c r="C254" s="901" t="s">
        <v>721</v>
      </c>
      <c r="D254" s="902"/>
      <c r="E254" s="902"/>
      <c r="F254" s="902"/>
      <c r="G254" s="902"/>
      <c r="H254" s="903"/>
      <c r="I254" s="1364">
        <v>18</v>
      </c>
      <c r="J254" s="1270"/>
      <c r="K254" s="36" t="s">
        <v>704</v>
      </c>
      <c r="L254" s="37">
        <v>27</v>
      </c>
      <c r="O254" s="37">
        <v>27</v>
      </c>
    </row>
    <row r="255" spans="1:17" ht="39.950000000000003" customHeight="1" x14ac:dyDescent="0.2">
      <c r="A255" s="23"/>
      <c r="B255" s="1352" t="s">
        <v>722</v>
      </c>
      <c r="C255" s="1353"/>
      <c r="D255" s="1353"/>
      <c r="E255" s="1353"/>
      <c r="F255" s="1353"/>
      <c r="G255" s="1353"/>
      <c r="H255" s="1353"/>
      <c r="I255" s="1353"/>
      <c r="J255" s="1354"/>
      <c r="K255" s="36" t="s">
        <v>704</v>
      </c>
      <c r="L255" s="37">
        <v>27</v>
      </c>
      <c r="N255" s="46" t="s">
        <v>30</v>
      </c>
      <c r="O255" s="37">
        <v>27</v>
      </c>
    </row>
    <row r="256" spans="1:17" ht="20.100000000000001" customHeight="1" x14ac:dyDescent="0.2">
      <c r="A256" s="23"/>
      <c r="B256" s="62"/>
      <c r="C256" s="192"/>
      <c r="D256" s="192"/>
      <c r="E256" s="192"/>
      <c r="F256" s="192"/>
      <c r="G256" s="192"/>
      <c r="H256" s="192"/>
      <c r="I256" s="64"/>
      <c r="J256" s="233"/>
    </row>
    <row r="257" spans="1:31" s="66" customFormat="1" ht="30" customHeight="1" x14ac:dyDescent="0.2">
      <c r="A257" s="45"/>
      <c r="B257" s="1355" t="s">
        <v>723</v>
      </c>
      <c r="C257" s="1356"/>
      <c r="D257" s="1356"/>
      <c r="E257" s="1356"/>
      <c r="F257" s="1356"/>
      <c r="G257" s="1356"/>
      <c r="H257" s="1357"/>
      <c r="I257" s="406" t="s">
        <v>17</v>
      </c>
      <c r="J257" s="407" t="s">
        <v>18</v>
      </c>
      <c r="K257" s="226" t="s">
        <v>724</v>
      </c>
      <c r="L257" s="183">
        <v>28</v>
      </c>
      <c r="M257" s="67"/>
      <c r="N257" s="182" t="s">
        <v>30</v>
      </c>
      <c r="O257" s="183">
        <v>28</v>
      </c>
      <c r="Q257" s="45"/>
      <c r="R257" s="45"/>
      <c r="S257" s="45"/>
      <c r="T257" s="45"/>
      <c r="U257" s="45"/>
      <c r="V257" s="45"/>
      <c r="W257" s="45"/>
      <c r="X257" s="45"/>
      <c r="Y257" s="45"/>
      <c r="Z257" s="45"/>
      <c r="AA257" s="45"/>
      <c r="AB257" s="45"/>
      <c r="AC257" s="45"/>
      <c r="AD257" s="45"/>
      <c r="AE257" s="45"/>
    </row>
    <row r="258" spans="1:31" s="66" customFormat="1" ht="30" customHeight="1" x14ac:dyDescent="0.2">
      <c r="A258" s="45"/>
      <c r="B258" s="1358" t="s">
        <v>725</v>
      </c>
      <c r="C258" s="1359"/>
      <c r="D258" s="1359"/>
      <c r="E258" s="1359"/>
      <c r="F258" s="1359"/>
      <c r="G258" s="1359"/>
      <c r="H258" s="1359"/>
      <c r="I258" s="1359"/>
      <c r="J258" s="1360"/>
      <c r="K258" s="226" t="s">
        <v>724</v>
      </c>
      <c r="L258" s="183">
        <v>28</v>
      </c>
      <c r="M258" s="67"/>
      <c r="O258" s="183">
        <v>28</v>
      </c>
      <c r="Q258" s="45"/>
      <c r="R258" s="45"/>
      <c r="S258" s="45"/>
      <c r="T258" s="45"/>
      <c r="U258" s="45"/>
      <c r="V258" s="45"/>
      <c r="W258" s="45"/>
      <c r="X258" s="45"/>
      <c r="Y258" s="45"/>
      <c r="Z258" s="45"/>
      <c r="AA258" s="45"/>
      <c r="AB258" s="45"/>
      <c r="AC258" s="45"/>
      <c r="AD258" s="45"/>
      <c r="AE258" s="45"/>
    </row>
    <row r="259" spans="1:31" s="66" customFormat="1" ht="150" customHeight="1" x14ac:dyDescent="0.2">
      <c r="A259" s="45"/>
      <c r="B259" s="408"/>
      <c r="C259" s="1023" t="s">
        <v>726</v>
      </c>
      <c r="D259" s="1024"/>
      <c r="E259" s="1024"/>
      <c r="F259" s="1024"/>
      <c r="G259" s="1024"/>
      <c r="H259" s="1025"/>
      <c r="I259" s="409">
        <v>35</v>
      </c>
      <c r="J259" s="410">
        <v>1</v>
      </c>
      <c r="K259" s="226" t="s">
        <v>724</v>
      </c>
      <c r="L259" s="183">
        <v>28</v>
      </c>
      <c r="M259" s="67"/>
      <c r="O259" s="183">
        <v>28</v>
      </c>
      <c r="Q259" s="45"/>
      <c r="R259" s="45"/>
      <c r="S259" s="45"/>
      <c r="T259" s="45"/>
      <c r="U259" s="45"/>
      <c r="V259" s="45"/>
      <c r="W259" s="45"/>
      <c r="X259" s="45"/>
      <c r="Y259" s="45"/>
      <c r="Z259" s="45"/>
      <c r="AA259" s="45"/>
      <c r="AB259" s="45"/>
      <c r="AC259" s="45"/>
      <c r="AD259" s="45"/>
      <c r="AE259" s="45"/>
    </row>
    <row r="260" spans="1:31" s="66" customFormat="1" ht="30" customHeight="1" x14ac:dyDescent="0.2">
      <c r="A260" s="45"/>
      <c r="B260" s="1358" t="s">
        <v>727</v>
      </c>
      <c r="C260" s="1359"/>
      <c r="D260" s="1359"/>
      <c r="E260" s="1359"/>
      <c r="F260" s="1359"/>
      <c r="G260" s="1359"/>
      <c r="H260" s="1359"/>
      <c r="I260" s="1359"/>
      <c r="J260" s="1360"/>
      <c r="K260" s="226" t="s">
        <v>724</v>
      </c>
      <c r="L260" s="183">
        <v>28</v>
      </c>
      <c r="M260" s="67"/>
      <c r="N260" s="182" t="s">
        <v>30</v>
      </c>
      <c r="O260" s="183">
        <v>28</v>
      </c>
      <c r="Q260" s="45"/>
      <c r="R260" s="45"/>
      <c r="S260" s="45"/>
      <c r="T260" s="45"/>
      <c r="U260" s="45"/>
      <c r="V260" s="45"/>
      <c r="W260" s="45"/>
      <c r="X260" s="45"/>
      <c r="Y260" s="45"/>
      <c r="Z260" s="45"/>
      <c r="AA260" s="45"/>
      <c r="AB260" s="45"/>
      <c r="AC260" s="45"/>
      <c r="AD260" s="45"/>
      <c r="AE260" s="45"/>
    </row>
    <row r="261" spans="1:31" s="66" customFormat="1" ht="55.5" customHeight="1" x14ac:dyDescent="0.2">
      <c r="A261" s="45"/>
      <c r="B261" s="408"/>
      <c r="C261" s="1361" t="s">
        <v>728</v>
      </c>
      <c r="D261" s="1362"/>
      <c r="E261" s="1362"/>
      <c r="F261" s="1362"/>
      <c r="G261" s="1362"/>
      <c r="H261" s="1363"/>
      <c r="I261" s="409">
        <v>20</v>
      </c>
      <c r="J261" s="410">
        <v>1</v>
      </c>
      <c r="K261" s="226" t="s">
        <v>724</v>
      </c>
      <c r="L261" s="183">
        <v>28</v>
      </c>
      <c r="M261" s="67"/>
      <c r="O261" s="183">
        <v>28</v>
      </c>
      <c r="Q261" s="45"/>
      <c r="R261" s="45"/>
      <c r="S261" s="45"/>
      <c r="T261" s="45"/>
      <c r="U261" s="45"/>
      <c r="V261" s="45"/>
      <c r="W261" s="45"/>
      <c r="X261" s="45"/>
      <c r="Y261" s="45"/>
      <c r="Z261" s="45"/>
      <c r="AA261" s="45"/>
      <c r="AB261" s="45"/>
      <c r="AC261" s="45"/>
      <c r="AD261" s="45"/>
      <c r="AE261" s="45"/>
    </row>
    <row r="262" spans="1:31" s="66" customFormat="1" ht="30" customHeight="1" x14ac:dyDescent="0.2">
      <c r="A262" s="45"/>
      <c r="B262" s="1345" t="s">
        <v>729</v>
      </c>
      <c r="C262" s="1346"/>
      <c r="D262" s="1346"/>
      <c r="E262" s="1346"/>
      <c r="F262" s="1346"/>
      <c r="G262" s="1346"/>
      <c r="H262" s="1346"/>
      <c r="I262" s="1346"/>
      <c r="J262" s="1347"/>
      <c r="K262" s="226" t="s">
        <v>724</v>
      </c>
      <c r="L262" s="183">
        <v>28</v>
      </c>
      <c r="M262" s="67"/>
      <c r="O262" s="183">
        <v>28</v>
      </c>
      <c r="Q262" s="45"/>
      <c r="R262" s="45"/>
      <c r="S262" s="45"/>
      <c r="T262" s="45"/>
      <c r="U262" s="45"/>
      <c r="V262" s="45"/>
      <c r="W262" s="45"/>
      <c r="X262" s="45"/>
      <c r="Y262" s="45"/>
      <c r="Z262" s="45"/>
      <c r="AA262" s="45"/>
      <c r="AB262" s="45"/>
      <c r="AC262" s="45"/>
      <c r="AD262" s="45"/>
      <c r="AE262" s="45"/>
    </row>
    <row r="263" spans="1:31" ht="20.100000000000001" customHeight="1" x14ac:dyDescent="0.2">
      <c r="A263" s="23"/>
      <c r="B263" s="192"/>
      <c r="C263" s="192"/>
      <c r="D263" s="192"/>
      <c r="E263" s="192"/>
      <c r="F263" s="192"/>
      <c r="G263" s="192"/>
      <c r="H263" s="192"/>
      <c r="I263" s="64"/>
      <c r="J263" s="233"/>
    </row>
    <row r="264" spans="1:31" ht="30" customHeight="1" x14ac:dyDescent="0.2">
      <c r="A264" s="23"/>
      <c r="B264" s="972" t="s">
        <v>730</v>
      </c>
      <c r="C264" s="975"/>
      <c r="D264" s="975"/>
      <c r="E264" s="975"/>
      <c r="F264" s="975"/>
      <c r="G264" s="975"/>
      <c r="H264" s="1340"/>
      <c r="I264" s="34" t="s">
        <v>17</v>
      </c>
      <c r="J264" s="254" t="s">
        <v>18</v>
      </c>
      <c r="K264" s="118" t="s">
        <v>731</v>
      </c>
      <c r="L264" s="411">
        <v>29</v>
      </c>
      <c r="N264" s="46" t="s">
        <v>30</v>
      </c>
      <c r="O264" s="411">
        <v>29</v>
      </c>
    </row>
    <row r="265" spans="1:31" ht="30" customHeight="1" x14ac:dyDescent="0.2">
      <c r="A265" s="23"/>
      <c r="B265" s="412" t="s">
        <v>732</v>
      </c>
      <c r="C265" s="220"/>
      <c r="D265" s="220"/>
      <c r="E265" s="220"/>
      <c r="F265" s="220"/>
      <c r="G265" s="220"/>
      <c r="H265" s="220"/>
      <c r="I265" s="413"/>
      <c r="J265" s="414"/>
      <c r="K265" s="118" t="s">
        <v>731</v>
      </c>
      <c r="L265" s="411">
        <v>29</v>
      </c>
      <c r="O265" s="411">
        <v>29</v>
      </c>
    </row>
    <row r="266" spans="1:31" ht="270" customHeight="1" x14ac:dyDescent="0.2">
      <c r="A266" s="23"/>
      <c r="B266" s="60" t="s">
        <v>328</v>
      </c>
      <c r="C266" s="901" t="s">
        <v>733</v>
      </c>
      <c r="D266" s="902"/>
      <c r="E266" s="902"/>
      <c r="F266" s="902"/>
      <c r="G266" s="902"/>
      <c r="H266" s="903"/>
      <c r="I266" s="61">
        <v>0</v>
      </c>
      <c r="J266" s="348">
        <v>1</v>
      </c>
      <c r="K266" s="118" t="s">
        <v>731</v>
      </c>
      <c r="L266" s="411">
        <v>29</v>
      </c>
      <c r="O266" s="411">
        <v>29</v>
      </c>
      <c r="V266" s="169"/>
    </row>
    <row r="267" spans="1:31" ht="20.100000000000001" customHeight="1" x14ac:dyDescent="0.2">
      <c r="A267" s="415"/>
      <c r="B267" s="192"/>
      <c r="C267" s="192"/>
      <c r="D267" s="192"/>
      <c r="E267" s="192"/>
      <c r="F267" s="192"/>
      <c r="G267" s="192"/>
      <c r="H267" s="192"/>
      <c r="I267" s="127"/>
      <c r="J267" s="403"/>
    </row>
    <row r="268" spans="1:31" ht="30" customHeight="1" x14ac:dyDescent="0.2">
      <c r="A268" s="23"/>
      <c r="B268" s="972" t="s">
        <v>734</v>
      </c>
      <c r="C268" s="973"/>
      <c r="D268" s="973"/>
      <c r="E268" s="973"/>
      <c r="F268" s="973"/>
      <c r="G268" s="973"/>
      <c r="H268" s="974"/>
      <c r="I268" s="34" t="s">
        <v>17</v>
      </c>
      <c r="J268" s="254" t="s">
        <v>18</v>
      </c>
      <c r="K268" s="36" t="s">
        <v>735</v>
      </c>
      <c r="L268" s="37">
        <v>30</v>
      </c>
      <c r="N268" s="46" t="s">
        <v>30</v>
      </c>
      <c r="O268" s="37">
        <v>30</v>
      </c>
    </row>
    <row r="269" spans="1:31" ht="69.95" customHeight="1" x14ac:dyDescent="0.2">
      <c r="A269" s="23"/>
      <c r="B269" s="1348"/>
      <c r="C269" s="1217" t="s">
        <v>736</v>
      </c>
      <c r="D269" s="1016"/>
      <c r="E269" s="1016"/>
      <c r="F269" s="1016"/>
      <c r="G269" s="1016"/>
      <c r="H269" s="1125"/>
      <c r="I269" s="1272">
        <v>0</v>
      </c>
      <c r="J269" s="1350">
        <v>1</v>
      </c>
      <c r="K269" s="36" t="s">
        <v>735</v>
      </c>
      <c r="L269" s="37">
        <v>30</v>
      </c>
      <c r="O269" s="37">
        <v>30</v>
      </c>
    </row>
    <row r="270" spans="1:31" ht="30" customHeight="1" x14ac:dyDescent="0.2">
      <c r="A270" s="23"/>
      <c r="B270" s="1349"/>
      <c r="C270" s="894" t="s">
        <v>239</v>
      </c>
      <c r="D270" s="895"/>
      <c r="E270" s="1034" t="s">
        <v>92</v>
      </c>
      <c r="F270" s="1034"/>
      <c r="G270" s="1034" t="s">
        <v>606</v>
      </c>
      <c r="H270" s="1035"/>
      <c r="I270" s="1273"/>
      <c r="J270" s="1351"/>
      <c r="K270" s="36" t="s">
        <v>735</v>
      </c>
      <c r="L270" s="37">
        <v>30</v>
      </c>
      <c r="O270" s="37">
        <v>30</v>
      </c>
    </row>
    <row r="271" spans="1:31" ht="20.100000000000001" customHeight="1" x14ac:dyDescent="0.2">
      <c r="A271" s="415"/>
      <c r="B271" s="192"/>
      <c r="C271" s="85"/>
      <c r="D271" s="85"/>
      <c r="E271" s="85"/>
      <c r="F271" s="85"/>
      <c r="G271" s="85"/>
      <c r="H271" s="85"/>
      <c r="I271" s="416"/>
      <c r="J271" s="417"/>
    </row>
    <row r="272" spans="1:31" ht="30" customHeight="1" x14ac:dyDescent="0.2">
      <c r="A272" s="23"/>
      <c r="B272" s="1341" t="s">
        <v>737</v>
      </c>
      <c r="C272" s="1342"/>
      <c r="D272" s="1342"/>
      <c r="E272" s="1342"/>
      <c r="F272" s="1342"/>
      <c r="G272" s="1342"/>
      <c r="H272" s="1343"/>
      <c r="I272" s="34" t="s">
        <v>17</v>
      </c>
      <c r="J272" s="95" t="s">
        <v>18</v>
      </c>
      <c r="K272" s="194" t="s">
        <v>738</v>
      </c>
      <c r="L272" s="195">
        <v>31</v>
      </c>
      <c r="N272" s="46" t="s">
        <v>30</v>
      </c>
      <c r="O272" s="195">
        <v>31</v>
      </c>
    </row>
    <row r="273" spans="1:16" ht="54.95" customHeight="1" x14ac:dyDescent="0.2">
      <c r="A273" s="23"/>
      <c r="B273" s="1023" t="s">
        <v>739</v>
      </c>
      <c r="C273" s="1024"/>
      <c r="D273" s="1024"/>
      <c r="E273" s="1024"/>
      <c r="F273" s="1024"/>
      <c r="G273" s="1024"/>
      <c r="H273" s="1025"/>
      <c r="I273" s="116">
        <v>0</v>
      </c>
      <c r="J273" s="363">
        <v>1</v>
      </c>
      <c r="K273" s="194" t="s">
        <v>738</v>
      </c>
      <c r="L273" s="195">
        <v>31</v>
      </c>
      <c r="O273" s="195">
        <v>31</v>
      </c>
    </row>
    <row r="274" spans="1:16" ht="20.100000000000001" customHeight="1" x14ac:dyDescent="0.2">
      <c r="A274" s="23"/>
      <c r="B274" s="162"/>
      <c r="C274" s="192"/>
      <c r="D274" s="192"/>
      <c r="E274" s="192"/>
      <c r="F274" s="192"/>
      <c r="G274" s="192"/>
      <c r="H274" s="192"/>
      <c r="I274" s="127"/>
      <c r="J274" s="403"/>
    </row>
    <row r="275" spans="1:16" ht="30" customHeight="1" x14ac:dyDescent="0.2">
      <c r="A275" s="23"/>
      <c r="B275" s="1135" t="s">
        <v>740</v>
      </c>
      <c r="C275" s="1136"/>
      <c r="D275" s="1136"/>
      <c r="E275" s="1136"/>
      <c r="F275" s="1136"/>
      <c r="G275" s="1136"/>
      <c r="H275" s="1137"/>
      <c r="I275" s="34" t="s">
        <v>17</v>
      </c>
      <c r="J275" s="95" t="s">
        <v>18</v>
      </c>
      <c r="K275" s="194" t="s">
        <v>741</v>
      </c>
      <c r="L275" s="195">
        <v>32</v>
      </c>
      <c r="N275" s="46" t="s">
        <v>30</v>
      </c>
      <c r="O275" s="195">
        <v>32</v>
      </c>
    </row>
    <row r="276" spans="1:16" ht="54.95" customHeight="1" x14ac:dyDescent="0.2">
      <c r="A276" s="23"/>
      <c r="B276" s="1023" t="s">
        <v>742</v>
      </c>
      <c r="C276" s="1024"/>
      <c r="D276" s="1024"/>
      <c r="E276" s="1024"/>
      <c r="F276" s="1024"/>
      <c r="G276" s="1024"/>
      <c r="H276" s="1025"/>
      <c r="I276" s="116">
        <v>0</v>
      </c>
      <c r="J276" s="363">
        <v>1</v>
      </c>
      <c r="K276" s="194" t="s">
        <v>741</v>
      </c>
      <c r="L276" s="195">
        <v>32</v>
      </c>
      <c r="O276" s="195">
        <v>32</v>
      </c>
    </row>
    <row r="277" spans="1:16" ht="20.100000000000001" customHeight="1" x14ac:dyDescent="0.2">
      <c r="A277" s="23"/>
      <c r="B277" s="1344"/>
      <c r="C277" s="1344"/>
      <c r="D277" s="1344"/>
      <c r="E277" s="1344"/>
      <c r="F277" s="1344"/>
      <c r="G277" s="1344"/>
      <c r="H277" s="1344"/>
      <c r="I277" s="1344"/>
      <c r="J277" s="1344"/>
    </row>
    <row r="278" spans="1:16" ht="30" customHeight="1" x14ac:dyDescent="0.2">
      <c r="A278" s="23"/>
      <c r="B278" s="1135" t="s">
        <v>743</v>
      </c>
      <c r="C278" s="1136"/>
      <c r="D278" s="1136"/>
      <c r="E278" s="1136"/>
      <c r="F278" s="1136"/>
      <c r="G278" s="1136"/>
      <c r="H278" s="1137"/>
      <c r="I278" s="34" t="s">
        <v>17</v>
      </c>
      <c r="J278" s="95" t="s">
        <v>18</v>
      </c>
      <c r="K278" s="36" t="s">
        <v>744</v>
      </c>
      <c r="L278" s="37">
        <v>43</v>
      </c>
      <c r="N278" s="46" t="s">
        <v>30</v>
      </c>
      <c r="O278" s="37">
        <v>43</v>
      </c>
    </row>
    <row r="279" spans="1:16" ht="39.950000000000003" customHeight="1" x14ac:dyDescent="0.2">
      <c r="A279" s="23"/>
      <c r="B279" s="1023" t="s">
        <v>745</v>
      </c>
      <c r="C279" s="1024"/>
      <c r="D279" s="1024"/>
      <c r="E279" s="1024"/>
      <c r="F279" s="1024"/>
      <c r="G279" s="1024"/>
      <c r="H279" s="1025"/>
      <c r="I279" s="116">
        <v>0</v>
      </c>
      <c r="J279" s="363">
        <v>1</v>
      </c>
      <c r="K279" s="36" t="s">
        <v>744</v>
      </c>
      <c r="L279" s="37">
        <v>43</v>
      </c>
      <c r="O279" s="37">
        <v>43</v>
      </c>
    </row>
    <row r="280" spans="1:16" ht="20.100000000000001" customHeight="1" x14ac:dyDescent="0.2">
      <c r="A280" s="23"/>
    </row>
    <row r="281" spans="1:16" s="24" customFormat="1" ht="30" customHeight="1" x14ac:dyDescent="0.2">
      <c r="A281" s="23"/>
      <c r="B281" s="972" t="s">
        <v>746</v>
      </c>
      <c r="C281" s="975"/>
      <c r="D281" s="975"/>
      <c r="E281" s="975"/>
      <c r="F281" s="975"/>
      <c r="G281" s="975"/>
      <c r="H281" s="1340"/>
      <c r="I281" s="34" t="s">
        <v>17</v>
      </c>
      <c r="J281" s="254" t="s">
        <v>18</v>
      </c>
      <c r="K281" s="194" t="s">
        <v>747</v>
      </c>
      <c r="L281" s="195">
        <v>33</v>
      </c>
      <c r="M281" s="4"/>
      <c r="N281" s="46" t="s">
        <v>30</v>
      </c>
      <c r="O281" s="195">
        <v>33</v>
      </c>
      <c r="P281" s="18"/>
    </row>
    <row r="282" spans="1:16" s="24" customFormat="1" ht="39.950000000000003" customHeight="1" x14ac:dyDescent="0.2">
      <c r="A282" s="23"/>
      <c r="B282" s="418"/>
      <c r="C282" s="1023" t="s">
        <v>748</v>
      </c>
      <c r="D282" s="1024"/>
      <c r="E282" s="1024"/>
      <c r="F282" s="1024"/>
      <c r="G282" s="1024"/>
      <c r="H282" s="1025"/>
      <c r="I282" s="116">
        <v>0</v>
      </c>
      <c r="J282" s="363">
        <v>1</v>
      </c>
      <c r="K282" s="194" t="s">
        <v>747</v>
      </c>
      <c r="L282" s="195">
        <v>33</v>
      </c>
      <c r="M282" s="4"/>
      <c r="O282" s="195">
        <v>33</v>
      </c>
      <c r="P282" s="18"/>
    </row>
    <row r="283" spans="1:16" s="24" customFormat="1" ht="20.100000000000001" customHeight="1" x14ac:dyDescent="0.2">
      <c r="A283" s="23"/>
      <c r="B283" s="162"/>
      <c r="C283" s="85"/>
      <c r="D283" s="85"/>
      <c r="E283" s="85"/>
      <c r="F283" s="85"/>
      <c r="G283" s="85"/>
      <c r="H283" s="85"/>
      <c r="I283" s="419"/>
      <c r="J283" s="420"/>
      <c r="L283" s="4"/>
      <c r="M283" s="4"/>
      <c r="O283" s="4"/>
      <c r="P283" s="18"/>
    </row>
    <row r="284" spans="1:16" ht="30" customHeight="1" x14ac:dyDescent="0.2">
      <c r="A284" s="23"/>
      <c r="B284" s="855" t="s">
        <v>749</v>
      </c>
      <c r="C284" s="856"/>
      <c r="D284" s="856"/>
      <c r="E284" s="856"/>
      <c r="F284" s="856"/>
      <c r="G284" s="856"/>
      <c r="H284" s="856"/>
      <c r="I284" s="856"/>
      <c r="J284" s="857"/>
      <c r="N284" s="46" t="s">
        <v>30</v>
      </c>
    </row>
    <row r="285" spans="1:16" ht="20.100000000000001" customHeight="1" x14ac:dyDescent="0.2">
      <c r="A285" s="23"/>
    </row>
    <row r="286" spans="1:16" ht="30" customHeight="1" x14ac:dyDescent="0.2">
      <c r="A286" s="23"/>
      <c r="B286" s="904" t="s">
        <v>6</v>
      </c>
      <c r="C286" s="905"/>
      <c r="D286" s="905"/>
      <c r="E286" s="905"/>
      <c r="F286" s="905"/>
      <c r="G286" s="905"/>
      <c r="H286" s="905"/>
      <c r="I286" s="905"/>
      <c r="J286" s="906"/>
    </row>
    <row r="287" spans="1:16" ht="20.100000000000001" customHeight="1" x14ac:dyDescent="0.2">
      <c r="A287" s="23"/>
      <c r="B287" s="277"/>
    </row>
    <row r="288" spans="1:16" ht="24.95" customHeight="1" x14ac:dyDescent="0.2">
      <c r="A288" s="23"/>
      <c r="B288" s="907" t="s">
        <v>523</v>
      </c>
      <c r="C288" s="908"/>
      <c r="D288" s="908"/>
      <c r="E288" s="907" t="s">
        <v>750</v>
      </c>
      <c r="F288" s="909"/>
    </row>
    <row r="289" spans="1:16" ht="24.95" customHeight="1" x14ac:dyDescent="0.2">
      <c r="A289" s="23"/>
      <c r="B289" s="912" t="s">
        <v>525</v>
      </c>
      <c r="C289" s="913"/>
      <c r="D289" s="913"/>
      <c r="E289" s="910"/>
      <c r="F289" s="911"/>
      <c r="G289" s="914"/>
      <c r="H289" s="914"/>
      <c r="I289" s="914"/>
      <c r="J289" s="914"/>
    </row>
    <row r="290" spans="1:16" ht="20.100000000000001" customHeight="1" x14ac:dyDescent="0.2">
      <c r="A290" s="23"/>
      <c r="B290" s="889" t="s">
        <v>925</v>
      </c>
      <c r="C290" s="890"/>
      <c r="D290" s="890"/>
      <c r="E290" s="1338">
        <v>40.707492215612945</v>
      </c>
      <c r="F290" s="1339"/>
      <c r="G290" s="278"/>
      <c r="H290" s="279"/>
      <c r="I290" s="893"/>
      <c r="J290" s="893"/>
      <c r="K290" s="280" t="s">
        <v>526</v>
      </c>
    </row>
    <row r="291" spans="1:16" ht="20.100000000000001" customHeight="1" x14ac:dyDescent="0.2">
      <c r="A291" s="23"/>
      <c r="B291" s="889" t="s">
        <v>926</v>
      </c>
      <c r="C291" s="890"/>
      <c r="D291" s="890"/>
      <c r="E291" s="1336">
        <v>82.700585613611338</v>
      </c>
      <c r="F291" s="1337"/>
      <c r="G291" s="278"/>
      <c r="H291" s="279"/>
      <c r="I291" s="893"/>
      <c r="J291" s="893"/>
      <c r="K291" s="280" t="s">
        <v>526</v>
      </c>
    </row>
    <row r="292" spans="1:16" s="24" customFormat="1" ht="20.100000000000001" customHeight="1" x14ac:dyDescent="0.2">
      <c r="A292" s="23"/>
      <c r="B292" s="889" t="s">
        <v>927</v>
      </c>
      <c r="C292" s="890"/>
      <c r="D292" s="890"/>
      <c r="E292" s="1336">
        <v>124.09427428206845</v>
      </c>
      <c r="F292" s="1337"/>
      <c r="G292" s="278"/>
      <c r="H292" s="279"/>
      <c r="I292" s="893"/>
      <c r="J292" s="893"/>
      <c r="K292" s="280" t="s">
        <v>526</v>
      </c>
      <c r="M292" s="23"/>
      <c r="P292" s="18"/>
    </row>
    <row r="293" spans="1:16" ht="20.100000000000001" customHeight="1" x14ac:dyDescent="0.2">
      <c r="A293" s="23"/>
      <c r="B293" s="889" t="s">
        <v>928</v>
      </c>
      <c r="C293" s="890"/>
      <c r="D293" s="890"/>
      <c r="E293" s="1336">
        <v>165.45076649768123</v>
      </c>
      <c r="F293" s="1337"/>
      <c r="G293" s="278"/>
      <c r="H293" s="279"/>
      <c r="I293" s="893"/>
      <c r="J293" s="893"/>
      <c r="K293" s="280" t="s">
        <v>526</v>
      </c>
    </row>
    <row r="294" spans="1:16" ht="20.100000000000001" customHeight="1" x14ac:dyDescent="0.2">
      <c r="A294" s="23"/>
      <c r="B294" s="889" t="s">
        <v>929</v>
      </c>
      <c r="C294" s="890"/>
      <c r="D294" s="890"/>
      <c r="E294" s="1336">
        <v>165.45076649768123</v>
      </c>
      <c r="F294" s="1337"/>
      <c r="G294" s="278"/>
      <c r="H294" s="279"/>
      <c r="I294" s="893"/>
      <c r="J294" s="893"/>
      <c r="K294" s="280" t="s">
        <v>526</v>
      </c>
    </row>
    <row r="295" spans="1:16" ht="20.100000000000001" customHeight="1" x14ac:dyDescent="0.2">
      <c r="A295" s="23"/>
      <c r="B295" s="894" t="s">
        <v>930</v>
      </c>
      <c r="C295" s="895"/>
      <c r="D295" s="896"/>
      <c r="E295" s="1334">
        <v>165.45076649768123</v>
      </c>
      <c r="F295" s="1335"/>
      <c r="G295" s="278"/>
      <c r="H295" s="279"/>
      <c r="I295" s="279"/>
      <c r="J295" s="279"/>
      <c r="K295" s="280" t="s">
        <v>526</v>
      </c>
    </row>
    <row r="296" spans="1:16" ht="20.100000000000001" customHeight="1" x14ac:dyDescent="0.2">
      <c r="A296" s="23"/>
      <c r="B296" s="47"/>
      <c r="C296" s="47"/>
      <c r="D296" s="47"/>
      <c r="E296" s="282"/>
      <c r="F296" s="282"/>
      <c r="G296" s="283"/>
      <c r="H296" s="283"/>
      <c r="I296" s="284"/>
      <c r="J296" s="47"/>
    </row>
    <row r="297" spans="1:16" ht="30" customHeight="1" x14ac:dyDescent="0.2">
      <c r="A297" s="23"/>
      <c r="B297" s="855" t="s">
        <v>527</v>
      </c>
      <c r="C297" s="856"/>
      <c r="D297" s="856"/>
      <c r="E297" s="856"/>
      <c r="F297" s="856"/>
      <c r="G297" s="856"/>
      <c r="H297" s="856"/>
      <c r="I297" s="856"/>
      <c r="J297" s="857"/>
      <c r="N297" s="46" t="s">
        <v>30</v>
      </c>
    </row>
    <row r="298" spans="1:16" ht="20.100000000000001" customHeight="1" x14ac:dyDescent="0.2">
      <c r="A298" s="23"/>
    </row>
    <row r="299" spans="1:16" s="24" customFormat="1" ht="24.95" customHeight="1" x14ac:dyDescent="0.2">
      <c r="B299" s="881" t="s">
        <v>529</v>
      </c>
      <c r="C299" s="881"/>
      <c r="D299" s="881"/>
      <c r="E299" s="881" t="s">
        <v>530</v>
      </c>
      <c r="F299" s="881"/>
      <c r="G299" s="285" t="s">
        <v>531</v>
      </c>
      <c r="H299" s="881" t="s">
        <v>532</v>
      </c>
      <c r="I299" s="881"/>
      <c r="J299" s="881"/>
      <c r="K299" s="1"/>
      <c r="L299" s="2"/>
      <c r="M299" s="3"/>
      <c r="N299" s="4"/>
      <c r="O299" s="2"/>
      <c r="P299" s="18"/>
    </row>
    <row r="300" spans="1:16" s="24" customFormat="1" ht="24.95" customHeight="1" x14ac:dyDescent="0.2">
      <c r="B300" s="286" t="s">
        <v>533</v>
      </c>
      <c r="C300" s="287">
        <v>0.75</v>
      </c>
      <c r="D300" s="288"/>
      <c r="E300" s="885" t="s">
        <v>534</v>
      </c>
      <c r="F300" s="885"/>
      <c r="G300" s="289" t="s">
        <v>534</v>
      </c>
      <c r="H300" s="878" t="s">
        <v>534</v>
      </c>
      <c r="I300" s="878"/>
      <c r="J300" s="878"/>
      <c r="K300" s="1"/>
      <c r="L300" s="2"/>
      <c r="M300" s="3"/>
      <c r="N300" s="4"/>
      <c r="O300" s="18"/>
      <c r="P300" s="18"/>
    </row>
    <row r="301" spans="1:16" s="24" customFormat="1" ht="24.95" customHeight="1" x14ac:dyDescent="0.2">
      <c r="B301" s="290">
        <v>0.75</v>
      </c>
      <c r="C301" s="291" t="s">
        <v>535</v>
      </c>
      <c r="D301" s="288"/>
      <c r="E301" s="878" t="s">
        <v>536</v>
      </c>
      <c r="F301" s="878"/>
      <c r="G301" s="289" t="s">
        <v>534</v>
      </c>
      <c r="H301" s="292" t="s">
        <v>537</v>
      </c>
      <c r="I301" s="293">
        <v>0.75</v>
      </c>
      <c r="J301" s="294"/>
      <c r="K301" s="1"/>
      <c r="L301" s="2"/>
      <c r="M301" s="3"/>
      <c r="N301" s="4"/>
      <c r="O301" s="18"/>
      <c r="P301" s="18"/>
    </row>
    <row r="302" spans="1:16" s="24" customFormat="1" ht="24.95" customHeight="1" x14ac:dyDescent="0.2">
      <c r="B302" s="879" t="s">
        <v>538</v>
      </c>
      <c r="C302" s="879"/>
      <c r="D302" s="879"/>
      <c r="E302" s="878" t="s">
        <v>536</v>
      </c>
      <c r="F302" s="878"/>
      <c r="G302" s="289" t="s">
        <v>539</v>
      </c>
      <c r="H302" s="292" t="s">
        <v>540</v>
      </c>
      <c r="I302" s="293">
        <v>0.75</v>
      </c>
      <c r="J302" s="295" t="s">
        <v>541</v>
      </c>
      <c r="K302" s="1"/>
      <c r="L302" s="2"/>
      <c r="M302" s="3"/>
      <c r="N302" s="4"/>
      <c r="O302" s="18"/>
      <c r="P302" s="18"/>
    </row>
    <row r="303" spans="1:16" s="24" customFormat="1" ht="24.95" customHeight="1" x14ac:dyDescent="0.2">
      <c r="B303" s="879" t="s">
        <v>542</v>
      </c>
      <c r="C303" s="879"/>
      <c r="D303" s="879"/>
      <c r="E303" s="878" t="s">
        <v>536</v>
      </c>
      <c r="F303" s="878"/>
      <c r="G303" s="289" t="s">
        <v>543</v>
      </c>
      <c r="H303" s="292" t="s">
        <v>540</v>
      </c>
      <c r="I303" s="293">
        <v>0.75</v>
      </c>
      <c r="J303" s="295" t="s">
        <v>544</v>
      </c>
      <c r="K303" s="1"/>
      <c r="L303" s="2"/>
      <c r="M303" s="3"/>
      <c r="N303" s="4"/>
      <c r="O303" s="18"/>
      <c r="P303" s="18"/>
    </row>
    <row r="304" spans="1:16" ht="20.100000000000001" customHeight="1" x14ac:dyDescent="0.2">
      <c r="A304" s="23"/>
      <c r="B304" s="296"/>
      <c r="C304" s="296"/>
      <c r="D304" s="296"/>
      <c r="E304" s="143"/>
      <c r="F304" s="143"/>
      <c r="G304" s="143"/>
      <c r="H304" s="143"/>
      <c r="I304" s="297"/>
      <c r="J304" s="143"/>
      <c r="N304" s="46" t="s">
        <v>30</v>
      </c>
    </row>
    <row r="305" spans="1:14" ht="135" customHeight="1" x14ac:dyDescent="0.2">
      <c r="A305" s="23"/>
      <c r="B305" s="875" t="s">
        <v>751</v>
      </c>
      <c r="C305" s="876"/>
      <c r="D305" s="876"/>
      <c r="E305" s="876"/>
      <c r="F305" s="876"/>
      <c r="G305" s="876"/>
      <c r="H305" s="876"/>
      <c r="I305" s="876"/>
      <c r="J305" s="877"/>
    </row>
    <row r="306" spans="1:14" ht="35.1" customHeight="1" x14ac:dyDescent="0.2">
      <c r="A306" s="23"/>
      <c r="B306" s="298" t="s">
        <v>546</v>
      </c>
      <c r="C306" s="299"/>
      <c r="D306" s="299"/>
      <c r="E306" s="300"/>
      <c r="F306" s="300"/>
      <c r="G306" s="300"/>
      <c r="H306" s="300"/>
      <c r="I306" s="301"/>
      <c r="J306" s="421"/>
      <c r="N306" s="46" t="s">
        <v>30</v>
      </c>
    </row>
    <row r="307" spans="1:14" ht="50.1" customHeight="1" x14ac:dyDescent="0.2">
      <c r="A307" s="23"/>
      <c r="B307" s="303"/>
      <c r="C307" s="304"/>
      <c r="D307" s="161"/>
      <c r="E307" s="305" t="s">
        <v>547</v>
      </c>
      <c r="F307" s="306" t="s">
        <v>548</v>
      </c>
      <c r="G307" s="307"/>
      <c r="H307" s="308"/>
      <c r="I307" s="284"/>
      <c r="J307" s="48"/>
    </row>
    <row r="308" spans="1:14" ht="110.1" customHeight="1" x14ac:dyDescent="0.2">
      <c r="A308" s="23"/>
      <c r="B308" s="130"/>
      <c r="C308" s="131"/>
      <c r="D308" s="870" t="s">
        <v>549</v>
      </c>
      <c r="E308" s="870"/>
      <c r="F308" s="870"/>
      <c r="G308" s="870"/>
      <c r="H308" s="870"/>
      <c r="I308" s="870"/>
      <c r="J308" s="871"/>
    </row>
    <row r="309" spans="1:14" ht="20.100000000000001" customHeight="1" x14ac:dyDescent="0.2">
      <c r="A309" s="23"/>
    </row>
    <row r="310" spans="1:14" ht="30" customHeight="1" x14ac:dyDescent="0.2">
      <c r="A310" s="23"/>
      <c r="B310" s="855" t="s">
        <v>752</v>
      </c>
      <c r="C310" s="856"/>
      <c r="D310" s="856"/>
      <c r="E310" s="856"/>
      <c r="F310" s="856"/>
      <c r="G310" s="856"/>
      <c r="H310" s="856"/>
      <c r="I310" s="856"/>
      <c r="J310" s="857"/>
      <c r="N310" s="46" t="s">
        <v>30</v>
      </c>
    </row>
    <row r="311" spans="1:14" ht="9.9499999999999993" customHeight="1" x14ac:dyDescent="0.2">
      <c r="A311" s="23"/>
      <c r="B311" s="314"/>
      <c r="C311" s="314"/>
      <c r="D311" s="314"/>
      <c r="E311" s="314"/>
      <c r="F311" s="314"/>
      <c r="G311" s="314"/>
      <c r="H311" s="314"/>
      <c r="I311" s="315"/>
      <c r="J311" s="314"/>
    </row>
    <row r="312" spans="1:14" ht="24.95" customHeight="1" x14ac:dyDescent="0.2">
      <c r="A312" s="23"/>
      <c r="B312" s="422" t="s">
        <v>753</v>
      </c>
      <c r="C312" s="423"/>
      <c r="D312" s="424"/>
      <c r="E312" s="424"/>
      <c r="F312" s="424"/>
      <c r="G312" s="424"/>
      <c r="H312" s="424"/>
      <c r="I312" s="425"/>
      <c r="J312" s="426"/>
    </row>
    <row r="313" spans="1:14" ht="20.100000000000001" customHeight="1" x14ac:dyDescent="0.2">
      <c r="A313" s="23"/>
      <c r="B313" s="427"/>
      <c r="C313" s="47"/>
      <c r="D313" s="47"/>
      <c r="E313" s="47"/>
      <c r="F313" s="47"/>
      <c r="G313" s="47"/>
      <c r="H313" s="47"/>
      <c r="I313" s="284"/>
      <c r="J313" s="47"/>
    </row>
    <row r="314" spans="1:14" ht="30" customHeight="1" x14ac:dyDescent="0.2">
      <c r="A314" s="23"/>
      <c r="B314" s="855" t="s">
        <v>754</v>
      </c>
      <c r="C314" s="856"/>
      <c r="D314" s="856"/>
      <c r="E314" s="856"/>
      <c r="F314" s="856"/>
      <c r="G314" s="856"/>
      <c r="H314" s="856"/>
      <c r="I314" s="856"/>
      <c r="J314" s="857"/>
      <c r="N314" s="46" t="s">
        <v>30</v>
      </c>
    </row>
    <row r="315" spans="1:14" ht="12" customHeight="1" x14ac:dyDescent="0.2">
      <c r="A315" s="23"/>
      <c r="B315" s="314"/>
      <c r="C315" s="314"/>
      <c r="D315" s="314"/>
      <c r="E315" s="314"/>
      <c r="F315" s="314"/>
      <c r="G315" s="314"/>
      <c r="H315" s="314"/>
      <c r="I315" s="314"/>
      <c r="J315" s="314"/>
    </row>
    <row r="316" spans="1:14" ht="24.95" customHeight="1" x14ac:dyDescent="0.2">
      <c r="A316" s="23"/>
      <c r="B316" s="864" t="s">
        <v>559</v>
      </c>
      <c r="C316" s="865"/>
      <c r="D316" s="865"/>
      <c r="E316" s="865"/>
      <c r="F316" s="865"/>
      <c r="G316" s="865"/>
      <c r="H316" s="865"/>
      <c r="I316" s="865"/>
      <c r="J316" s="866"/>
    </row>
    <row r="317" spans="1:14" ht="12" customHeight="1" x14ac:dyDescent="0.2">
      <c r="A317" s="23"/>
      <c r="B317" s="47"/>
      <c r="C317" s="47"/>
      <c r="D317" s="47"/>
      <c r="E317" s="47"/>
      <c r="F317" s="47"/>
      <c r="G317" s="47"/>
      <c r="H317" s="47"/>
      <c r="I317" s="284"/>
      <c r="J317" s="47"/>
    </row>
    <row r="318" spans="1:14" ht="84.95" customHeight="1" x14ac:dyDescent="0.2">
      <c r="A318" s="23"/>
      <c r="B318" s="867" t="s">
        <v>560</v>
      </c>
      <c r="C318" s="868"/>
      <c r="D318" s="868"/>
      <c r="E318" s="868"/>
      <c r="F318" s="868"/>
      <c r="G318" s="868"/>
      <c r="H318" s="868"/>
      <c r="I318" s="868"/>
      <c r="J318" s="869"/>
    </row>
  </sheetData>
  <mergeCells count="541">
    <mergeCell ref="B1:J1"/>
    <mergeCell ref="B2:J2"/>
    <mergeCell ref="B3:D3"/>
    <mergeCell ref="E3:J3"/>
    <mergeCell ref="B4:D4"/>
    <mergeCell ref="E4:J4"/>
    <mergeCell ref="B9:J9"/>
    <mergeCell ref="B10:J10"/>
    <mergeCell ref="B12:J12"/>
    <mergeCell ref="I14:J14"/>
    <mergeCell ref="B16:J16"/>
    <mergeCell ref="B18:H18"/>
    <mergeCell ref="B5:D5"/>
    <mergeCell ref="E5:F5"/>
    <mergeCell ref="H5:I5"/>
    <mergeCell ref="B6:D6"/>
    <mergeCell ref="E6:F6"/>
    <mergeCell ref="B7:J7"/>
    <mergeCell ref="B19:J19"/>
    <mergeCell ref="B20:B21"/>
    <mergeCell ref="C20:D20"/>
    <mergeCell ref="E20:F20"/>
    <mergeCell ref="G20:H20"/>
    <mergeCell ref="I20:I21"/>
    <mergeCell ref="J20:J21"/>
    <mergeCell ref="C21:D21"/>
    <mergeCell ref="E21:F21"/>
    <mergeCell ref="G21:H21"/>
    <mergeCell ref="B29:B32"/>
    <mergeCell ref="C29:D29"/>
    <mergeCell ref="E29:F29"/>
    <mergeCell ref="G29:H29"/>
    <mergeCell ref="E24:F24"/>
    <mergeCell ref="G24:H24"/>
    <mergeCell ref="C25:D25"/>
    <mergeCell ref="E25:F25"/>
    <mergeCell ref="G25:H25"/>
    <mergeCell ref="C26:D26"/>
    <mergeCell ref="E26:F26"/>
    <mergeCell ref="G26:H26"/>
    <mergeCell ref="B22:B28"/>
    <mergeCell ref="C22:D22"/>
    <mergeCell ref="E22:F22"/>
    <mergeCell ref="G22:H22"/>
    <mergeCell ref="C23:D23"/>
    <mergeCell ref="E23:F23"/>
    <mergeCell ref="G23:H23"/>
    <mergeCell ref="C24:D24"/>
    <mergeCell ref="I29:I32"/>
    <mergeCell ref="J29:J32"/>
    <mergeCell ref="C30:D30"/>
    <mergeCell ref="E30:F30"/>
    <mergeCell ref="G30:H30"/>
    <mergeCell ref="C31:H31"/>
    <mergeCell ref="C32:H32"/>
    <mergeCell ref="C27:H27"/>
    <mergeCell ref="C28:H28"/>
    <mergeCell ref="I22:I28"/>
    <mergeCell ref="J22:J28"/>
    <mergeCell ref="I35:I36"/>
    <mergeCell ref="J35:J36"/>
    <mergeCell ref="C36:D36"/>
    <mergeCell ref="E36:F36"/>
    <mergeCell ref="B33:B34"/>
    <mergeCell ref="C33:D33"/>
    <mergeCell ref="E33:F33"/>
    <mergeCell ref="G33:H33"/>
    <mergeCell ref="I33:I34"/>
    <mergeCell ref="J33:J34"/>
    <mergeCell ref="C34:D34"/>
    <mergeCell ref="C37:H37"/>
    <mergeCell ref="C38:H38"/>
    <mergeCell ref="B40:H40"/>
    <mergeCell ref="B41:B42"/>
    <mergeCell ref="C41:D41"/>
    <mergeCell ref="E41:F41"/>
    <mergeCell ref="B35:B36"/>
    <mergeCell ref="C35:D35"/>
    <mergeCell ref="E35:F35"/>
    <mergeCell ref="G35:H35"/>
    <mergeCell ref="C47:H47"/>
    <mergeCell ref="C48:H48"/>
    <mergeCell ref="C49:H49"/>
    <mergeCell ref="B51:H51"/>
    <mergeCell ref="B52:J52"/>
    <mergeCell ref="C53:H53"/>
    <mergeCell ref="I41:I42"/>
    <mergeCell ref="J41:J42"/>
    <mergeCell ref="C43:H43"/>
    <mergeCell ref="B45:H45"/>
    <mergeCell ref="B46:B48"/>
    <mergeCell ref="C46:D46"/>
    <mergeCell ref="E46:F46"/>
    <mergeCell ref="G46:H46"/>
    <mergeCell ref="I46:I48"/>
    <mergeCell ref="J46:J48"/>
    <mergeCell ref="B55:H55"/>
    <mergeCell ref="B56:J56"/>
    <mergeCell ref="B57:B59"/>
    <mergeCell ref="C57:D57"/>
    <mergeCell ref="E57:F57"/>
    <mergeCell ref="G57:H57"/>
    <mergeCell ref="I57:I59"/>
    <mergeCell ref="J57:J59"/>
    <mergeCell ref="C58:D58"/>
    <mergeCell ref="E58:F58"/>
    <mergeCell ref="G58:H58"/>
    <mergeCell ref="C59:D59"/>
    <mergeCell ref="E59:F59"/>
    <mergeCell ref="B60:B64"/>
    <mergeCell ref="C60:D60"/>
    <mergeCell ref="E60:F60"/>
    <mergeCell ref="G60:H60"/>
    <mergeCell ref="G63:H63"/>
    <mergeCell ref="C64:D64"/>
    <mergeCell ref="E64:F64"/>
    <mergeCell ref="G64:H64"/>
    <mergeCell ref="B65:B66"/>
    <mergeCell ref="C65:D65"/>
    <mergeCell ref="E65:F65"/>
    <mergeCell ref="G65:H65"/>
    <mergeCell ref="I60:I64"/>
    <mergeCell ref="J60:J64"/>
    <mergeCell ref="C61:D61"/>
    <mergeCell ref="E61:F61"/>
    <mergeCell ref="G61:H61"/>
    <mergeCell ref="C62:D62"/>
    <mergeCell ref="E62:F62"/>
    <mergeCell ref="G62:H62"/>
    <mergeCell ref="C63:D63"/>
    <mergeCell ref="E63:F63"/>
    <mergeCell ref="B69:B70"/>
    <mergeCell ref="C69:D69"/>
    <mergeCell ref="E69:F69"/>
    <mergeCell ref="G69:H69"/>
    <mergeCell ref="I69:I70"/>
    <mergeCell ref="J69:J70"/>
    <mergeCell ref="C70:D70"/>
    <mergeCell ref="E70:F70"/>
    <mergeCell ref="J65:J66"/>
    <mergeCell ref="C66:D66"/>
    <mergeCell ref="B67:B68"/>
    <mergeCell ref="C67:D67"/>
    <mergeCell ref="E67:F67"/>
    <mergeCell ref="G67:H67"/>
    <mergeCell ref="I67:I68"/>
    <mergeCell ref="J67:J68"/>
    <mergeCell ref="C68:D68"/>
    <mergeCell ref="I65:I66"/>
    <mergeCell ref="C71:H71"/>
    <mergeCell ref="C72:H72"/>
    <mergeCell ref="B74:H74"/>
    <mergeCell ref="B75:J75"/>
    <mergeCell ref="C76:D76"/>
    <mergeCell ref="E76:F76"/>
    <mergeCell ref="G76:H76"/>
    <mergeCell ref="E79:F79"/>
    <mergeCell ref="G79:H79"/>
    <mergeCell ref="B77:B80"/>
    <mergeCell ref="C77:D77"/>
    <mergeCell ref="E77:F77"/>
    <mergeCell ref="G77:H77"/>
    <mergeCell ref="C84:D84"/>
    <mergeCell ref="E84:F84"/>
    <mergeCell ref="G84:H84"/>
    <mergeCell ref="I77:I80"/>
    <mergeCell ref="J77:J80"/>
    <mergeCell ref="C78:D78"/>
    <mergeCell ref="E78:F78"/>
    <mergeCell ref="G78:H78"/>
    <mergeCell ref="C79:D79"/>
    <mergeCell ref="C80:D80"/>
    <mergeCell ref="E80:F80"/>
    <mergeCell ref="G80:H80"/>
    <mergeCell ref="C85:H85"/>
    <mergeCell ref="C86:H86"/>
    <mergeCell ref="B88:H88"/>
    <mergeCell ref="I81:I82"/>
    <mergeCell ref="J81:J82"/>
    <mergeCell ref="C82:D82"/>
    <mergeCell ref="E82:F82"/>
    <mergeCell ref="C83:D83"/>
    <mergeCell ref="E83:F83"/>
    <mergeCell ref="G83:H83"/>
    <mergeCell ref="B81:B82"/>
    <mergeCell ref="C81:D81"/>
    <mergeCell ref="E81:F81"/>
    <mergeCell ref="G81:H81"/>
    <mergeCell ref="B93:H93"/>
    <mergeCell ref="B94:B95"/>
    <mergeCell ref="C94:H94"/>
    <mergeCell ref="I94:I95"/>
    <mergeCell ref="J94:J95"/>
    <mergeCell ref="C95:H95"/>
    <mergeCell ref="B89:J89"/>
    <mergeCell ref="B90:H90"/>
    <mergeCell ref="B91:B92"/>
    <mergeCell ref="C91:H91"/>
    <mergeCell ref="I91:I92"/>
    <mergeCell ref="J91:J92"/>
    <mergeCell ref="C92:H92"/>
    <mergeCell ref="B97:H97"/>
    <mergeCell ref="B98:J98"/>
    <mergeCell ref="C99:D99"/>
    <mergeCell ref="E99:F99"/>
    <mergeCell ref="G99:H99"/>
    <mergeCell ref="B100:B105"/>
    <mergeCell ref="C100:D100"/>
    <mergeCell ref="E100:F100"/>
    <mergeCell ref="G100:H100"/>
    <mergeCell ref="I100:I105"/>
    <mergeCell ref="C104:H104"/>
    <mergeCell ref="C105:H105"/>
    <mergeCell ref="J100:J105"/>
    <mergeCell ref="C101:D101"/>
    <mergeCell ref="E101:F101"/>
    <mergeCell ref="G101:H101"/>
    <mergeCell ref="C102:D102"/>
    <mergeCell ref="E102:F102"/>
    <mergeCell ref="G102:H102"/>
    <mergeCell ref="C103:D103"/>
    <mergeCell ref="E103:F103"/>
    <mergeCell ref="G103:H103"/>
    <mergeCell ref="B109:B110"/>
    <mergeCell ref="C109:D109"/>
    <mergeCell ref="E109:F109"/>
    <mergeCell ref="G109:H109"/>
    <mergeCell ref="I109:I110"/>
    <mergeCell ref="J109:J110"/>
    <mergeCell ref="C110:D110"/>
    <mergeCell ref="I106:I107"/>
    <mergeCell ref="J106:J107"/>
    <mergeCell ref="C107:D107"/>
    <mergeCell ref="C108:D108"/>
    <mergeCell ref="E108:F108"/>
    <mergeCell ref="G108:H108"/>
    <mergeCell ref="B106:B107"/>
    <mergeCell ref="C106:D106"/>
    <mergeCell ref="E106:F106"/>
    <mergeCell ref="G106:H106"/>
    <mergeCell ref="I115:I118"/>
    <mergeCell ref="J115:J118"/>
    <mergeCell ref="C116:D116"/>
    <mergeCell ref="E116:F116"/>
    <mergeCell ref="G116:H116"/>
    <mergeCell ref="C117:D117"/>
    <mergeCell ref="C111:H111"/>
    <mergeCell ref="C112:H112"/>
    <mergeCell ref="B113:J113"/>
    <mergeCell ref="C114:D114"/>
    <mergeCell ref="E114:F114"/>
    <mergeCell ref="G114:H114"/>
    <mergeCell ref="E117:F117"/>
    <mergeCell ref="G117:H117"/>
    <mergeCell ref="C118:D118"/>
    <mergeCell ref="E118:F118"/>
    <mergeCell ref="G118:H118"/>
    <mergeCell ref="B119:B120"/>
    <mergeCell ref="C119:D119"/>
    <mergeCell ref="E119:F119"/>
    <mergeCell ref="G119:H119"/>
    <mergeCell ref="B115:B118"/>
    <mergeCell ref="C115:D115"/>
    <mergeCell ref="E115:F115"/>
    <mergeCell ref="G115:H115"/>
    <mergeCell ref="B122:B125"/>
    <mergeCell ref="C122:D122"/>
    <mergeCell ref="E122:F122"/>
    <mergeCell ref="G122:H122"/>
    <mergeCell ref="I122:I125"/>
    <mergeCell ref="J122:J125"/>
    <mergeCell ref="C123:D123"/>
    <mergeCell ref="C125:H125"/>
    <mergeCell ref="I119:I120"/>
    <mergeCell ref="J119:J120"/>
    <mergeCell ref="C120:D120"/>
    <mergeCell ref="C121:D121"/>
    <mergeCell ref="E121:F121"/>
    <mergeCell ref="G121:H121"/>
    <mergeCell ref="I133:I136"/>
    <mergeCell ref="J133:J136"/>
    <mergeCell ref="C134:D134"/>
    <mergeCell ref="E134:F134"/>
    <mergeCell ref="G134:H134"/>
    <mergeCell ref="C135:D135"/>
    <mergeCell ref="C126:H126"/>
    <mergeCell ref="C127:H127"/>
    <mergeCell ref="B129:H129"/>
    <mergeCell ref="B130:J130"/>
    <mergeCell ref="B131:J131"/>
    <mergeCell ref="C132:D132"/>
    <mergeCell ref="E132:F132"/>
    <mergeCell ref="G132:H132"/>
    <mergeCell ref="C136:H136"/>
    <mergeCell ref="C137:D137"/>
    <mergeCell ref="E137:F137"/>
    <mergeCell ref="G137:H137"/>
    <mergeCell ref="B138:B140"/>
    <mergeCell ref="C138:D138"/>
    <mergeCell ref="E138:F138"/>
    <mergeCell ref="G138:H138"/>
    <mergeCell ref="B133:B136"/>
    <mergeCell ref="C133:D133"/>
    <mergeCell ref="E133:F133"/>
    <mergeCell ref="G133:H133"/>
    <mergeCell ref="B143:H143"/>
    <mergeCell ref="B144:J144"/>
    <mergeCell ref="B145:J145"/>
    <mergeCell ref="C146:H146"/>
    <mergeCell ref="C147:H147"/>
    <mergeCell ref="B149:H149"/>
    <mergeCell ref="I138:I140"/>
    <mergeCell ref="J138:J140"/>
    <mergeCell ref="C139:D139"/>
    <mergeCell ref="C140:H140"/>
    <mergeCell ref="C141:D141"/>
    <mergeCell ref="E141:F141"/>
    <mergeCell ref="G141:H141"/>
    <mergeCell ref="I153:I155"/>
    <mergeCell ref="J153:J155"/>
    <mergeCell ref="C154:D154"/>
    <mergeCell ref="E154:F154"/>
    <mergeCell ref="G154:H154"/>
    <mergeCell ref="C155:D155"/>
    <mergeCell ref="B150:B152"/>
    <mergeCell ref="C150:D150"/>
    <mergeCell ref="E150:F150"/>
    <mergeCell ref="G150:H150"/>
    <mergeCell ref="I150:I152"/>
    <mergeCell ref="J150:J152"/>
    <mergeCell ref="C151:D151"/>
    <mergeCell ref="C152:D152"/>
    <mergeCell ref="E152:F152"/>
    <mergeCell ref="E155:F155"/>
    <mergeCell ref="G155:H155"/>
    <mergeCell ref="C156:D156"/>
    <mergeCell ref="E156:F156"/>
    <mergeCell ref="G156:H156"/>
    <mergeCell ref="B157:B158"/>
    <mergeCell ref="C157:D157"/>
    <mergeCell ref="E157:F157"/>
    <mergeCell ref="G157:H157"/>
    <mergeCell ref="B153:B155"/>
    <mergeCell ref="C153:D153"/>
    <mergeCell ref="E153:F153"/>
    <mergeCell ref="G153:H153"/>
    <mergeCell ref="C160:H160"/>
    <mergeCell ref="B161:J161"/>
    <mergeCell ref="B163:H163"/>
    <mergeCell ref="C164:H164"/>
    <mergeCell ref="B166:H166"/>
    <mergeCell ref="B167:J167"/>
    <mergeCell ref="I157:I158"/>
    <mergeCell ref="J157:J158"/>
    <mergeCell ref="C158:D158"/>
    <mergeCell ref="E158:F158"/>
    <mergeCell ref="C159:D159"/>
    <mergeCell ref="E159:F159"/>
    <mergeCell ref="G159:H159"/>
    <mergeCell ref="C168:H168"/>
    <mergeCell ref="C169:H169"/>
    <mergeCell ref="B170:B175"/>
    <mergeCell ref="C170:H170"/>
    <mergeCell ref="I170:I174"/>
    <mergeCell ref="J170:J174"/>
    <mergeCell ref="C171:H171"/>
    <mergeCell ref="C172:H172"/>
    <mergeCell ref="C173:H173"/>
    <mergeCell ref="C174:H174"/>
    <mergeCell ref="C175:H175"/>
    <mergeCell ref="C176:H176"/>
    <mergeCell ref="B177:J177"/>
    <mergeCell ref="B179:H179"/>
    <mergeCell ref="B180:J180"/>
    <mergeCell ref="B181:B182"/>
    <mergeCell ref="C181:D181"/>
    <mergeCell ref="E181:F181"/>
    <mergeCell ref="G181:H181"/>
    <mergeCell ref="I181:I182"/>
    <mergeCell ref="B187:H187"/>
    <mergeCell ref="B188:B189"/>
    <mergeCell ref="C188:D188"/>
    <mergeCell ref="E188:F188"/>
    <mergeCell ref="G188:H188"/>
    <mergeCell ref="I188:I189"/>
    <mergeCell ref="J181:J182"/>
    <mergeCell ref="C182:D182"/>
    <mergeCell ref="E182:F182"/>
    <mergeCell ref="G182:H182"/>
    <mergeCell ref="B184:H184"/>
    <mergeCell ref="C185:H185"/>
    <mergeCell ref="B193:J193"/>
    <mergeCell ref="C194:H194"/>
    <mergeCell ref="C195:H195"/>
    <mergeCell ref="B196:J196"/>
    <mergeCell ref="C197:H197"/>
    <mergeCell ref="C198:H198"/>
    <mergeCell ref="J188:J189"/>
    <mergeCell ref="C189:D189"/>
    <mergeCell ref="E189:F189"/>
    <mergeCell ref="G189:H189"/>
    <mergeCell ref="B191:H191"/>
    <mergeCell ref="B192:J192"/>
    <mergeCell ref="B207:J207"/>
    <mergeCell ref="B208:J208"/>
    <mergeCell ref="B210:J210"/>
    <mergeCell ref="B211:J211"/>
    <mergeCell ref="B213:J213"/>
    <mergeCell ref="B214:J214"/>
    <mergeCell ref="B199:H199"/>
    <mergeCell ref="B200:J200"/>
    <mergeCell ref="C201:H201"/>
    <mergeCell ref="C202:H202"/>
    <mergeCell ref="B204:J204"/>
    <mergeCell ref="B205:J205"/>
    <mergeCell ref="B222:H222"/>
    <mergeCell ref="B223:J223"/>
    <mergeCell ref="C224:H224"/>
    <mergeCell ref="B226:H226"/>
    <mergeCell ref="B227:J227"/>
    <mergeCell ref="C228:H228"/>
    <mergeCell ref="B216:J216"/>
    <mergeCell ref="B217:H217"/>
    <mergeCell ref="I217:J217"/>
    <mergeCell ref="B219:H219"/>
    <mergeCell ref="I219:J219"/>
    <mergeCell ref="B220:H220"/>
    <mergeCell ref="I220:J220"/>
    <mergeCell ref="E234:F234"/>
    <mergeCell ref="G234:H234"/>
    <mergeCell ref="B236:H236"/>
    <mergeCell ref="B237:J237"/>
    <mergeCell ref="C238:H238"/>
    <mergeCell ref="B240:H240"/>
    <mergeCell ref="I240:J240"/>
    <mergeCell ref="B230:H230"/>
    <mergeCell ref="B231:J231"/>
    <mergeCell ref="B232:B234"/>
    <mergeCell ref="C232:H232"/>
    <mergeCell ref="I232:I234"/>
    <mergeCell ref="J232:J234"/>
    <mergeCell ref="C233:D233"/>
    <mergeCell ref="E233:F233"/>
    <mergeCell ref="G233:H233"/>
    <mergeCell ref="C234:D234"/>
    <mergeCell ref="C241:H241"/>
    <mergeCell ref="I241:J241"/>
    <mergeCell ref="C242:H242"/>
    <mergeCell ref="I242:J242"/>
    <mergeCell ref="B243:B254"/>
    <mergeCell ref="C243:H243"/>
    <mergeCell ref="I243:J243"/>
    <mergeCell ref="C244:H244"/>
    <mergeCell ref="I244:J244"/>
    <mergeCell ref="C245:H245"/>
    <mergeCell ref="C249:H249"/>
    <mergeCell ref="I249:J249"/>
    <mergeCell ref="C250:H250"/>
    <mergeCell ref="I250:J250"/>
    <mergeCell ref="C251:H251"/>
    <mergeCell ref="I251:J251"/>
    <mergeCell ref="I245:J245"/>
    <mergeCell ref="C246:H246"/>
    <mergeCell ref="I246:J246"/>
    <mergeCell ref="C247:H247"/>
    <mergeCell ref="I247:J247"/>
    <mergeCell ref="C248:H248"/>
    <mergeCell ref="I248:J248"/>
    <mergeCell ref="B255:J255"/>
    <mergeCell ref="B257:H257"/>
    <mergeCell ref="B258:J258"/>
    <mergeCell ref="C259:H259"/>
    <mergeCell ref="B260:J260"/>
    <mergeCell ref="C261:H261"/>
    <mergeCell ref="C252:H252"/>
    <mergeCell ref="I252:J252"/>
    <mergeCell ref="C253:H253"/>
    <mergeCell ref="I253:J253"/>
    <mergeCell ref="C254:H254"/>
    <mergeCell ref="I254:J254"/>
    <mergeCell ref="B262:J262"/>
    <mergeCell ref="B264:H264"/>
    <mergeCell ref="C266:H266"/>
    <mergeCell ref="B268:H268"/>
    <mergeCell ref="B269:B270"/>
    <mergeCell ref="C269:H269"/>
    <mergeCell ref="I269:I270"/>
    <mergeCell ref="J269:J270"/>
    <mergeCell ref="C270:D270"/>
    <mergeCell ref="E270:F270"/>
    <mergeCell ref="B278:H278"/>
    <mergeCell ref="B279:H279"/>
    <mergeCell ref="B281:H281"/>
    <mergeCell ref="C282:H282"/>
    <mergeCell ref="B284:J284"/>
    <mergeCell ref="B286:J286"/>
    <mergeCell ref="G270:H270"/>
    <mergeCell ref="B272:H272"/>
    <mergeCell ref="B273:H273"/>
    <mergeCell ref="B275:H275"/>
    <mergeCell ref="B276:H276"/>
    <mergeCell ref="B277:J277"/>
    <mergeCell ref="B291:D291"/>
    <mergeCell ref="E291:F291"/>
    <mergeCell ref="I291:J291"/>
    <mergeCell ref="B292:D292"/>
    <mergeCell ref="E292:F292"/>
    <mergeCell ref="I292:J292"/>
    <mergeCell ref="B288:D288"/>
    <mergeCell ref="E288:F289"/>
    <mergeCell ref="B289:D289"/>
    <mergeCell ref="G289:H289"/>
    <mergeCell ref="I289:J289"/>
    <mergeCell ref="B290:D290"/>
    <mergeCell ref="E290:F290"/>
    <mergeCell ref="I290:J290"/>
    <mergeCell ref="B295:D295"/>
    <mergeCell ref="E295:F295"/>
    <mergeCell ref="B297:J297"/>
    <mergeCell ref="B299:D299"/>
    <mergeCell ref="E299:F299"/>
    <mergeCell ref="H299:J299"/>
    <mergeCell ref="B293:D293"/>
    <mergeCell ref="E293:F293"/>
    <mergeCell ref="I293:J293"/>
    <mergeCell ref="B294:D294"/>
    <mergeCell ref="E294:F294"/>
    <mergeCell ref="I294:J294"/>
    <mergeCell ref="B305:J305"/>
    <mergeCell ref="D308:J308"/>
    <mergeCell ref="B310:J310"/>
    <mergeCell ref="B314:J314"/>
    <mergeCell ref="B316:J316"/>
    <mergeCell ref="B318:J318"/>
    <mergeCell ref="E300:F300"/>
    <mergeCell ref="H300:J300"/>
    <mergeCell ref="E301:F301"/>
    <mergeCell ref="B302:D302"/>
    <mergeCell ref="E302:F302"/>
    <mergeCell ref="B303:D303"/>
    <mergeCell ref="E303:F303"/>
  </mergeCells>
  <conditionalFormatting sqref="I14:J14 E5:F5 J5 E3:J4">
    <cfRule type="containsBlanks" dxfId="24" priority="2" stopIfTrue="1">
      <formula>LEN(TRIM(E3))=0</formula>
    </cfRule>
  </conditionalFormatting>
  <conditionalFormatting sqref="E290:E295">
    <cfRule type="containsBlanks" dxfId="23" priority="1" stopIfTrue="1">
      <formula>LEN(TRIM(E290))=0</formula>
    </cfRule>
  </conditionalFormatting>
  <dataValidations count="8">
    <dataValidation allowBlank="1" showInputMessage="1" showErrorMessage="1" prompt="Ingresar Datos De FTPS" sqref="E3:E5 F5:J5"/>
    <dataValidation allowBlank="1" showInputMessage="1" showErrorMessage="1" prompt="Ingresar El tipo de  Plan: Hijastros, Padres, etc." sqref="B7:J7"/>
    <dataValidation allowBlank="1" showInputMessage="1" showErrorMessage="1" prompt="Modificar titulos de acuerdo a condiciones" sqref="B2:J2"/>
    <dataValidation allowBlank="1" showInputMessage="1" showErrorMessage="1" prompt="Verificar BMA" sqref="I14:J14"/>
    <dataValidation allowBlank="1" showInputMessage="1" showErrorMessage="1" prompt="Verificar tipo de Plan" sqref="B286"/>
    <dataValidation errorStyle="warning" allowBlank="1" showInputMessage="1" showErrorMessage="1" errorTitle="Verificar Grupal o Etario" error="Verificar Grupal o Etario" prompt="Verificar Grupal o Etario" sqref="B290:B295 C290:D294"/>
    <dataValidation allowBlank="1" showInputMessage="1" showErrorMessage="1" prompt="Verificar Aportes" sqref="E290:E295"/>
    <dataValidation allowBlank="1" showInputMessage="1" showErrorMessage="1" prompt="Verificar Siniestralidad objetivo" sqref="B300:J303"/>
  </dataValidations>
  <printOptions horizontalCentered="1"/>
  <pageMargins left="0.39370078740157483" right="0.39370078740157483" top="1.7716535433070868" bottom="0.98425196850393704" header="0" footer="0"/>
  <pageSetup paperSize="9" scale="75" fitToHeight="0" orientation="portrait" r:id="rId1"/>
  <headerFooter alignWithMargins="0">
    <oddFooter>Página &amp;P de &amp;N</oddFooter>
  </headerFooter>
  <rowBreaks count="13" manualBreakCount="13">
    <brk id="28" max="16383" man="1"/>
    <brk id="54" max="16383" man="1"/>
    <brk id="75" max="16383" man="1"/>
    <brk id="98" max="16383" man="1"/>
    <brk id="121" max="16383" man="1"/>
    <brk id="142" max="16383" man="1"/>
    <brk id="169" max="16383" man="1"/>
    <brk id="195" max="16383" man="1"/>
    <brk id="218" max="16383" man="1"/>
    <brk id="239" max="16383" man="1"/>
    <brk id="259" max="16383" man="1"/>
    <brk id="277" max="16383" man="1"/>
    <brk id="305"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FF0000"/>
  </sheetPr>
  <dimension ref="A1:AF186"/>
  <sheetViews>
    <sheetView showGridLines="0" view="pageBreakPreview" topLeftCell="B1" zoomScale="90" zoomScaleSheetLayoutView="90" workbookViewId="0">
      <selection activeCell="B9" sqref="B9:J9"/>
    </sheetView>
  </sheetViews>
  <sheetFormatPr baseColWidth="10" defaultColWidth="11.42578125" defaultRowHeight="12.75" x14ac:dyDescent="0.2"/>
  <cols>
    <col min="1" max="1" width="16.7109375" style="18" hidden="1" customWidth="1"/>
    <col min="2" max="2" width="20.85546875" style="1" customWidth="1"/>
    <col min="3" max="3" width="13.140625" style="1" customWidth="1"/>
    <col min="4" max="7" width="14.42578125" style="1" customWidth="1"/>
    <col min="8" max="8" width="11.7109375" style="1" customWidth="1"/>
    <col min="9" max="9" width="11.7109375" style="11" customWidth="1"/>
    <col min="10" max="10" width="11.7109375" style="234" customWidth="1"/>
    <col min="11" max="11" width="12.5703125" style="1" hidden="1" customWidth="1"/>
    <col min="12" max="12" width="10.7109375" style="2" hidden="1" customWidth="1"/>
    <col min="13" max="13" width="15.85546875" style="4" hidden="1" customWidth="1"/>
    <col min="14" max="14" width="11.28515625" style="18" hidden="1" customWidth="1"/>
    <col min="15" max="15" width="7.140625" style="2" hidden="1" customWidth="1"/>
    <col min="16" max="16" width="15" style="18" hidden="1" customWidth="1"/>
    <col min="17" max="17" width="11.42578125" style="18" hidden="1" customWidth="1"/>
    <col min="18" max="19" width="11.42578125" style="18" customWidth="1"/>
    <col min="20" max="16384" width="11.42578125" style="18"/>
  </cols>
  <sheetData>
    <row r="1" spans="1:15" ht="18.75" customHeight="1" x14ac:dyDescent="0.2">
      <c r="B1" s="1331" t="s">
        <v>755</v>
      </c>
      <c r="C1" s="1331"/>
      <c r="D1" s="1331"/>
      <c r="E1" s="1331"/>
      <c r="F1" s="1331"/>
      <c r="G1" s="1331"/>
      <c r="H1" s="1331"/>
      <c r="I1" s="1331"/>
      <c r="J1" s="1331"/>
    </row>
    <row r="2" spans="1:15" ht="20.100000000000001" customHeight="1" x14ac:dyDescent="0.2">
      <c r="B2" s="1332"/>
      <c r="C2" s="1332"/>
      <c r="D2" s="1332"/>
      <c r="E2" s="1332"/>
      <c r="F2" s="1332"/>
      <c r="G2" s="1332"/>
      <c r="H2" s="1332"/>
      <c r="I2" s="1332"/>
      <c r="J2" s="1332"/>
      <c r="K2" s="5"/>
      <c r="M2" s="171"/>
    </row>
    <row r="3" spans="1:15" ht="18.75" customHeight="1" x14ac:dyDescent="0.2">
      <c r="B3" s="1325" t="s">
        <v>2</v>
      </c>
      <c r="C3" s="1325"/>
      <c r="D3" s="1325"/>
      <c r="E3" s="1327" t="s">
        <v>922</v>
      </c>
      <c r="F3" s="1327"/>
      <c r="G3" s="1327"/>
      <c r="H3" s="1327"/>
      <c r="I3" s="1327"/>
      <c r="J3" s="1327"/>
      <c r="K3" s="7"/>
      <c r="M3" s="171"/>
    </row>
    <row r="4" spans="1:15" ht="30.75" customHeight="1" x14ac:dyDescent="0.2">
      <c r="B4" s="1325" t="s">
        <v>3</v>
      </c>
      <c r="C4" s="1325"/>
      <c r="D4" s="1325"/>
      <c r="E4" s="1333" t="s">
        <v>923</v>
      </c>
      <c r="F4" s="1327"/>
      <c r="G4" s="1327"/>
      <c r="H4" s="1327"/>
      <c r="I4" s="1327"/>
      <c r="J4" s="1327"/>
      <c r="K4" s="7"/>
      <c r="L4" s="1"/>
      <c r="M4" s="171"/>
      <c r="O4" s="1"/>
    </row>
    <row r="5" spans="1:15" ht="18.75" customHeight="1" x14ac:dyDescent="0.2">
      <c r="B5" s="1325" t="s">
        <v>4</v>
      </c>
      <c r="C5" s="1325"/>
      <c r="D5" s="1325"/>
      <c r="E5" s="1326">
        <v>43922</v>
      </c>
      <c r="F5" s="1327"/>
      <c r="G5" s="8"/>
      <c r="H5" s="1328" t="s">
        <v>5</v>
      </c>
      <c r="I5" s="1328"/>
      <c r="J5" s="9">
        <v>231002</v>
      </c>
    </row>
    <row r="6" spans="1:15" ht="20.100000000000001" customHeight="1" x14ac:dyDescent="0.2">
      <c r="B6" s="1325"/>
      <c r="C6" s="1325"/>
      <c r="D6" s="1325"/>
      <c r="E6" s="1329"/>
      <c r="F6" s="1329"/>
      <c r="G6" s="10"/>
      <c r="J6" s="9"/>
    </row>
    <row r="7" spans="1:15" ht="14.25" customHeight="1" x14ac:dyDescent="0.2">
      <c r="B7" s="1330" t="s">
        <v>6</v>
      </c>
      <c r="C7" s="1330"/>
      <c r="D7" s="1330"/>
      <c r="E7" s="1330"/>
      <c r="F7" s="1330"/>
      <c r="G7" s="1330"/>
      <c r="H7" s="1330"/>
      <c r="I7" s="1330"/>
      <c r="J7" s="1330"/>
      <c r="K7" s="12"/>
      <c r="M7" s="318"/>
    </row>
    <row r="8" spans="1:15" ht="20.100000000000001" customHeight="1" x14ac:dyDescent="0.2">
      <c r="B8" s="14"/>
      <c r="C8" s="14"/>
      <c r="D8" s="14"/>
      <c r="E8" s="14"/>
      <c r="F8" s="14"/>
      <c r="G8" s="14"/>
      <c r="H8" s="14"/>
      <c r="I8" s="14"/>
      <c r="J8" s="15"/>
      <c r="K8" s="12"/>
      <c r="M8" s="318"/>
    </row>
    <row r="9" spans="1:15" ht="30" customHeight="1" x14ac:dyDescent="0.2">
      <c r="B9" s="855" t="s">
        <v>756</v>
      </c>
      <c r="C9" s="856"/>
      <c r="D9" s="856"/>
      <c r="E9" s="856"/>
      <c r="F9" s="856"/>
      <c r="G9" s="856"/>
      <c r="H9" s="856"/>
      <c r="I9" s="856"/>
      <c r="J9" s="857"/>
    </row>
    <row r="10" spans="1:15" ht="90" customHeight="1" x14ac:dyDescent="0.2">
      <c r="A10" s="24"/>
      <c r="B10" s="1320" t="s">
        <v>563</v>
      </c>
      <c r="C10" s="1321"/>
      <c r="D10" s="1321"/>
      <c r="E10" s="1321"/>
      <c r="F10" s="1321"/>
      <c r="G10" s="1321"/>
      <c r="H10" s="1321"/>
      <c r="I10" s="1321"/>
      <c r="J10" s="1322"/>
    </row>
    <row r="11" spans="1:15" ht="20.100000000000001" customHeight="1" x14ac:dyDescent="0.2">
      <c r="A11" s="24"/>
      <c r="B11" s="16"/>
      <c r="C11" s="16"/>
      <c r="D11" s="16"/>
      <c r="E11" s="16"/>
      <c r="F11" s="16"/>
      <c r="G11" s="16"/>
      <c r="H11" s="16"/>
      <c r="I11" s="16"/>
      <c r="J11" s="17"/>
    </row>
    <row r="12" spans="1:15" ht="30" customHeight="1" x14ac:dyDescent="0.2">
      <c r="A12" s="24"/>
      <c r="B12" s="855" t="s">
        <v>564</v>
      </c>
      <c r="C12" s="856"/>
      <c r="D12" s="856"/>
      <c r="E12" s="856"/>
      <c r="F12" s="856"/>
      <c r="G12" s="856"/>
      <c r="H12" s="856"/>
      <c r="I12" s="856"/>
      <c r="J12" s="857"/>
    </row>
    <row r="13" spans="1:15" s="322" customFormat="1" ht="20.100000000000001" customHeight="1" x14ac:dyDescent="0.2">
      <c r="B13" s="320" t="s">
        <v>934</v>
      </c>
      <c r="C13" s="320" t="s">
        <v>934</v>
      </c>
      <c r="D13" s="320" t="s">
        <v>934</v>
      </c>
      <c r="E13" s="320"/>
      <c r="F13" s="320"/>
      <c r="G13" s="320"/>
      <c r="H13" s="320"/>
      <c r="I13" s="320"/>
      <c r="J13" s="428"/>
      <c r="K13" s="429"/>
      <c r="L13" s="430"/>
      <c r="M13" s="319"/>
      <c r="O13" s="430"/>
    </row>
    <row r="14" spans="1:15" ht="24.95" customHeight="1" x14ac:dyDescent="0.2">
      <c r="A14" s="24"/>
      <c r="B14" s="25" t="s">
        <v>935</v>
      </c>
      <c r="C14" s="26"/>
      <c r="D14" s="26"/>
      <c r="E14" s="26"/>
      <c r="F14" s="27"/>
      <c r="G14" s="26"/>
      <c r="H14" s="26"/>
      <c r="I14" s="1315" t="s">
        <v>13</v>
      </c>
      <c r="J14" s="1316"/>
    </row>
    <row r="15" spans="1:15" ht="20.100000000000001" customHeight="1" x14ac:dyDescent="0.2">
      <c r="A15" s="24"/>
      <c r="B15" s="28"/>
      <c r="C15" s="28"/>
      <c r="D15" s="28"/>
      <c r="E15" s="28"/>
      <c r="F15" s="29"/>
      <c r="G15" s="28"/>
      <c r="H15" s="28"/>
      <c r="I15" s="28"/>
      <c r="J15" s="30"/>
    </row>
    <row r="16" spans="1:15" ht="30" customHeight="1" x14ac:dyDescent="0.2">
      <c r="A16" s="24"/>
      <c r="B16" s="855" t="s">
        <v>565</v>
      </c>
      <c r="C16" s="856"/>
      <c r="D16" s="856"/>
      <c r="E16" s="856"/>
      <c r="F16" s="856"/>
      <c r="G16" s="856"/>
      <c r="H16" s="856"/>
      <c r="I16" s="856"/>
      <c r="J16" s="857"/>
      <c r="K16" s="272"/>
    </row>
    <row r="17" spans="1:16" ht="20.100000000000001" customHeight="1" x14ac:dyDescent="0.2">
      <c r="A17" s="24"/>
      <c r="B17" s="31"/>
      <c r="C17" s="31"/>
      <c r="D17" s="31"/>
      <c r="E17" s="31"/>
      <c r="F17" s="31"/>
      <c r="G17" s="31"/>
      <c r="H17" s="31"/>
      <c r="I17" s="32"/>
      <c r="J17" s="33"/>
      <c r="K17" s="272"/>
    </row>
    <row r="18" spans="1:16" ht="30" customHeight="1" x14ac:dyDescent="0.2">
      <c r="A18" s="24"/>
      <c r="B18" s="904" t="s">
        <v>16</v>
      </c>
      <c r="C18" s="905"/>
      <c r="D18" s="905"/>
      <c r="E18" s="905"/>
      <c r="F18" s="905"/>
      <c r="G18" s="905"/>
      <c r="H18" s="906"/>
      <c r="I18" s="34" t="s">
        <v>17</v>
      </c>
      <c r="J18" s="35" t="s">
        <v>18</v>
      </c>
      <c r="K18" s="36" t="s">
        <v>19</v>
      </c>
      <c r="L18" s="37">
        <v>1</v>
      </c>
      <c r="M18" s="431" t="s">
        <v>757</v>
      </c>
      <c r="O18" s="37">
        <v>1</v>
      </c>
      <c r="P18" s="38" t="s">
        <v>20</v>
      </c>
    </row>
    <row r="19" spans="1:16" ht="36.950000000000003" customHeight="1" x14ac:dyDescent="0.2">
      <c r="A19" s="24"/>
      <c r="B19" s="1546" t="s">
        <v>566</v>
      </c>
      <c r="C19" s="1547"/>
      <c r="D19" s="1547"/>
      <c r="E19" s="1547"/>
      <c r="F19" s="1547"/>
      <c r="G19" s="1547"/>
      <c r="H19" s="1547"/>
      <c r="I19" s="1547"/>
      <c r="J19" s="1548"/>
      <c r="K19" s="272"/>
      <c r="M19" s="431" t="s">
        <v>757</v>
      </c>
      <c r="O19" s="37">
        <v>1</v>
      </c>
      <c r="P19" s="38" t="s">
        <v>20</v>
      </c>
    </row>
    <row r="20" spans="1:16" ht="36.950000000000003" customHeight="1" x14ac:dyDescent="0.2">
      <c r="A20" s="24"/>
      <c r="B20" s="1497" t="s">
        <v>758</v>
      </c>
      <c r="C20" s="1461" t="s">
        <v>759</v>
      </c>
      <c r="D20" s="1462"/>
      <c r="E20" s="1462" t="s">
        <v>760</v>
      </c>
      <c r="F20" s="1462"/>
      <c r="G20" s="1462" t="s">
        <v>761</v>
      </c>
      <c r="H20" s="1463"/>
      <c r="I20" s="1500">
        <v>90</v>
      </c>
      <c r="J20" s="1502">
        <v>0.7</v>
      </c>
      <c r="K20" s="272"/>
      <c r="M20" s="431"/>
      <c r="O20" s="37"/>
      <c r="P20" s="38"/>
    </row>
    <row r="21" spans="1:16" ht="36.950000000000003" customHeight="1" x14ac:dyDescent="0.2">
      <c r="A21" s="24"/>
      <c r="B21" s="1466"/>
      <c r="C21" s="1452" t="s">
        <v>762</v>
      </c>
      <c r="D21" s="1192"/>
      <c r="E21" s="1192" t="s">
        <v>606</v>
      </c>
      <c r="F21" s="1192"/>
      <c r="G21" s="1192" t="s">
        <v>763</v>
      </c>
      <c r="H21" s="1215"/>
      <c r="I21" s="1447"/>
      <c r="J21" s="1468"/>
      <c r="K21" s="272"/>
      <c r="M21" s="431"/>
      <c r="O21" s="37"/>
      <c r="P21" s="38"/>
    </row>
    <row r="22" spans="1:16" ht="36.950000000000003" customHeight="1" x14ac:dyDescent="0.2">
      <c r="A22" s="24"/>
      <c r="B22" s="1466"/>
      <c r="C22" s="1452" t="s">
        <v>764</v>
      </c>
      <c r="D22" s="1192"/>
      <c r="E22" s="346"/>
      <c r="F22" s="346"/>
      <c r="G22" s="346"/>
      <c r="H22" s="347"/>
      <c r="I22" s="1447"/>
      <c r="J22" s="1468"/>
      <c r="K22" s="272"/>
      <c r="M22" s="431"/>
      <c r="O22" s="37"/>
      <c r="P22" s="38"/>
    </row>
    <row r="23" spans="1:16" ht="36.950000000000003" customHeight="1" x14ac:dyDescent="0.2">
      <c r="A23" s="24"/>
      <c r="B23" s="1466"/>
      <c r="C23" s="1452" t="s">
        <v>765</v>
      </c>
      <c r="D23" s="1192"/>
      <c r="E23" s="1192"/>
      <c r="F23" s="1192"/>
      <c r="G23" s="1192"/>
      <c r="H23" s="1215"/>
      <c r="I23" s="1447"/>
      <c r="J23" s="1468"/>
      <c r="K23" s="272"/>
      <c r="M23" s="431"/>
      <c r="O23" s="37"/>
      <c r="P23" s="38"/>
    </row>
    <row r="24" spans="1:16" ht="36.950000000000003" customHeight="1" x14ac:dyDescent="0.2">
      <c r="A24" s="24"/>
      <c r="B24" s="1466"/>
      <c r="C24" s="1452" t="s">
        <v>98</v>
      </c>
      <c r="D24" s="1192"/>
      <c r="E24" s="1192"/>
      <c r="F24" s="1192"/>
      <c r="G24" s="1192"/>
      <c r="H24" s="1215"/>
      <c r="I24" s="1447"/>
      <c r="J24" s="1468"/>
      <c r="K24" s="272"/>
      <c r="M24" s="431"/>
      <c r="O24" s="37"/>
      <c r="P24" s="38"/>
    </row>
    <row r="25" spans="1:16" ht="36.950000000000003" customHeight="1" x14ac:dyDescent="0.2">
      <c r="A25" s="24"/>
      <c r="B25" s="1498"/>
      <c r="C25" s="1453" t="s">
        <v>766</v>
      </c>
      <c r="D25" s="1213"/>
      <c r="E25" s="1213"/>
      <c r="F25" s="1213"/>
      <c r="G25" s="1213"/>
      <c r="H25" s="1454"/>
      <c r="I25" s="1501"/>
      <c r="J25" s="1503"/>
      <c r="K25" s="272"/>
      <c r="M25" s="431"/>
      <c r="O25" s="37"/>
      <c r="P25" s="38"/>
    </row>
    <row r="26" spans="1:16" ht="36.950000000000003" customHeight="1" x14ac:dyDescent="0.2">
      <c r="A26" s="24"/>
      <c r="B26" s="327" t="s">
        <v>767</v>
      </c>
      <c r="C26" s="1432" t="s">
        <v>768</v>
      </c>
      <c r="D26" s="1433"/>
      <c r="E26" s="432"/>
      <c r="F26" s="432"/>
      <c r="G26" s="432"/>
      <c r="H26" s="433"/>
      <c r="I26" s="328">
        <v>120</v>
      </c>
      <c r="J26" s="353">
        <v>0.6</v>
      </c>
      <c r="K26" s="272"/>
      <c r="M26" s="431"/>
      <c r="O26" s="37"/>
      <c r="P26" s="38"/>
    </row>
    <row r="27" spans="1:16" s="24" customFormat="1" ht="39.950000000000003" customHeight="1" x14ac:dyDescent="0.2">
      <c r="B27" s="434" t="s">
        <v>769</v>
      </c>
      <c r="C27" s="1545" t="s">
        <v>770</v>
      </c>
      <c r="D27" s="1545"/>
      <c r="E27" s="1545"/>
      <c r="F27" s="1545"/>
      <c r="G27" s="1545"/>
      <c r="H27" s="1545"/>
      <c r="I27" s="435">
        <v>115</v>
      </c>
      <c r="J27" s="436">
        <v>0.65</v>
      </c>
      <c r="K27" s="43" t="s">
        <v>769</v>
      </c>
      <c r="L27" s="44" t="s">
        <v>25</v>
      </c>
      <c r="M27" s="18"/>
      <c r="N27" s="46" t="s">
        <v>30</v>
      </c>
      <c r="O27" s="37">
        <v>1</v>
      </c>
      <c r="P27" s="38" t="s">
        <v>20</v>
      </c>
    </row>
    <row r="28" spans="1:16" ht="20.100000000000001" customHeight="1" x14ac:dyDescent="0.2">
      <c r="A28" s="4"/>
      <c r="B28" s="125"/>
      <c r="C28" s="346"/>
      <c r="D28" s="346"/>
      <c r="E28" s="346"/>
      <c r="F28" s="346"/>
      <c r="G28" s="346"/>
      <c r="H28" s="346"/>
      <c r="I28" s="141"/>
      <c r="J28" s="142"/>
      <c r="K28" s="18"/>
      <c r="L28" s="58"/>
      <c r="M28" s="18"/>
      <c r="O28" s="4"/>
      <c r="P28" s="59"/>
    </row>
    <row r="29" spans="1:16" ht="30" customHeight="1" x14ac:dyDescent="0.2">
      <c r="A29" s="4"/>
      <c r="B29" s="904" t="s">
        <v>129</v>
      </c>
      <c r="C29" s="905"/>
      <c r="D29" s="905"/>
      <c r="E29" s="905"/>
      <c r="F29" s="905"/>
      <c r="G29" s="905"/>
      <c r="H29" s="906"/>
      <c r="I29" s="34" t="s">
        <v>130</v>
      </c>
      <c r="J29" s="35" t="s">
        <v>18</v>
      </c>
      <c r="K29" s="18"/>
      <c r="L29" s="58"/>
      <c r="M29" s="18"/>
      <c r="N29" s="46" t="s">
        <v>30</v>
      </c>
      <c r="O29" s="4"/>
      <c r="P29" s="59"/>
    </row>
    <row r="30" spans="1:16" ht="50.1" customHeight="1" x14ac:dyDescent="0.2">
      <c r="A30" s="4"/>
      <c r="B30" s="96" t="s">
        <v>771</v>
      </c>
      <c r="C30" s="901" t="s">
        <v>609</v>
      </c>
      <c r="D30" s="902"/>
      <c r="E30" s="902"/>
      <c r="F30" s="902"/>
      <c r="G30" s="902"/>
      <c r="H30" s="903"/>
      <c r="I30" s="335">
        <v>0</v>
      </c>
      <c r="J30" s="75">
        <v>0.6</v>
      </c>
      <c r="K30" s="18"/>
      <c r="L30" s="58"/>
      <c r="M30" s="18"/>
      <c r="O30" s="4"/>
      <c r="P30" s="59"/>
    </row>
    <row r="31" spans="1:16" ht="20.100000000000001" customHeight="1" x14ac:dyDescent="0.2">
      <c r="A31" s="4"/>
      <c r="B31" s="76"/>
      <c r="C31" s="85"/>
      <c r="D31" s="85"/>
      <c r="E31" s="85"/>
      <c r="F31" s="85"/>
      <c r="G31" s="85"/>
      <c r="H31" s="85"/>
      <c r="I31" s="336"/>
      <c r="J31" s="78"/>
      <c r="K31" s="18"/>
      <c r="L31" s="58"/>
      <c r="M31" s="18"/>
      <c r="O31" s="4"/>
      <c r="P31" s="59"/>
    </row>
    <row r="32" spans="1:16" ht="30" customHeight="1" x14ac:dyDescent="0.2">
      <c r="A32" s="4"/>
      <c r="B32" s="904" t="s">
        <v>142</v>
      </c>
      <c r="C32" s="905"/>
      <c r="D32" s="905"/>
      <c r="E32" s="905"/>
      <c r="F32" s="905"/>
      <c r="G32" s="905"/>
      <c r="H32" s="906"/>
      <c r="I32" s="88" t="s">
        <v>130</v>
      </c>
      <c r="J32" s="89" t="s">
        <v>18</v>
      </c>
      <c r="K32" s="18"/>
      <c r="L32" s="58"/>
      <c r="M32" s="18"/>
      <c r="N32" s="46" t="s">
        <v>30</v>
      </c>
      <c r="O32" s="4"/>
      <c r="P32" s="59"/>
    </row>
    <row r="33" spans="1:16" ht="50.1" customHeight="1" x14ac:dyDescent="0.2">
      <c r="A33" s="4"/>
      <c r="B33" s="96" t="s">
        <v>771</v>
      </c>
      <c r="C33" s="901" t="s">
        <v>614</v>
      </c>
      <c r="D33" s="902"/>
      <c r="E33" s="902"/>
      <c r="F33" s="902"/>
      <c r="G33" s="902"/>
      <c r="H33" s="903"/>
      <c r="I33" s="335">
        <v>0</v>
      </c>
      <c r="J33" s="75">
        <v>0.6</v>
      </c>
      <c r="K33" s="18"/>
      <c r="L33" s="58"/>
      <c r="M33" s="18"/>
      <c r="O33" s="4"/>
      <c r="P33" s="59"/>
    </row>
    <row r="34" spans="1:16" ht="20.100000000000001" customHeight="1" x14ac:dyDescent="0.2">
      <c r="A34" s="24"/>
      <c r="B34" s="76"/>
      <c r="C34" s="92"/>
      <c r="D34" s="92"/>
      <c r="E34" s="92"/>
      <c r="F34" s="92"/>
      <c r="G34" s="92"/>
      <c r="H34" s="92"/>
      <c r="I34" s="416"/>
      <c r="J34" s="78"/>
      <c r="K34" s="272"/>
      <c r="M34" s="431" t="s">
        <v>757</v>
      </c>
    </row>
    <row r="35" spans="1:16" ht="30" customHeight="1" x14ac:dyDescent="0.2">
      <c r="A35" s="24"/>
      <c r="B35" s="1539" t="s">
        <v>155</v>
      </c>
      <c r="C35" s="1540"/>
      <c r="D35" s="1540"/>
      <c r="E35" s="1540"/>
      <c r="F35" s="1540"/>
      <c r="G35" s="1540"/>
      <c r="H35" s="1541"/>
      <c r="I35" s="437" t="s">
        <v>17</v>
      </c>
      <c r="J35" s="438" t="s">
        <v>18</v>
      </c>
      <c r="K35" s="36" t="s">
        <v>156</v>
      </c>
      <c r="L35" s="37">
        <v>7</v>
      </c>
      <c r="M35" s="431" t="s">
        <v>757</v>
      </c>
      <c r="N35" s="46" t="s">
        <v>30</v>
      </c>
      <c r="O35" s="37">
        <v>7</v>
      </c>
      <c r="P35" s="38" t="s">
        <v>157</v>
      </c>
    </row>
    <row r="36" spans="1:16" ht="30" customHeight="1" x14ac:dyDescent="0.2">
      <c r="A36" s="24"/>
      <c r="B36" s="1542" t="s">
        <v>566</v>
      </c>
      <c r="C36" s="1543"/>
      <c r="D36" s="1543"/>
      <c r="E36" s="1543"/>
      <c r="F36" s="1543"/>
      <c r="G36" s="1543"/>
      <c r="H36" s="1543"/>
      <c r="I36" s="1543"/>
      <c r="J36" s="1544"/>
      <c r="K36" s="272"/>
      <c r="M36" s="431" t="s">
        <v>757</v>
      </c>
      <c r="O36" s="37">
        <v>7</v>
      </c>
      <c r="P36" s="38" t="s">
        <v>157</v>
      </c>
    </row>
    <row r="37" spans="1:16" ht="54.95" customHeight="1" x14ac:dyDescent="0.2">
      <c r="A37" s="49"/>
      <c r="B37" s="439" t="s">
        <v>772</v>
      </c>
      <c r="C37" s="1534" t="s">
        <v>773</v>
      </c>
      <c r="D37" s="1535"/>
      <c r="E37" s="1535"/>
      <c r="F37" s="1535"/>
      <c r="G37" s="1535"/>
      <c r="H37" s="1536"/>
      <c r="I37" s="341">
        <v>50</v>
      </c>
      <c r="J37" s="271">
        <v>0.8</v>
      </c>
      <c r="K37" s="101" t="s">
        <v>774</v>
      </c>
      <c r="L37" s="342" t="s">
        <v>618</v>
      </c>
      <c r="M37" s="18"/>
      <c r="O37" s="37">
        <v>7</v>
      </c>
      <c r="P37" s="38" t="s">
        <v>157</v>
      </c>
    </row>
    <row r="38" spans="1:16" ht="20.100000000000001" customHeight="1" x14ac:dyDescent="0.2">
      <c r="A38" s="24"/>
      <c r="B38" s="31"/>
      <c r="C38" s="31"/>
      <c r="D38" s="31"/>
      <c r="E38" s="31"/>
      <c r="F38" s="31"/>
      <c r="G38" s="31"/>
      <c r="H38" s="31"/>
      <c r="I38" s="32"/>
      <c r="J38" s="33"/>
      <c r="K38" s="272"/>
      <c r="M38" s="431" t="s">
        <v>757</v>
      </c>
    </row>
    <row r="39" spans="1:16" ht="30" customHeight="1" x14ac:dyDescent="0.2">
      <c r="B39" s="904" t="s">
        <v>185</v>
      </c>
      <c r="C39" s="905"/>
      <c r="D39" s="905"/>
      <c r="E39" s="905"/>
      <c r="F39" s="905"/>
      <c r="G39" s="905"/>
      <c r="H39" s="906"/>
      <c r="I39" s="34" t="s">
        <v>17</v>
      </c>
      <c r="J39" s="35" t="s">
        <v>18</v>
      </c>
      <c r="K39" s="36" t="s">
        <v>186</v>
      </c>
      <c r="L39" s="37">
        <v>8</v>
      </c>
      <c r="M39" s="431" t="s">
        <v>757</v>
      </c>
      <c r="N39" s="46" t="s">
        <v>30</v>
      </c>
      <c r="O39" s="37">
        <v>8</v>
      </c>
      <c r="P39" s="38" t="s">
        <v>187</v>
      </c>
    </row>
    <row r="40" spans="1:16" ht="30" customHeight="1" x14ac:dyDescent="0.2">
      <c r="B40" s="946" t="s">
        <v>566</v>
      </c>
      <c r="C40" s="947"/>
      <c r="D40" s="947"/>
      <c r="E40" s="947"/>
      <c r="F40" s="947"/>
      <c r="G40" s="947"/>
      <c r="H40" s="947"/>
      <c r="I40" s="947"/>
      <c r="J40" s="948"/>
      <c r="M40" s="431" t="s">
        <v>757</v>
      </c>
      <c r="O40" s="37">
        <v>8</v>
      </c>
      <c r="P40" s="38" t="s">
        <v>187</v>
      </c>
    </row>
    <row r="41" spans="1:16" ht="30" customHeight="1" x14ac:dyDescent="0.2">
      <c r="B41" s="1236" t="s">
        <v>775</v>
      </c>
      <c r="C41" s="1461" t="s">
        <v>776</v>
      </c>
      <c r="D41" s="1462"/>
      <c r="E41" s="440"/>
      <c r="F41" s="440"/>
      <c r="G41" s="440"/>
      <c r="H41" s="441"/>
      <c r="I41" s="1537">
        <v>90</v>
      </c>
      <c r="J41" s="1538">
        <v>0.7</v>
      </c>
      <c r="M41" s="431"/>
      <c r="O41" s="37"/>
      <c r="P41" s="38"/>
    </row>
    <row r="42" spans="1:16" ht="30" customHeight="1" x14ac:dyDescent="0.2">
      <c r="B42" s="1238"/>
      <c r="C42" s="1453" t="s">
        <v>765</v>
      </c>
      <c r="D42" s="1213"/>
      <c r="E42" s="1213"/>
      <c r="F42" s="1213"/>
      <c r="G42" s="1213"/>
      <c r="H42" s="1454"/>
      <c r="I42" s="1537"/>
      <c r="J42" s="1538"/>
      <c r="M42" s="431"/>
      <c r="O42" s="37"/>
      <c r="P42" s="38"/>
    </row>
    <row r="43" spans="1:16" ht="44.25" customHeight="1" x14ac:dyDescent="0.2">
      <c r="B43" s="327" t="s">
        <v>777</v>
      </c>
      <c r="C43" s="1432" t="s">
        <v>768</v>
      </c>
      <c r="D43" s="1433"/>
      <c r="E43" s="166"/>
      <c r="F43" s="166"/>
      <c r="G43" s="166"/>
      <c r="H43" s="442"/>
      <c r="I43" s="328">
        <v>120</v>
      </c>
      <c r="J43" s="353">
        <v>0.6</v>
      </c>
      <c r="M43" s="431"/>
      <c r="O43" s="37"/>
      <c r="P43" s="38"/>
    </row>
    <row r="44" spans="1:16" s="24" customFormat="1" ht="51.75" customHeight="1" x14ac:dyDescent="0.2">
      <c r="B44" s="327" t="s">
        <v>778</v>
      </c>
      <c r="C44" s="1063" t="s">
        <v>770</v>
      </c>
      <c r="D44" s="1063"/>
      <c r="E44" s="1063"/>
      <c r="F44" s="1063"/>
      <c r="G44" s="1063"/>
      <c r="H44" s="1063"/>
      <c r="I44" s="328">
        <v>115</v>
      </c>
      <c r="J44" s="353">
        <v>0.65</v>
      </c>
      <c r="K44" s="118" t="s">
        <v>769</v>
      </c>
      <c r="L44" s="117" t="s">
        <v>190</v>
      </c>
      <c r="M44" s="18"/>
      <c r="N44" s="46" t="s">
        <v>30</v>
      </c>
      <c r="O44" s="37">
        <v>8</v>
      </c>
      <c r="P44" s="38" t="s">
        <v>187</v>
      </c>
    </row>
    <row r="45" spans="1:16" ht="20.100000000000001" customHeight="1" x14ac:dyDescent="0.2">
      <c r="A45" s="24"/>
      <c r="B45" s="31"/>
      <c r="C45" s="31"/>
      <c r="D45" s="31"/>
      <c r="E45" s="31"/>
      <c r="F45" s="31"/>
      <c r="G45" s="31"/>
      <c r="H45" s="31"/>
      <c r="I45" s="32"/>
      <c r="J45" s="33"/>
      <c r="K45" s="272"/>
      <c r="M45" s="431" t="s">
        <v>757</v>
      </c>
    </row>
    <row r="46" spans="1:16" ht="30" customHeight="1" x14ac:dyDescent="0.2">
      <c r="A46" s="24"/>
      <c r="B46" s="904" t="s">
        <v>240</v>
      </c>
      <c r="C46" s="905"/>
      <c r="D46" s="905"/>
      <c r="E46" s="905"/>
      <c r="F46" s="905"/>
      <c r="G46" s="905"/>
      <c r="H46" s="906"/>
      <c r="I46" s="34" t="s">
        <v>17</v>
      </c>
      <c r="J46" s="35" t="s">
        <v>18</v>
      </c>
      <c r="K46" s="36" t="s">
        <v>242</v>
      </c>
      <c r="L46" s="37">
        <v>10</v>
      </c>
      <c r="M46" s="431" t="s">
        <v>757</v>
      </c>
      <c r="N46" s="46" t="s">
        <v>30</v>
      </c>
      <c r="O46" s="37">
        <v>10</v>
      </c>
      <c r="P46" s="38" t="s">
        <v>243</v>
      </c>
    </row>
    <row r="47" spans="1:16" ht="30" customHeight="1" x14ac:dyDescent="0.2">
      <c r="A47" s="24"/>
      <c r="B47" s="946" t="s">
        <v>630</v>
      </c>
      <c r="C47" s="947"/>
      <c r="D47" s="947"/>
      <c r="E47" s="947"/>
      <c r="F47" s="947"/>
      <c r="G47" s="947"/>
      <c r="H47" s="947"/>
      <c r="I47" s="947"/>
      <c r="J47" s="948"/>
      <c r="M47" s="431" t="s">
        <v>757</v>
      </c>
      <c r="O47" s="37">
        <v>10</v>
      </c>
      <c r="P47" s="38" t="s">
        <v>243</v>
      </c>
    </row>
    <row r="48" spans="1:16" ht="30" customHeight="1" x14ac:dyDescent="0.2">
      <c r="A48" s="24"/>
      <c r="B48" s="1465" t="s">
        <v>758</v>
      </c>
      <c r="C48" s="1461" t="s">
        <v>759</v>
      </c>
      <c r="D48" s="1462"/>
      <c r="E48" s="1462" t="s">
        <v>779</v>
      </c>
      <c r="F48" s="1462"/>
      <c r="G48" s="1462" t="s">
        <v>762</v>
      </c>
      <c r="H48" s="1463"/>
      <c r="I48" s="1446" t="s">
        <v>924</v>
      </c>
      <c r="J48" s="1467">
        <v>0.7</v>
      </c>
      <c r="M48" s="431"/>
      <c r="O48" s="37"/>
      <c r="P48" s="38"/>
    </row>
    <row r="49" spans="1:32" ht="30" customHeight="1" x14ac:dyDescent="0.2">
      <c r="A49" s="24"/>
      <c r="B49" s="1466"/>
      <c r="C49" s="1452" t="s">
        <v>215</v>
      </c>
      <c r="D49" s="1192"/>
      <c r="E49" s="1192"/>
      <c r="F49" s="1192"/>
      <c r="G49" s="47"/>
      <c r="H49" s="48"/>
      <c r="I49" s="1447"/>
      <c r="J49" s="1468"/>
      <c r="M49" s="431"/>
      <c r="O49" s="37"/>
      <c r="P49" s="38"/>
    </row>
    <row r="50" spans="1:32" ht="30" customHeight="1" x14ac:dyDescent="0.2">
      <c r="A50" s="24"/>
      <c r="B50" s="1466"/>
      <c r="C50" s="1452" t="s">
        <v>765</v>
      </c>
      <c r="D50" s="1192"/>
      <c r="E50" s="1192"/>
      <c r="F50" s="1192"/>
      <c r="G50" s="1192"/>
      <c r="H50" s="1215"/>
      <c r="I50" s="1447"/>
      <c r="J50" s="1468"/>
      <c r="M50" s="431"/>
      <c r="O50" s="37"/>
      <c r="P50" s="38"/>
    </row>
    <row r="51" spans="1:32" ht="24" customHeight="1" x14ac:dyDescent="0.2">
      <c r="A51" s="24"/>
      <c r="B51" s="1466"/>
      <c r="C51" s="1452" t="s">
        <v>98</v>
      </c>
      <c r="D51" s="1192"/>
      <c r="E51" s="1192"/>
      <c r="F51" s="1192"/>
      <c r="G51" s="1192"/>
      <c r="H51" s="1215"/>
      <c r="I51" s="1447"/>
      <c r="J51" s="1468"/>
      <c r="M51" s="431"/>
      <c r="O51" s="37"/>
      <c r="P51" s="38"/>
    </row>
    <row r="52" spans="1:32" ht="30" customHeight="1" x14ac:dyDescent="0.2">
      <c r="A52" s="24"/>
      <c r="B52" s="1532"/>
      <c r="C52" s="1453" t="s">
        <v>766</v>
      </c>
      <c r="D52" s="1213"/>
      <c r="E52" s="1213"/>
      <c r="F52" s="1213"/>
      <c r="G52" s="1213"/>
      <c r="H52" s="1454"/>
      <c r="I52" s="1448"/>
      <c r="J52" s="1533"/>
      <c r="M52" s="431"/>
      <c r="O52" s="37"/>
      <c r="P52" s="38"/>
    </row>
    <row r="53" spans="1:32" ht="42" customHeight="1" x14ac:dyDescent="0.2">
      <c r="A53" s="24"/>
      <c r="B53" s="327" t="s">
        <v>767</v>
      </c>
      <c r="C53" s="1432" t="s">
        <v>768</v>
      </c>
      <c r="D53" s="1433"/>
      <c r="E53" s="432"/>
      <c r="F53" s="432"/>
      <c r="G53" s="432"/>
      <c r="H53" s="433"/>
      <c r="I53" s="328" t="s">
        <v>410</v>
      </c>
      <c r="J53" s="353">
        <v>0.6</v>
      </c>
      <c r="M53" s="431"/>
      <c r="O53" s="37"/>
      <c r="P53" s="38"/>
    </row>
    <row r="54" spans="1:32" s="24" customFormat="1" ht="39.950000000000003" customHeight="1" x14ac:dyDescent="0.2">
      <c r="B54" s="327" t="s">
        <v>769</v>
      </c>
      <c r="C54" s="1063" t="s">
        <v>770</v>
      </c>
      <c r="D54" s="1063"/>
      <c r="E54" s="1063"/>
      <c r="F54" s="1063"/>
      <c r="G54" s="1063"/>
      <c r="H54" s="1063"/>
      <c r="I54" s="328" t="s">
        <v>924</v>
      </c>
      <c r="J54" s="353">
        <v>0.6</v>
      </c>
      <c r="K54" s="43" t="s">
        <v>769</v>
      </c>
      <c r="L54" s="44" t="s">
        <v>246</v>
      </c>
      <c r="M54" s="18"/>
      <c r="N54" s="46" t="s">
        <v>30</v>
      </c>
      <c r="O54" s="37">
        <v>10</v>
      </c>
      <c r="P54" s="38" t="s">
        <v>243</v>
      </c>
    </row>
    <row r="55" spans="1:32" ht="20.100000000000001" customHeight="1" x14ac:dyDescent="0.2">
      <c r="A55" s="24"/>
      <c r="B55" s="31"/>
      <c r="C55" s="31"/>
      <c r="D55" s="31"/>
      <c r="E55" s="31"/>
      <c r="F55" s="31"/>
      <c r="G55" s="31"/>
      <c r="H55" s="31"/>
      <c r="I55" s="32"/>
      <c r="J55" s="33"/>
      <c r="K55" s="272"/>
      <c r="M55" s="431" t="s">
        <v>757</v>
      </c>
      <c r="Q55" s="24"/>
      <c r="R55" s="24"/>
      <c r="S55" s="24"/>
      <c r="T55" s="24"/>
      <c r="U55" s="24"/>
      <c r="V55" s="24"/>
      <c r="W55" s="24"/>
      <c r="X55" s="24"/>
      <c r="Y55" s="24"/>
      <c r="Z55" s="24"/>
      <c r="AA55" s="24"/>
      <c r="AB55" s="24"/>
      <c r="AC55" s="24"/>
      <c r="AD55" s="24"/>
      <c r="AE55" s="24"/>
      <c r="AF55" s="24"/>
    </row>
    <row r="56" spans="1:32" s="24" customFormat="1" ht="30" customHeight="1" x14ac:dyDescent="0.2">
      <c r="B56" s="904" t="s">
        <v>257</v>
      </c>
      <c r="C56" s="905"/>
      <c r="D56" s="905"/>
      <c r="E56" s="905"/>
      <c r="F56" s="905"/>
      <c r="G56" s="905"/>
      <c r="H56" s="905"/>
      <c r="I56" s="34" t="s">
        <v>17</v>
      </c>
      <c r="J56" s="35" t="s">
        <v>18</v>
      </c>
      <c r="K56" s="213" t="s">
        <v>258</v>
      </c>
      <c r="L56" s="356">
        <v>11</v>
      </c>
      <c r="M56" s="443" t="s">
        <v>757</v>
      </c>
      <c r="O56" s="356">
        <v>11</v>
      </c>
      <c r="P56" s="358" t="s">
        <v>259</v>
      </c>
    </row>
    <row r="57" spans="1:32" s="24" customFormat="1" ht="30" customHeight="1" x14ac:dyDescent="0.2">
      <c r="B57" s="979" t="s">
        <v>641</v>
      </c>
      <c r="C57" s="980"/>
      <c r="D57" s="980"/>
      <c r="E57" s="980"/>
      <c r="F57" s="980"/>
      <c r="G57" s="980"/>
      <c r="H57" s="980"/>
      <c r="I57" s="980"/>
      <c r="J57" s="981"/>
      <c r="K57" s="47"/>
      <c r="L57" s="2"/>
      <c r="M57" s="431" t="s">
        <v>757</v>
      </c>
      <c r="O57" s="37">
        <v>11</v>
      </c>
      <c r="P57" s="38" t="s">
        <v>259</v>
      </c>
    </row>
    <row r="58" spans="1:32" s="24" customFormat="1" ht="30" customHeight="1" x14ac:dyDescent="0.2">
      <c r="B58" s="1465" t="s">
        <v>758</v>
      </c>
      <c r="C58" s="1014" t="s">
        <v>759</v>
      </c>
      <c r="D58" s="1015"/>
      <c r="E58" s="1462" t="s">
        <v>779</v>
      </c>
      <c r="F58" s="1462"/>
      <c r="G58" s="1462" t="s">
        <v>762</v>
      </c>
      <c r="H58" s="1463"/>
      <c r="I58" s="1446" t="s">
        <v>924</v>
      </c>
      <c r="J58" s="1467">
        <v>0.8</v>
      </c>
      <c r="K58" s="47"/>
      <c r="L58" s="2"/>
      <c r="M58" s="431"/>
      <c r="O58" s="37"/>
      <c r="P58" s="38"/>
    </row>
    <row r="59" spans="1:32" s="24" customFormat="1" ht="30" customHeight="1" x14ac:dyDescent="0.2">
      <c r="B59" s="1466"/>
      <c r="C59" s="1452" t="s">
        <v>215</v>
      </c>
      <c r="D59" s="1192"/>
      <c r="E59" s="346"/>
      <c r="F59" s="346"/>
      <c r="G59" s="346"/>
      <c r="H59" s="347"/>
      <c r="I59" s="1447"/>
      <c r="J59" s="1468"/>
      <c r="K59" s="47"/>
      <c r="L59" s="2"/>
      <c r="M59" s="431"/>
      <c r="O59" s="37"/>
      <c r="P59" s="38"/>
    </row>
    <row r="60" spans="1:32" s="24" customFormat="1" ht="30" customHeight="1" x14ac:dyDescent="0.2">
      <c r="B60" s="1532"/>
      <c r="C60" s="1453" t="s">
        <v>765</v>
      </c>
      <c r="D60" s="1213"/>
      <c r="E60" s="1213"/>
      <c r="F60" s="1213"/>
      <c r="G60" s="1213"/>
      <c r="H60" s="1454"/>
      <c r="I60" s="1448"/>
      <c r="J60" s="1533"/>
      <c r="K60" s="47"/>
      <c r="L60" s="2"/>
      <c r="M60" s="431"/>
      <c r="O60" s="37"/>
      <c r="P60" s="38"/>
    </row>
    <row r="61" spans="1:32" s="24" customFormat="1" ht="30" customHeight="1" x14ac:dyDescent="0.2">
      <c r="B61" s="327" t="s">
        <v>767</v>
      </c>
      <c r="C61" s="1432" t="s">
        <v>768</v>
      </c>
      <c r="D61" s="1433"/>
      <c r="E61" s="432"/>
      <c r="F61" s="432"/>
      <c r="G61" s="432"/>
      <c r="H61" s="433"/>
      <c r="I61" s="328">
        <v>0</v>
      </c>
      <c r="J61" s="353">
        <v>0.6</v>
      </c>
      <c r="K61" s="47"/>
      <c r="L61" s="2"/>
      <c r="M61" s="431"/>
      <c r="O61" s="37"/>
      <c r="P61" s="38"/>
    </row>
    <row r="62" spans="1:32" s="24" customFormat="1" ht="39.950000000000003" customHeight="1" x14ac:dyDescent="0.2">
      <c r="B62" s="386" t="s">
        <v>769</v>
      </c>
      <c r="C62" s="1063" t="s">
        <v>770</v>
      </c>
      <c r="D62" s="1063"/>
      <c r="E62" s="1063"/>
      <c r="F62" s="1063"/>
      <c r="G62" s="1063"/>
      <c r="H62" s="1063"/>
      <c r="I62" s="387" t="s">
        <v>924</v>
      </c>
      <c r="J62" s="444">
        <v>0.7</v>
      </c>
      <c r="K62" s="43" t="s">
        <v>769</v>
      </c>
      <c r="L62" s="44" t="s">
        <v>262</v>
      </c>
      <c r="M62" s="18"/>
      <c r="N62" s="46" t="s">
        <v>30</v>
      </c>
      <c r="O62" s="37">
        <v>11</v>
      </c>
      <c r="P62" s="38" t="s">
        <v>259</v>
      </c>
    </row>
    <row r="63" spans="1:32" ht="30" customHeight="1" x14ac:dyDescent="0.2">
      <c r="B63" s="941" t="s">
        <v>264</v>
      </c>
      <c r="C63" s="942"/>
      <c r="D63" s="942"/>
      <c r="E63" s="942"/>
      <c r="F63" s="942"/>
      <c r="G63" s="942"/>
      <c r="H63" s="942"/>
      <c r="I63" s="942"/>
      <c r="J63" s="943"/>
      <c r="M63" s="431" t="s">
        <v>757</v>
      </c>
      <c r="N63" s="46" t="s">
        <v>30</v>
      </c>
      <c r="O63" s="37">
        <v>11</v>
      </c>
      <c r="P63" s="157" t="s">
        <v>265</v>
      </c>
      <c r="Q63" s="24"/>
      <c r="R63" s="24"/>
      <c r="S63" s="24"/>
      <c r="T63" s="24"/>
      <c r="U63" s="24"/>
      <c r="V63" s="24"/>
      <c r="W63" s="24"/>
      <c r="X63" s="24"/>
      <c r="Y63" s="24"/>
      <c r="Z63" s="24"/>
      <c r="AA63" s="24"/>
      <c r="AB63" s="24"/>
      <c r="AC63" s="24"/>
      <c r="AD63" s="24"/>
      <c r="AE63" s="24"/>
      <c r="AF63" s="24"/>
    </row>
    <row r="64" spans="1:32" ht="30" customHeight="1" x14ac:dyDescent="0.2">
      <c r="B64" s="1236" t="s">
        <v>758</v>
      </c>
      <c r="C64" s="1461" t="s">
        <v>759</v>
      </c>
      <c r="D64" s="1462"/>
      <c r="E64" s="1462" t="s">
        <v>776</v>
      </c>
      <c r="F64" s="1462"/>
      <c r="G64" s="1462" t="s">
        <v>762</v>
      </c>
      <c r="H64" s="1463"/>
      <c r="I64" s="1446" t="s">
        <v>924</v>
      </c>
      <c r="J64" s="1449">
        <v>0.7</v>
      </c>
      <c r="M64" s="431"/>
      <c r="N64" s="46"/>
      <c r="O64" s="37"/>
      <c r="P64" s="157"/>
      <c r="Q64" s="24"/>
      <c r="R64" s="24"/>
      <c r="S64" s="24"/>
      <c r="T64" s="24"/>
      <c r="U64" s="24"/>
      <c r="V64" s="24"/>
      <c r="W64" s="24"/>
      <c r="X64" s="24"/>
      <c r="Y64" s="24"/>
      <c r="Z64" s="24"/>
      <c r="AA64" s="24"/>
      <c r="AB64" s="24"/>
      <c r="AC64" s="24"/>
      <c r="AD64" s="24"/>
      <c r="AE64" s="24"/>
      <c r="AF64" s="24"/>
    </row>
    <row r="65" spans="1:32" ht="30" customHeight="1" x14ac:dyDescent="0.2">
      <c r="B65" s="1237"/>
      <c r="C65" s="1452" t="s">
        <v>215</v>
      </c>
      <c r="D65" s="1192"/>
      <c r="E65" s="47"/>
      <c r="F65" s="47"/>
      <c r="G65" s="346"/>
      <c r="H65" s="347"/>
      <c r="I65" s="1447"/>
      <c r="J65" s="1450"/>
      <c r="M65" s="431"/>
      <c r="N65" s="46"/>
      <c r="O65" s="37"/>
      <c r="P65" s="157"/>
      <c r="Q65" s="24"/>
      <c r="R65" s="24"/>
      <c r="S65" s="24"/>
      <c r="T65" s="24"/>
      <c r="U65" s="24"/>
      <c r="V65" s="24"/>
      <c r="W65" s="24"/>
      <c r="X65" s="24"/>
      <c r="Y65" s="24"/>
      <c r="Z65" s="24"/>
      <c r="AA65" s="24"/>
      <c r="AB65" s="24"/>
      <c r="AC65" s="24"/>
      <c r="AD65" s="24"/>
      <c r="AE65" s="24"/>
      <c r="AF65" s="24"/>
    </row>
    <row r="66" spans="1:32" ht="30" customHeight="1" x14ac:dyDescent="0.2">
      <c r="B66" s="1238"/>
      <c r="C66" s="1453" t="s">
        <v>765</v>
      </c>
      <c r="D66" s="1213"/>
      <c r="E66" s="1213"/>
      <c r="F66" s="1213"/>
      <c r="G66" s="1213"/>
      <c r="H66" s="1454"/>
      <c r="I66" s="1448"/>
      <c r="J66" s="1451"/>
      <c r="M66" s="431"/>
      <c r="N66" s="46"/>
      <c r="O66" s="37"/>
      <c r="P66" s="157"/>
      <c r="Q66" s="24"/>
      <c r="R66" s="24"/>
      <c r="S66" s="24"/>
      <c r="T66" s="24"/>
      <c r="U66" s="24"/>
      <c r="V66" s="24"/>
      <c r="W66" s="24"/>
      <c r="X66" s="24"/>
      <c r="Y66" s="24"/>
      <c r="Z66" s="24"/>
      <c r="AA66" s="24"/>
      <c r="AB66" s="24"/>
      <c r="AC66" s="24"/>
      <c r="AD66" s="24"/>
      <c r="AE66" s="24"/>
      <c r="AF66" s="24"/>
    </row>
    <row r="67" spans="1:32" ht="35.25" customHeight="1" x14ac:dyDescent="0.2">
      <c r="B67" s="327" t="s">
        <v>767</v>
      </c>
      <c r="C67" s="1432" t="s">
        <v>768</v>
      </c>
      <c r="D67" s="1433"/>
      <c r="E67" s="432"/>
      <c r="F67" s="432"/>
      <c r="G67" s="432"/>
      <c r="H67" s="433"/>
      <c r="I67" s="328" t="s">
        <v>410</v>
      </c>
      <c r="J67" s="353">
        <v>0.6</v>
      </c>
      <c r="M67" s="431"/>
      <c r="N67" s="46"/>
      <c r="O67" s="37"/>
      <c r="P67" s="157"/>
      <c r="Q67" s="24"/>
      <c r="R67" s="24"/>
      <c r="S67" s="24"/>
      <c r="T67" s="24"/>
      <c r="U67" s="24"/>
      <c r="V67" s="24"/>
      <c r="W67" s="24"/>
      <c r="X67" s="24"/>
      <c r="Y67" s="24"/>
      <c r="Z67" s="24"/>
      <c r="AA67" s="24"/>
      <c r="AB67" s="24"/>
      <c r="AC67" s="24"/>
      <c r="AD67" s="24"/>
      <c r="AE67" s="24"/>
      <c r="AF67" s="24"/>
    </row>
    <row r="68" spans="1:32" ht="39.950000000000003" customHeight="1" x14ac:dyDescent="0.2">
      <c r="B68" s="327" t="s">
        <v>769</v>
      </c>
      <c r="C68" s="1063" t="s">
        <v>770</v>
      </c>
      <c r="D68" s="1063"/>
      <c r="E68" s="1063"/>
      <c r="F68" s="1063"/>
      <c r="G68" s="1063"/>
      <c r="H68" s="1063"/>
      <c r="I68" s="328" t="s">
        <v>924</v>
      </c>
      <c r="J68" s="353">
        <v>0.65</v>
      </c>
      <c r="K68" s="43" t="s">
        <v>769</v>
      </c>
      <c r="L68" s="44" t="s">
        <v>266</v>
      </c>
      <c r="M68" s="18"/>
      <c r="N68" s="46" t="s">
        <v>30</v>
      </c>
      <c r="O68" s="37">
        <v>11</v>
      </c>
      <c r="P68" s="157" t="s">
        <v>265</v>
      </c>
      <c r="Q68" s="24"/>
      <c r="R68" s="24"/>
      <c r="S68" s="24"/>
      <c r="T68" s="24"/>
      <c r="U68" s="24"/>
      <c r="V68" s="24"/>
      <c r="W68" s="24"/>
      <c r="X68" s="24"/>
      <c r="Y68" s="24"/>
      <c r="Z68" s="24"/>
      <c r="AA68" s="24"/>
      <c r="AB68" s="24"/>
      <c r="AC68" s="24"/>
      <c r="AD68" s="24"/>
      <c r="AE68" s="24"/>
      <c r="AF68" s="24"/>
    </row>
    <row r="69" spans="1:32" ht="20.100000000000001" customHeight="1" x14ac:dyDescent="0.2">
      <c r="A69" s="49"/>
      <c r="B69" s="125"/>
      <c r="C69" s="346"/>
      <c r="D69" s="346"/>
      <c r="E69" s="346"/>
      <c r="F69" s="346"/>
      <c r="G69" s="346"/>
      <c r="H69" s="346"/>
      <c r="I69" s="141"/>
      <c r="J69" s="142"/>
      <c r="K69" s="18"/>
      <c r="L69" s="58"/>
      <c r="M69" s="18"/>
      <c r="N69" s="4"/>
      <c r="O69" s="4"/>
      <c r="P69" s="59"/>
      <c r="Q69" s="24"/>
      <c r="R69" s="24"/>
      <c r="S69" s="24"/>
      <c r="T69" s="24"/>
      <c r="U69" s="24"/>
      <c r="V69" s="24"/>
      <c r="W69" s="24"/>
      <c r="X69" s="24"/>
      <c r="Y69" s="24"/>
      <c r="Z69" s="24"/>
      <c r="AA69" s="24"/>
      <c r="AB69" s="24"/>
      <c r="AC69" s="24"/>
      <c r="AD69" s="24"/>
      <c r="AE69" s="24"/>
      <c r="AF69" s="24"/>
    </row>
    <row r="70" spans="1:32" s="24" customFormat="1" ht="30" customHeight="1" x14ac:dyDescent="0.2">
      <c r="B70" s="904" t="s">
        <v>268</v>
      </c>
      <c r="C70" s="905"/>
      <c r="D70" s="905"/>
      <c r="E70" s="905"/>
      <c r="F70" s="905"/>
      <c r="G70" s="905"/>
      <c r="H70" s="906"/>
      <c r="I70" s="34" t="s">
        <v>17</v>
      </c>
      <c r="J70" s="35" t="s">
        <v>18</v>
      </c>
      <c r="K70" s="18"/>
      <c r="L70" s="4"/>
      <c r="M70" s="22"/>
      <c r="N70" s="46" t="s">
        <v>30</v>
      </c>
      <c r="O70" s="4"/>
      <c r="P70" s="59"/>
    </row>
    <row r="71" spans="1:32" s="24" customFormat="1" ht="30" customHeight="1" x14ac:dyDescent="0.2">
      <c r="A71" s="18"/>
      <c r="B71" s="949" t="s">
        <v>269</v>
      </c>
      <c r="C71" s="950"/>
      <c r="D71" s="950"/>
      <c r="E71" s="950"/>
      <c r="F71" s="950"/>
      <c r="G71" s="950"/>
      <c r="H71" s="950"/>
      <c r="I71" s="950"/>
      <c r="J71" s="951"/>
      <c r="K71" s="18"/>
      <c r="L71" s="4"/>
      <c r="M71" s="3"/>
      <c r="N71" s="4"/>
      <c r="O71" s="4"/>
      <c r="P71" s="59"/>
    </row>
    <row r="72" spans="1:32" s="24" customFormat="1" ht="48.75" customHeight="1" x14ac:dyDescent="0.2">
      <c r="A72" s="18"/>
      <c r="B72" s="1169" t="s">
        <v>270</v>
      </c>
      <c r="C72" s="1170"/>
      <c r="D72" s="1170"/>
      <c r="E72" s="1170"/>
      <c r="F72" s="1170"/>
      <c r="G72" s="1170"/>
      <c r="H72" s="1170"/>
      <c r="I72" s="1170"/>
      <c r="J72" s="1171"/>
      <c r="K72" s="18"/>
      <c r="L72" s="58"/>
      <c r="M72" s="79"/>
      <c r="N72" s="4"/>
      <c r="O72" s="4"/>
      <c r="P72" s="59"/>
    </row>
    <row r="73" spans="1:32" s="24" customFormat="1" ht="48.75" customHeight="1" x14ac:dyDescent="0.2">
      <c r="A73" s="18"/>
      <c r="B73" s="1309" t="s">
        <v>758</v>
      </c>
      <c r="C73" s="1461" t="s">
        <v>759</v>
      </c>
      <c r="D73" s="1462"/>
      <c r="E73" s="1462" t="s">
        <v>779</v>
      </c>
      <c r="F73" s="1462"/>
      <c r="G73" s="1462" t="s">
        <v>762</v>
      </c>
      <c r="H73" s="1463"/>
      <c r="I73" s="1528">
        <v>75</v>
      </c>
      <c r="J73" s="1530">
        <v>0.7</v>
      </c>
      <c r="K73" s="18"/>
      <c r="L73" s="58"/>
      <c r="M73" s="79"/>
      <c r="N73" s="4"/>
      <c r="O73" s="4"/>
      <c r="P73" s="59"/>
    </row>
    <row r="74" spans="1:32" s="24" customFormat="1" ht="48.75" customHeight="1" x14ac:dyDescent="0.2">
      <c r="A74" s="18"/>
      <c r="B74" s="1311"/>
      <c r="C74" s="1453" t="s">
        <v>606</v>
      </c>
      <c r="D74" s="1213"/>
      <c r="E74" s="1213" t="s">
        <v>780</v>
      </c>
      <c r="F74" s="1213"/>
      <c r="G74" s="1213"/>
      <c r="H74" s="1454"/>
      <c r="I74" s="1529"/>
      <c r="J74" s="1531"/>
      <c r="K74" s="18"/>
      <c r="L74" s="58"/>
      <c r="M74" s="79"/>
      <c r="N74" s="4"/>
      <c r="O74" s="4"/>
      <c r="P74" s="59"/>
    </row>
    <row r="75" spans="1:32" ht="30" customHeight="1" x14ac:dyDescent="0.2">
      <c r="A75" s="49"/>
      <c r="B75" s="445" t="s">
        <v>767</v>
      </c>
      <c r="C75" s="1525" t="s">
        <v>768</v>
      </c>
      <c r="D75" s="1526"/>
      <c r="E75" s="1526"/>
      <c r="F75" s="1526"/>
      <c r="G75" s="1526"/>
      <c r="H75" s="1527"/>
      <c r="I75" s="446">
        <v>85</v>
      </c>
      <c r="J75" s="447">
        <v>0.6</v>
      </c>
      <c r="K75" s="18"/>
      <c r="L75" s="58"/>
      <c r="M75" s="18"/>
      <c r="N75" s="46" t="s">
        <v>30</v>
      </c>
      <c r="O75" s="4"/>
      <c r="P75" s="59"/>
      <c r="Q75" s="24"/>
      <c r="R75" s="24"/>
      <c r="S75" s="24"/>
      <c r="T75" s="24"/>
      <c r="U75" s="24"/>
      <c r="V75" s="24"/>
      <c r="W75" s="24"/>
      <c r="X75" s="24"/>
      <c r="Y75" s="24"/>
      <c r="Z75" s="24"/>
      <c r="AA75" s="24"/>
      <c r="AB75" s="24"/>
      <c r="AC75" s="24"/>
      <c r="AD75" s="24"/>
      <c r="AE75" s="24"/>
      <c r="AF75" s="24"/>
    </row>
    <row r="76" spans="1:32" ht="20.100000000000001" customHeight="1" x14ac:dyDescent="0.2">
      <c r="B76" s="31"/>
      <c r="C76" s="31"/>
      <c r="D76" s="31"/>
      <c r="E76" s="31"/>
      <c r="F76" s="31"/>
      <c r="G76" s="31"/>
      <c r="H76" s="31"/>
      <c r="I76" s="32"/>
      <c r="J76" s="33"/>
      <c r="K76" s="272"/>
    </row>
    <row r="77" spans="1:32" ht="30" customHeight="1" x14ac:dyDescent="0.2">
      <c r="B77" s="972" t="s">
        <v>505</v>
      </c>
      <c r="C77" s="975"/>
      <c r="D77" s="975"/>
      <c r="E77" s="975"/>
      <c r="F77" s="975"/>
      <c r="G77" s="975"/>
      <c r="H77" s="975"/>
      <c r="I77" s="34" t="s">
        <v>466</v>
      </c>
      <c r="J77" s="259" t="s">
        <v>18</v>
      </c>
      <c r="K77" s="36" t="s">
        <v>506</v>
      </c>
      <c r="L77" s="37">
        <v>47</v>
      </c>
      <c r="M77" s="181"/>
      <c r="N77" s="182" t="s">
        <v>30</v>
      </c>
      <c r="O77" s="37">
        <v>47</v>
      </c>
    </row>
    <row r="78" spans="1:32" ht="30" customHeight="1" x14ac:dyDescent="0.2">
      <c r="B78" s="946" t="s">
        <v>781</v>
      </c>
      <c r="C78" s="947"/>
      <c r="D78" s="947"/>
      <c r="E78" s="947"/>
      <c r="F78" s="947"/>
      <c r="G78" s="947"/>
      <c r="H78" s="947"/>
      <c r="I78" s="947"/>
      <c r="J78" s="948"/>
      <c r="K78" s="36" t="s">
        <v>506</v>
      </c>
      <c r="L78" s="37">
        <v>47</v>
      </c>
      <c r="M78" s="181"/>
      <c r="N78" s="67"/>
      <c r="O78" s="37">
        <v>47</v>
      </c>
    </row>
    <row r="79" spans="1:32" ht="30" customHeight="1" x14ac:dyDescent="0.2">
      <c r="B79" s="1217" t="s">
        <v>510</v>
      </c>
      <c r="C79" s="1016"/>
      <c r="D79" s="1016"/>
      <c r="E79" s="1016"/>
      <c r="F79" s="1016"/>
      <c r="G79" s="1016"/>
      <c r="H79" s="1016"/>
      <c r="I79" s="1016"/>
      <c r="J79" s="1125"/>
      <c r="K79" s="36" t="s">
        <v>506</v>
      </c>
      <c r="L79" s="37">
        <v>47</v>
      </c>
      <c r="M79" s="181"/>
      <c r="N79" s="67"/>
      <c r="O79" s="37">
        <v>47</v>
      </c>
    </row>
    <row r="80" spans="1:32" ht="30" customHeight="1" x14ac:dyDescent="0.2">
      <c r="B80" s="136" t="s">
        <v>782</v>
      </c>
      <c r="C80" s="919" t="s">
        <v>651</v>
      </c>
      <c r="D80" s="919"/>
      <c r="E80" s="919"/>
      <c r="F80" s="919"/>
      <c r="G80" s="919"/>
      <c r="H80" s="919"/>
      <c r="I80" s="335">
        <v>600</v>
      </c>
      <c r="J80" s="271">
        <v>0.5</v>
      </c>
      <c r="K80" s="36" t="s">
        <v>506</v>
      </c>
      <c r="L80" s="37">
        <v>47</v>
      </c>
      <c r="M80" s="181"/>
      <c r="N80" s="67"/>
      <c r="O80" s="37">
        <v>47</v>
      </c>
    </row>
    <row r="81" spans="1:17" ht="20.100000000000001" customHeight="1" x14ac:dyDescent="0.2">
      <c r="B81" s="31"/>
      <c r="C81" s="31"/>
      <c r="D81" s="31"/>
      <c r="E81" s="31"/>
      <c r="F81" s="31"/>
      <c r="G81" s="31"/>
      <c r="H81" s="31"/>
      <c r="I81" s="32"/>
      <c r="J81" s="33"/>
      <c r="K81" s="272"/>
      <c r="N81" s="4"/>
    </row>
    <row r="82" spans="1:17" ht="30" customHeight="1" x14ac:dyDescent="0.2">
      <c r="B82" s="904" t="s">
        <v>318</v>
      </c>
      <c r="C82" s="905"/>
      <c r="D82" s="905"/>
      <c r="E82" s="905"/>
      <c r="F82" s="905"/>
      <c r="G82" s="905"/>
      <c r="H82" s="906"/>
      <c r="I82" s="34" t="s">
        <v>17</v>
      </c>
      <c r="J82" s="35" t="s">
        <v>18</v>
      </c>
      <c r="K82" s="36" t="s">
        <v>319</v>
      </c>
      <c r="L82" s="36" t="s">
        <v>319</v>
      </c>
      <c r="M82" s="431" t="s">
        <v>757</v>
      </c>
      <c r="N82" s="46" t="s">
        <v>30</v>
      </c>
      <c r="O82" s="37">
        <v>13</v>
      </c>
    </row>
    <row r="83" spans="1:17" ht="30" customHeight="1" x14ac:dyDescent="0.2">
      <c r="B83" s="327" t="s">
        <v>758</v>
      </c>
      <c r="C83" s="1401" t="s">
        <v>765</v>
      </c>
      <c r="D83" s="1402"/>
      <c r="E83" s="1402"/>
      <c r="F83" s="1402"/>
      <c r="G83" s="1402"/>
      <c r="H83" s="1403"/>
      <c r="I83" s="448">
        <v>90</v>
      </c>
      <c r="J83" s="449">
        <v>0.7</v>
      </c>
      <c r="K83" s="36"/>
      <c r="L83" s="36"/>
      <c r="M83" s="431"/>
      <c r="N83" s="46"/>
      <c r="O83" s="37"/>
    </row>
    <row r="84" spans="1:17" ht="39.950000000000003" customHeight="1" x14ac:dyDescent="0.25">
      <c r="A84" s="24"/>
      <c r="B84" s="450" t="s">
        <v>767</v>
      </c>
      <c r="C84" s="1401" t="s">
        <v>779</v>
      </c>
      <c r="D84" s="1402"/>
      <c r="E84" s="1402" t="s">
        <v>783</v>
      </c>
      <c r="F84" s="1402"/>
      <c r="G84" s="1402" t="s">
        <v>768</v>
      </c>
      <c r="H84" s="1403"/>
      <c r="I84" s="74">
        <v>120</v>
      </c>
      <c r="J84" s="75">
        <v>0.6</v>
      </c>
      <c r="K84" s="383"/>
      <c r="L84" s="383"/>
      <c r="M84" s="431" t="s">
        <v>757</v>
      </c>
      <c r="N84" s="46" t="s">
        <v>30</v>
      </c>
      <c r="O84" s="383"/>
      <c r="P84" s="383"/>
      <c r="Q84" s="383"/>
    </row>
    <row r="85" spans="1:17" ht="60" customHeight="1" x14ac:dyDescent="0.25">
      <c r="A85" s="24"/>
      <c r="B85" s="1279" t="s">
        <v>312</v>
      </c>
      <c r="C85" s="1519" t="s">
        <v>784</v>
      </c>
      <c r="D85" s="1520"/>
      <c r="E85" s="1520"/>
      <c r="F85" s="1520"/>
      <c r="G85" s="1520"/>
      <c r="H85" s="1521"/>
      <c r="I85" s="74">
        <v>0</v>
      </c>
      <c r="J85" s="75">
        <v>1</v>
      </c>
      <c r="K85" s="383"/>
      <c r="L85" s="383"/>
      <c r="M85" s="431" t="s">
        <v>757</v>
      </c>
      <c r="N85" s="46" t="s">
        <v>30</v>
      </c>
      <c r="O85" s="383"/>
      <c r="P85" s="383"/>
      <c r="Q85" s="383"/>
    </row>
    <row r="86" spans="1:17" ht="39.950000000000003" customHeight="1" x14ac:dyDescent="0.25">
      <c r="A86" s="24"/>
      <c r="B86" s="1280"/>
      <c r="C86" s="1522" t="s">
        <v>779</v>
      </c>
      <c r="D86" s="1523"/>
      <c r="E86" s="1523" t="s">
        <v>783</v>
      </c>
      <c r="F86" s="1523"/>
      <c r="G86" s="1523" t="s">
        <v>768</v>
      </c>
      <c r="H86" s="1524"/>
      <c r="I86" s="74" t="s">
        <v>785</v>
      </c>
      <c r="J86" s="75" t="s">
        <v>785</v>
      </c>
      <c r="K86" s="383"/>
      <c r="L86" s="383"/>
      <c r="M86" s="431" t="s">
        <v>757</v>
      </c>
      <c r="N86" s="383"/>
      <c r="O86" s="383"/>
      <c r="P86" s="383"/>
      <c r="Q86" s="383"/>
    </row>
    <row r="87" spans="1:17" ht="30" customHeight="1" x14ac:dyDescent="0.25">
      <c r="A87" s="24"/>
      <c r="B87" s="901" t="s">
        <v>325</v>
      </c>
      <c r="C87" s="902"/>
      <c r="D87" s="902"/>
      <c r="E87" s="902"/>
      <c r="F87" s="902"/>
      <c r="G87" s="902"/>
      <c r="H87" s="902"/>
      <c r="I87" s="902"/>
      <c r="J87" s="903"/>
      <c r="K87" s="383"/>
      <c r="L87" s="383"/>
      <c r="M87" s="431" t="s">
        <v>757</v>
      </c>
      <c r="N87" s="383"/>
      <c r="O87" s="383"/>
      <c r="P87" s="383"/>
      <c r="Q87" s="383"/>
    </row>
    <row r="88" spans="1:17" ht="20.100000000000001" customHeight="1" x14ac:dyDescent="0.2">
      <c r="B88" s="31"/>
      <c r="C88" s="31"/>
      <c r="D88" s="31"/>
      <c r="E88" s="31"/>
      <c r="F88" s="31"/>
      <c r="G88" s="31"/>
      <c r="H88" s="31"/>
      <c r="I88" s="32"/>
      <c r="J88" s="33"/>
      <c r="K88" s="272"/>
    </row>
    <row r="89" spans="1:17" ht="30" customHeight="1" x14ac:dyDescent="0.2">
      <c r="B89" s="1135" t="s">
        <v>326</v>
      </c>
      <c r="C89" s="1136"/>
      <c r="D89" s="1136"/>
      <c r="E89" s="1136"/>
      <c r="F89" s="1136"/>
      <c r="G89" s="1136"/>
      <c r="H89" s="1137"/>
      <c r="I89" s="34" t="s">
        <v>17</v>
      </c>
      <c r="J89" s="35" t="s">
        <v>18</v>
      </c>
      <c r="K89" s="194" t="s">
        <v>327</v>
      </c>
      <c r="L89" s="195">
        <v>14</v>
      </c>
      <c r="M89" s="431" t="s">
        <v>757</v>
      </c>
      <c r="N89" s="46" t="s">
        <v>30</v>
      </c>
      <c r="O89" s="195">
        <v>14</v>
      </c>
    </row>
    <row r="90" spans="1:17" ht="39.950000000000003" customHeight="1" x14ac:dyDescent="0.2">
      <c r="B90" s="96" t="s">
        <v>328</v>
      </c>
      <c r="C90" s="901" t="s">
        <v>786</v>
      </c>
      <c r="D90" s="950"/>
      <c r="E90" s="950"/>
      <c r="F90" s="950"/>
      <c r="G90" s="950"/>
      <c r="H90" s="951"/>
      <c r="I90" s="74">
        <v>0</v>
      </c>
      <c r="J90" s="75">
        <v>1</v>
      </c>
      <c r="K90" s="194" t="s">
        <v>327</v>
      </c>
      <c r="L90" s="195">
        <v>14</v>
      </c>
      <c r="N90" s="4"/>
      <c r="O90" s="195">
        <v>14</v>
      </c>
    </row>
    <row r="91" spans="1:17" ht="39" customHeight="1" x14ac:dyDescent="0.2">
      <c r="B91" s="96" t="s">
        <v>701</v>
      </c>
      <c r="C91" s="1063" t="s">
        <v>787</v>
      </c>
      <c r="D91" s="1395"/>
      <c r="E91" s="1395"/>
      <c r="F91" s="1395"/>
      <c r="G91" s="1395"/>
      <c r="H91" s="1395"/>
      <c r="I91" s="74">
        <v>0</v>
      </c>
      <c r="J91" s="75">
        <v>0.8</v>
      </c>
      <c r="K91" s="194" t="s">
        <v>327</v>
      </c>
      <c r="L91" s="195">
        <v>14</v>
      </c>
      <c r="N91" s="4"/>
      <c r="O91" s="195">
        <v>14</v>
      </c>
    </row>
    <row r="92" spans="1:17" ht="20.100000000000001" customHeight="1" x14ac:dyDescent="0.2">
      <c r="B92" s="31"/>
      <c r="C92" s="31"/>
      <c r="D92" s="31"/>
      <c r="E92" s="31"/>
      <c r="F92" s="31"/>
      <c r="G92" s="31"/>
      <c r="H92" s="31"/>
      <c r="I92" s="32"/>
      <c r="J92" s="33"/>
      <c r="K92" s="272"/>
    </row>
    <row r="93" spans="1:17" ht="30" customHeight="1" x14ac:dyDescent="0.2">
      <c r="B93" s="1087" t="s">
        <v>369</v>
      </c>
      <c r="C93" s="1088"/>
      <c r="D93" s="1088"/>
      <c r="E93" s="1088"/>
      <c r="F93" s="1088"/>
      <c r="G93" s="1088"/>
      <c r="H93" s="1088"/>
      <c r="I93" s="34" t="s">
        <v>130</v>
      </c>
      <c r="J93" s="35" t="s">
        <v>18</v>
      </c>
      <c r="K93" s="36" t="s">
        <v>370</v>
      </c>
      <c r="L93" s="37">
        <v>44</v>
      </c>
      <c r="M93" s="68"/>
      <c r="N93" s="182" t="s">
        <v>30</v>
      </c>
      <c r="O93" s="37">
        <v>44</v>
      </c>
    </row>
    <row r="94" spans="1:17" ht="45" customHeight="1" x14ac:dyDescent="0.2">
      <c r="B94" s="1105" t="s">
        <v>371</v>
      </c>
      <c r="C94" s="1106"/>
      <c r="D94" s="1106"/>
      <c r="E94" s="1106"/>
      <c r="F94" s="1106"/>
      <c r="G94" s="1106"/>
      <c r="H94" s="1106"/>
      <c r="I94" s="1106"/>
      <c r="J94" s="1107"/>
      <c r="K94" s="36" t="s">
        <v>370</v>
      </c>
      <c r="L94" s="37">
        <v>44</v>
      </c>
      <c r="M94" s="181"/>
      <c r="N94" s="67"/>
      <c r="O94" s="37">
        <v>44</v>
      </c>
    </row>
    <row r="95" spans="1:17" ht="30" customHeight="1" x14ac:dyDescent="0.2">
      <c r="B95" s="976" t="s">
        <v>372</v>
      </c>
      <c r="C95" s="977"/>
      <c r="D95" s="977"/>
      <c r="E95" s="977"/>
      <c r="F95" s="977"/>
      <c r="G95" s="977"/>
      <c r="H95" s="977"/>
      <c r="I95" s="977"/>
      <c r="J95" s="978"/>
      <c r="K95" s="36" t="s">
        <v>370</v>
      </c>
      <c r="L95" s="37">
        <v>44</v>
      </c>
      <c r="M95" s="181"/>
      <c r="N95" s="182" t="s">
        <v>30</v>
      </c>
      <c r="O95" s="37">
        <v>44</v>
      </c>
    </row>
    <row r="96" spans="1:17" ht="30" customHeight="1" x14ac:dyDescent="0.2">
      <c r="B96" s="390" t="s">
        <v>788</v>
      </c>
      <c r="C96" s="1086" t="s">
        <v>383</v>
      </c>
      <c r="D96" s="1086"/>
      <c r="E96" s="1086"/>
      <c r="F96" s="1086"/>
      <c r="G96" s="1086"/>
      <c r="H96" s="1086"/>
      <c r="I96" s="391">
        <v>120</v>
      </c>
      <c r="J96" s="199">
        <v>0.5</v>
      </c>
      <c r="K96" s="36" t="s">
        <v>370</v>
      </c>
      <c r="L96" s="37">
        <v>44</v>
      </c>
      <c r="M96" s="181"/>
      <c r="N96" s="182"/>
      <c r="O96" s="37">
        <v>44</v>
      </c>
    </row>
    <row r="97" spans="1:15" ht="30" customHeight="1" x14ac:dyDescent="0.2">
      <c r="B97" s="202" t="s">
        <v>789</v>
      </c>
      <c r="C97" s="1086" t="s">
        <v>383</v>
      </c>
      <c r="D97" s="1086"/>
      <c r="E97" s="1086"/>
      <c r="F97" s="1086"/>
      <c r="G97" s="1086"/>
      <c r="H97" s="1086"/>
      <c r="I97" s="391">
        <v>120</v>
      </c>
      <c r="J97" s="199">
        <v>0.5</v>
      </c>
      <c r="K97" s="36" t="s">
        <v>370</v>
      </c>
      <c r="L97" s="37">
        <v>44</v>
      </c>
      <c r="M97" s="181"/>
      <c r="N97" s="182"/>
      <c r="O97" s="37">
        <v>44</v>
      </c>
    </row>
    <row r="98" spans="1:15" ht="30" customHeight="1" x14ac:dyDescent="0.2">
      <c r="B98" s="976" t="s">
        <v>384</v>
      </c>
      <c r="C98" s="977"/>
      <c r="D98" s="977"/>
      <c r="E98" s="1518"/>
      <c r="F98" s="1518"/>
      <c r="G98" s="977"/>
      <c r="H98" s="977"/>
      <c r="I98" s="977"/>
      <c r="J98" s="978"/>
      <c r="K98" s="36" t="s">
        <v>370</v>
      </c>
      <c r="L98" s="37">
        <v>44</v>
      </c>
      <c r="M98" s="181"/>
      <c r="N98" s="182" t="s">
        <v>30</v>
      </c>
      <c r="O98" s="37">
        <v>44</v>
      </c>
    </row>
    <row r="99" spans="1:15" ht="30" customHeight="1" x14ac:dyDescent="0.2">
      <c r="B99" s="202" t="s">
        <v>788</v>
      </c>
      <c r="C99" s="1086" t="s">
        <v>383</v>
      </c>
      <c r="D99" s="1086"/>
      <c r="E99" s="1086"/>
      <c r="F99" s="1086"/>
      <c r="G99" s="1086"/>
      <c r="H99" s="1086"/>
      <c r="I99" s="205">
        <v>0</v>
      </c>
      <c r="J99" s="75">
        <v>0.5</v>
      </c>
      <c r="K99" s="36" t="s">
        <v>370</v>
      </c>
      <c r="L99" s="37">
        <v>44</v>
      </c>
      <c r="M99" s="181"/>
      <c r="N99" s="182"/>
      <c r="O99" s="37">
        <v>44</v>
      </c>
    </row>
    <row r="100" spans="1:15" ht="30" customHeight="1" x14ac:dyDescent="0.2">
      <c r="B100" s="202" t="s">
        <v>789</v>
      </c>
      <c r="C100" s="1086" t="s">
        <v>383</v>
      </c>
      <c r="D100" s="1086"/>
      <c r="E100" s="1086"/>
      <c r="F100" s="1086"/>
      <c r="G100" s="1086"/>
      <c r="H100" s="1086"/>
      <c r="I100" s="205">
        <v>0</v>
      </c>
      <c r="J100" s="75">
        <v>0.5</v>
      </c>
      <c r="K100" s="36" t="s">
        <v>370</v>
      </c>
      <c r="L100" s="37">
        <v>44</v>
      </c>
      <c r="M100" s="181"/>
      <c r="N100" s="182"/>
      <c r="O100" s="37">
        <v>44</v>
      </c>
    </row>
    <row r="101" spans="1:15" ht="30" customHeight="1" x14ac:dyDescent="0.2">
      <c r="B101" s="1089" t="s">
        <v>389</v>
      </c>
      <c r="C101" s="1090"/>
      <c r="D101" s="1090"/>
      <c r="E101" s="1090"/>
      <c r="F101" s="1090"/>
      <c r="G101" s="1090"/>
      <c r="H101" s="1091"/>
      <c r="I101" s="205">
        <v>0</v>
      </c>
      <c r="J101" s="75">
        <v>0.5</v>
      </c>
      <c r="K101" s="36" t="s">
        <v>370</v>
      </c>
      <c r="L101" s="37">
        <v>44</v>
      </c>
      <c r="M101" s="181"/>
      <c r="N101" s="182"/>
      <c r="O101" s="37">
        <v>44</v>
      </c>
    </row>
    <row r="102" spans="1:15" ht="30" customHeight="1" x14ac:dyDescent="0.2">
      <c r="B102" s="949" t="s">
        <v>390</v>
      </c>
      <c r="C102" s="950"/>
      <c r="D102" s="950"/>
      <c r="E102" s="950"/>
      <c r="F102" s="950"/>
      <c r="G102" s="950"/>
      <c r="H102" s="950"/>
      <c r="I102" s="950"/>
      <c r="J102" s="951"/>
      <c r="K102" s="36" t="s">
        <v>370</v>
      </c>
      <c r="L102" s="37">
        <v>44</v>
      </c>
      <c r="M102" s="181"/>
      <c r="N102" s="182" t="s">
        <v>30</v>
      </c>
      <c r="O102" s="37">
        <v>44</v>
      </c>
    </row>
    <row r="103" spans="1:15" ht="30" customHeight="1" x14ac:dyDescent="0.2">
      <c r="B103" s="40" t="s">
        <v>788</v>
      </c>
      <c r="C103" s="1086" t="s">
        <v>383</v>
      </c>
      <c r="D103" s="1086"/>
      <c r="E103" s="1086"/>
      <c r="F103" s="1086"/>
      <c r="G103" s="1086"/>
      <c r="H103" s="1086"/>
      <c r="I103" s="391">
        <v>800</v>
      </c>
      <c r="J103" s="451">
        <v>0.5</v>
      </c>
      <c r="K103" s="36" t="s">
        <v>370</v>
      </c>
      <c r="L103" s="37">
        <v>44</v>
      </c>
      <c r="M103" s="181"/>
      <c r="N103" s="182"/>
      <c r="O103" s="37">
        <v>44</v>
      </c>
    </row>
    <row r="104" spans="1:15" ht="30" customHeight="1" x14ac:dyDescent="0.2">
      <c r="B104" s="115" t="s">
        <v>789</v>
      </c>
      <c r="C104" s="1086" t="s">
        <v>383</v>
      </c>
      <c r="D104" s="1086"/>
      <c r="E104" s="1086"/>
      <c r="F104" s="1086"/>
      <c r="G104" s="1086"/>
      <c r="H104" s="1086"/>
      <c r="I104" s="452">
        <v>800</v>
      </c>
      <c r="J104" s="199">
        <v>0.5</v>
      </c>
      <c r="K104" s="36" t="s">
        <v>370</v>
      </c>
      <c r="L104" s="37">
        <v>44</v>
      </c>
      <c r="M104" s="181"/>
      <c r="N104" s="182"/>
      <c r="O104" s="37">
        <v>44</v>
      </c>
    </row>
    <row r="105" spans="1:15" ht="20.100000000000001" customHeight="1" x14ac:dyDescent="0.2">
      <c r="A105" s="24"/>
      <c r="B105" s="192"/>
      <c r="C105" s="62"/>
      <c r="D105" s="453"/>
      <c r="E105" s="453"/>
      <c r="F105" s="453"/>
      <c r="G105" s="453"/>
      <c r="H105" s="453"/>
      <c r="I105" s="64"/>
      <c r="J105" s="65"/>
    </row>
    <row r="106" spans="1:15" ht="30" customHeight="1" x14ac:dyDescent="0.2">
      <c r="A106" s="24"/>
      <c r="B106" s="904" t="s">
        <v>330</v>
      </c>
      <c r="C106" s="905"/>
      <c r="D106" s="905"/>
      <c r="E106" s="905"/>
      <c r="F106" s="905"/>
      <c r="G106" s="905"/>
      <c r="H106" s="906"/>
      <c r="I106" s="34" t="s">
        <v>17</v>
      </c>
      <c r="J106" s="35" t="s">
        <v>18</v>
      </c>
      <c r="K106" s="197" t="s">
        <v>331</v>
      </c>
      <c r="L106" s="195">
        <v>15</v>
      </c>
      <c r="M106" s="23"/>
      <c r="N106" s="46" t="s">
        <v>30</v>
      </c>
      <c r="O106" s="195">
        <v>15</v>
      </c>
    </row>
    <row r="107" spans="1:15" ht="30" customHeight="1" x14ac:dyDescent="0.2">
      <c r="A107" s="24"/>
      <c r="B107" s="924" t="s">
        <v>332</v>
      </c>
      <c r="C107" s="925"/>
      <c r="D107" s="925"/>
      <c r="E107" s="925"/>
      <c r="F107" s="925"/>
      <c r="G107" s="925"/>
      <c r="H107" s="925"/>
      <c r="I107" s="925"/>
      <c r="J107" s="926"/>
      <c r="K107" s="197" t="s">
        <v>331</v>
      </c>
      <c r="L107" s="195">
        <v>15</v>
      </c>
      <c r="M107" s="23"/>
      <c r="O107" s="195">
        <v>15</v>
      </c>
    </row>
    <row r="108" spans="1:15" ht="30" customHeight="1" x14ac:dyDescent="0.2">
      <c r="A108" s="24"/>
      <c r="B108" s="1047" t="s">
        <v>335</v>
      </c>
      <c r="C108" s="864" t="s">
        <v>336</v>
      </c>
      <c r="D108" s="865"/>
      <c r="E108" s="865"/>
      <c r="F108" s="865"/>
      <c r="G108" s="865"/>
      <c r="H108" s="865"/>
      <c r="I108" s="865"/>
      <c r="J108" s="866"/>
      <c r="K108" s="197" t="s">
        <v>331</v>
      </c>
      <c r="L108" s="195">
        <v>15</v>
      </c>
      <c r="M108" s="23"/>
      <c r="N108" s="46" t="s">
        <v>30</v>
      </c>
      <c r="O108" s="195">
        <v>15</v>
      </c>
    </row>
    <row r="109" spans="1:15" ht="30" customHeight="1" x14ac:dyDescent="0.2">
      <c r="A109" s="24"/>
      <c r="B109" s="1048"/>
      <c r="C109" s="903" t="s">
        <v>790</v>
      </c>
      <c r="D109" s="1063"/>
      <c r="E109" s="1063"/>
      <c r="F109" s="1063"/>
      <c r="G109" s="1063"/>
      <c r="H109" s="1063"/>
      <c r="I109" s="74">
        <v>0</v>
      </c>
      <c r="J109" s="75">
        <v>1</v>
      </c>
      <c r="K109" s="197" t="s">
        <v>331</v>
      </c>
      <c r="L109" s="195">
        <v>15</v>
      </c>
      <c r="M109" s="23"/>
      <c r="O109" s="195">
        <v>15</v>
      </c>
    </row>
    <row r="110" spans="1:15" ht="30" customHeight="1" x14ac:dyDescent="0.2">
      <c r="A110" s="24"/>
      <c r="B110" s="1047" t="s">
        <v>340</v>
      </c>
      <c r="C110" s="901" t="s">
        <v>791</v>
      </c>
      <c r="D110" s="902"/>
      <c r="E110" s="902"/>
      <c r="F110" s="902"/>
      <c r="G110" s="902"/>
      <c r="H110" s="902"/>
      <c r="I110" s="902"/>
      <c r="J110" s="903"/>
      <c r="K110" s="197" t="s">
        <v>331</v>
      </c>
      <c r="L110" s="195">
        <v>15</v>
      </c>
      <c r="M110" s="23"/>
      <c r="N110" s="46" t="s">
        <v>30</v>
      </c>
      <c r="O110" s="195">
        <v>15</v>
      </c>
    </row>
    <row r="111" spans="1:15" ht="30" customHeight="1" x14ac:dyDescent="0.2">
      <c r="A111" s="24"/>
      <c r="B111" s="1048"/>
      <c r="C111" s="903" t="s">
        <v>790</v>
      </c>
      <c r="D111" s="1063"/>
      <c r="E111" s="1063"/>
      <c r="F111" s="1063"/>
      <c r="G111" s="1063"/>
      <c r="H111" s="1063"/>
      <c r="I111" s="74">
        <v>0</v>
      </c>
      <c r="J111" s="75">
        <v>1</v>
      </c>
      <c r="K111" s="197" t="s">
        <v>331</v>
      </c>
      <c r="L111" s="195">
        <v>15</v>
      </c>
      <c r="M111" s="23"/>
      <c r="N111" s="122"/>
      <c r="O111" s="195">
        <v>15</v>
      </c>
    </row>
    <row r="112" spans="1:15" ht="30" customHeight="1" x14ac:dyDescent="0.2">
      <c r="A112" s="24"/>
      <c r="B112" s="454" t="s">
        <v>348</v>
      </c>
      <c r="C112" s="1517" t="s">
        <v>792</v>
      </c>
      <c r="D112" s="1515"/>
      <c r="E112" s="1015" t="s">
        <v>793</v>
      </c>
      <c r="F112" s="1015"/>
      <c r="G112" s="1515"/>
      <c r="H112" s="1516"/>
      <c r="I112" s="455">
        <v>0</v>
      </c>
      <c r="J112" s="109">
        <v>1</v>
      </c>
      <c r="K112" s="197" t="s">
        <v>331</v>
      </c>
      <c r="L112" s="195">
        <v>15</v>
      </c>
      <c r="M112" s="23"/>
      <c r="N112" s="46" t="s">
        <v>30</v>
      </c>
      <c r="O112" s="195">
        <v>15</v>
      </c>
    </row>
    <row r="113" spans="1:15" ht="30" customHeight="1" x14ac:dyDescent="0.2">
      <c r="A113" s="24"/>
      <c r="B113" s="1231" t="s">
        <v>794</v>
      </c>
      <c r="C113" s="1515" t="s">
        <v>795</v>
      </c>
      <c r="D113" s="1515"/>
      <c r="E113" s="1515" t="s">
        <v>793</v>
      </c>
      <c r="F113" s="1515"/>
      <c r="G113" s="1515"/>
      <c r="H113" s="1516"/>
      <c r="I113" s="1228">
        <v>0</v>
      </c>
      <c r="J113" s="962">
        <v>1</v>
      </c>
      <c r="K113" s="197" t="s">
        <v>331</v>
      </c>
      <c r="L113" s="195">
        <v>15</v>
      </c>
      <c r="N113" s="46" t="s">
        <v>30</v>
      </c>
      <c r="O113" s="195">
        <v>15</v>
      </c>
    </row>
    <row r="114" spans="1:15" ht="30" customHeight="1" x14ac:dyDescent="0.2">
      <c r="A114" s="24"/>
      <c r="B114" s="1053"/>
      <c r="C114" s="903" t="s">
        <v>790</v>
      </c>
      <c r="D114" s="1063"/>
      <c r="E114" s="1063"/>
      <c r="F114" s="1063"/>
      <c r="G114" s="1063"/>
      <c r="H114" s="1063"/>
      <c r="I114" s="1230"/>
      <c r="J114" s="964"/>
      <c r="K114" s="197" t="s">
        <v>331</v>
      </c>
      <c r="L114" s="195">
        <v>15</v>
      </c>
      <c r="N114" s="122"/>
      <c r="O114" s="195">
        <v>15</v>
      </c>
    </row>
    <row r="115" spans="1:15" ht="52.5" customHeight="1" x14ac:dyDescent="0.2">
      <c r="A115" s="24"/>
      <c r="B115" s="1047" t="s">
        <v>350</v>
      </c>
      <c r="C115" s="867" t="s">
        <v>351</v>
      </c>
      <c r="D115" s="868"/>
      <c r="E115" s="868"/>
      <c r="F115" s="868"/>
      <c r="G115" s="868"/>
      <c r="H115" s="868"/>
      <c r="I115" s="868"/>
      <c r="J115" s="869"/>
      <c r="K115" s="197" t="s">
        <v>331</v>
      </c>
      <c r="L115" s="195">
        <v>15</v>
      </c>
      <c r="M115" s="3"/>
      <c r="N115" s="46" t="s">
        <v>30</v>
      </c>
      <c r="O115" s="195">
        <v>15</v>
      </c>
    </row>
    <row r="116" spans="1:15" ht="42.75" customHeight="1" x14ac:dyDescent="0.2">
      <c r="A116" s="24"/>
      <c r="B116" s="1048"/>
      <c r="C116" s="903" t="s">
        <v>790</v>
      </c>
      <c r="D116" s="1063"/>
      <c r="E116" s="1063"/>
      <c r="F116" s="1063"/>
      <c r="G116" s="1063"/>
      <c r="H116" s="1063"/>
      <c r="I116" s="74">
        <v>0</v>
      </c>
      <c r="J116" s="75">
        <v>1</v>
      </c>
      <c r="K116" s="197" t="s">
        <v>331</v>
      </c>
      <c r="L116" s="195">
        <v>15</v>
      </c>
      <c r="M116" s="3"/>
      <c r="N116"/>
      <c r="O116" s="195">
        <v>15</v>
      </c>
    </row>
    <row r="117" spans="1:15" ht="63" customHeight="1" x14ac:dyDescent="0.2">
      <c r="A117" s="24"/>
      <c r="B117" s="1047" t="s">
        <v>352</v>
      </c>
      <c r="C117" s="867" t="s">
        <v>796</v>
      </c>
      <c r="D117" s="868"/>
      <c r="E117" s="868"/>
      <c r="F117" s="868"/>
      <c r="G117" s="868"/>
      <c r="H117" s="869"/>
      <c r="I117" s="1110">
        <v>0</v>
      </c>
      <c r="J117" s="915">
        <v>1</v>
      </c>
      <c r="K117" s="197" t="s">
        <v>331</v>
      </c>
      <c r="L117" s="195">
        <v>15</v>
      </c>
      <c r="M117" s="3"/>
      <c r="N117" s="46" t="s">
        <v>30</v>
      </c>
      <c r="O117" s="195">
        <v>15</v>
      </c>
    </row>
    <row r="118" spans="1:15" ht="71.25" customHeight="1" x14ac:dyDescent="0.2">
      <c r="A118" s="24"/>
      <c r="B118" s="1109"/>
      <c r="C118" s="867" t="s">
        <v>797</v>
      </c>
      <c r="D118" s="868"/>
      <c r="E118" s="868"/>
      <c r="F118" s="868"/>
      <c r="G118" s="868"/>
      <c r="H118" s="869"/>
      <c r="I118" s="1111"/>
      <c r="J118" s="1045"/>
      <c r="K118" s="197" t="s">
        <v>331</v>
      </c>
      <c r="L118" s="195">
        <v>15</v>
      </c>
      <c r="M118" s="3"/>
      <c r="N118"/>
      <c r="O118" s="195">
        <v>15</v>
      </c>
    </row>
    <row r="119" spans="1:15" ht="57" customHeight="1" x14ac:dyDescent="0.2">
      <c r="A119" s="24"/>
      <c r="B119" s="1109"/>
      <c r="C119" s="867" t="s">
        <v>798</v>
      </c>
      <c r="D119" s="868"/>
      <c r="E119" s="868"/>
      <c r="F119" s="868"/>
      <c r="G119" s="868"/>
      <c r="H119" s="869"/>
      <c r="I119" s="1111"/>
      <c r="J119" s="1045"/>
      <c r="K119" s="197" t="s">
        <v>331</v>
      </c>
      <c r="L119" s="195">
        <v>15</v>
      </c>
      <c r="M119" s="3"/>
      <c r="N119"/>
      <c r="O119" s="195">
        <v>15</v>
      </c>
    </row>
    <row r="120" spans="1:15" ht="30.75" customHeight="1" x14ac:dyDescent="0.2">
      <c r="A120" s="24"/>
      <c r="B120" s="1109"/>
      <c r="C120" s="1514" t="s">
        <v>799</v>
      </c>
      <c r="D120" s="1114"/>
      <c r="E120" s="1114"/>
      <c r="F120" s="1114"/>
      <c r="G120" s="1114"/>
      <c r="H120" s="1115"/>
      <c r="I120" s="1111"/>
      <c r="J120" s="1045"/>
      <c r="K120" s="197" t="s">
        <v>331</v>
      </c>
      <c r="L120" s="195">
        <v>15</v>
      </c>
      <c r="M120" s="3"/>
      <c r="N120"/>
      <c r="O120" s="195">
        <v>15</v>
      </c>
    </row>
    <row r="121" spans="1:15" ht="30.75" customHeight="1" x14ac:dyDescent="0.2">
      <c r="A121" s="24"/>
      <c r="B121" s="1109"/>
      <c r="C121" s="867" t="s">
        <v>800</v>
      </c>
      <c r="D121" s="868"/>
      <c r="E121" s="868"/>
      <c r="F121" s="868"/>
      <c r="G121" s="868"/>
      <c r="H121" s="869"/>
      <c r="I121" s="1112"/>
      <c r="J121" s="916"/>
      <c r="K121" s="197" t="s">
        <v>331</v>
      </c>
      <c r="L121" s="195">
        <v>15</v>
      </c>
      <c r="M121" s="3"/>
      <c r="N121"/>
      <c r="O121" s="195">
        <v>15</v>
      </c>
    </row>
    <row r="122" spans="1:15" ht="47.25" customHeight="1" x14ac:dyDescent="0.2">
      <c r="A122" s="24"/>
      <c r="B122" s="1048"/>
      <c r="C122" s="867" t="s">
        <v>801</v>
      </c>
      <c r="D122" s="868"/>
      <c r="E122" s="868"/>
      <c r="F122" s="868"/>
      <c r="G122" s="868"/>
      <c r="H122" s="869"/>
      <c r="I122" s="198" t="s">
        <v>256</v>
      </c>
      <c r="J122" s="199" t="s">
        <v>256</v>
      </c>
      <c r="K122" s="197" t="s">
        <v>331</v>
      </c>
      <c r="L122" s="195">
        <v>15</v>
      </c>
      <c r="M122" s="3"/>
      <c r="N122"/>
      <c r="O122" s="195">
        <v>15</v>
      </c>
    </row>
    <row r="123" spans="1:15" ht="39.950000000000003" customHeight="1" x14ac:dyDescent="0.2">
      <c r="A123" s="24"/>
      <c r="B123" s="1047" t="s">
        <v>359</v>
      </c>
      <c r="C123" s="901" t="s">
        <v>360</v>
      </c>
      <c r="D123" s="902"/>
      <c r="E123" s="902"/>
      <c r="F123" s="902"/>
      <c r="G123" s="902"/>
      <c r="H123" s="902"/>
      <c r="I123" s="902"/>
      <c r="J123" s="903"/>
      <c r="K123" s="197" t="s">
        <v>331</v>
      </c>
      <c r="L123" s="195">
        <v>15</v>
      </c>
      <c r="N123" s="46" t="s">
        <v>30</v>
      </c>
      <c r="O123" s="195">
        <v>15</v>
      </c>
    </row>
    <row r="124" spans="1:15" ht="30" customHeight="1" x14ac:dyDescent="0.2">
      <c r="A124" s="24"/>
      <c r="B124" s="1109"/>
      <c r="C124" s="903" t="s">
        <v>790</v>
      </c>
      <c r="D124" s="1063"/>
      <c r="E124" s="1063"/>
      <c r="F124" s="1063"/>
      <c r="G124" s="1063"/>
      <c r="H124" s="1063"/>
      <c r="I124" s="74">
        <v>0</v>
      </c>
      <c r="J124" s="75">
        <v>1</v>
      </c>
      <c r="K124" s="197" t="s">
        <v>331</v>
      </c>
      <c r="L124" s="195">
        <v>15</v>
      </c>
      <c r="N124" s="122"/>
      <c r="O124" s="195">
        <v>15</v>
      </c>
    </row>
    <row r="125" spans="1:15" ht="30" customHeight="1" x14ac:dyDescent="0.2">
      <c r="B125" s="96" t="s">
        <v>701</v>
      </c>
      <c r="C125" s="901" t="s">
        <v>802</v>
      </c>
      <c r="D125" s="902"/>
      <c r="E125" s="902"/>
      <c r="F125" s="902"/>
      <c r="G125" s="902"/>
      <c r="H125" s="903"/>
      <c r="I125" s="74">
        <v>0</v>
      </c>
      <c r="J125" s="75">
        <v>0.75</v>
      </c>
      <c r="K125" s="197" t="s">
        <v>331</v>
      </c>
      <c r="L125" s="195">
        <v>15</v>
      </c>
      <c r="N125" s="46" t="s">
        <v>30</v>
      </c>
      <c r="O125" s="195">
        <v>15</v>
      </c>
    </row>
    <row r="126" spans="1:15" ht="40.5" customHeight="1" x14ac:dyDescent="0.2">
      <c r="B126" s="867" t="s">
        <v>361</v>
      </c>
      <c r="C126" s="868"/>
      <c r="D126" s="868"/>
      <c r="E126" s="868"/>
      <c r="F126" s="868"/>
      <c r="G126" s="868"/>
      <c r="H126" s="868"/>
      <c r="I126" s="868"/>
      <c r="J126" s="869"/>
      <c r="K126" s="197" t="s">
        <v>331</v>
      </c>
      <c r="L126" s="195">
        <v>15</v>
      </c>
      <c r="N126" s="4"/>
      <c r="O126" s="195">
        <v>15</v>
      </c>
    </row>
    <row r="127" spans="1:15" ht="20.100000000000001" customHeight="1" x14ac:dyDescent="0.2">
      <c r="A127" s="24"/>
      <c r="I127" s="1"/>
      <c r="L127" s="1"/>
      <c r="O127" s="1"/>
    </row>
    <row r="128" spans="1:15" ht="30" customHeight="1" x14ac:dyDescent="0.2">
      <c r="A128" s="24"/>
      <c r="B128" s="904" t="s">
        <v>453</v>
      </c>
      <c r="C128" s="905"/>
      <c r="D128" s="905"/>
      <c r="E128" s="905"/>
      <c r="F128" s="905"/>
      <c r="G128" s="905"/>
      <c r="H128" s="906"/>
      <c r="I128" s="34" t="s">
        <v>17</v>
      </c>
      <c r="J128" s="244" t="s">
        <v>18</v>
      </c>
      <c r="K128" s="197" t="s">
        <v>454</v>
      </c>
      <c r="L128" s="195">
        <v>18</v>
      </c>
      <c r="N128" s="46" t="s">
        <v>30</v>
      </c>
      <c r="O128" s="195">
        <v>18</v>
      </c>
    </row>
    <row r="129" spans="1:15" ht="30" customHeight="1" x14ac:dyDescent="0.2">
      <c r="A129" s="24"/>
      <c r="B129" s="867" t="s">
        <v>455</v>
      </c>
      <c r="C129" s="1058"/>
      <c r="D129" s="1058"/>
      <c r="E129" s="1058"/>
      <c r="F129" s="1058"/>
      <c r="G129" s="1058"/>
      <c r="H129" s="1058"/>
      <c r="I129" s="1058"/>
      <c r="J129" s="1059"/>
      <c r="K129" s="197" t="s">
        <v>454</v>
      </c>
      <c r="L129" s="195">
        <v>18</v>
      </c>
      <c r="O129" s="195">
        <v>18</v>
      </c>
    </row>
    <row r="130" spans="1:15" ht="39.950000000000003" customHeight="1" x14ac:dyDescent="0.2">
      <c r="A130" s="24"/>
      <c r="B130" s="1047" t="s">
        <v>395</v>
      </c>
      <c r="C130" s="1217" t="s">
        <v>662</v>
      </c>
      <c r="D130" s="1016"/>
      <c r="E130" s="1016" t="s">
        <v>592</v>
      </c>
      <c r="F130" s="1016"/>
      <c r="G130" s="1016" t="s">
        <v>593</v>
      </c>
      <c r="H130" s="1125"/>
      <c r="I130" s="1110">
        <v>0</v>
      </c>
      <c r="J130" s="915">
        <v>1</v>
      </c>
      <c r="K130" s="197" t="s">
        <v>454</v>
      </c>
      <c r="L130" s="195">
        <v>18</v>
      </c>
      <c r="O130" s="195">
        <v>18</v>
      </c>
    </row>
    <row r="131" spans="1:15" ht="30" customHeight="1" x14ac:dyDescent="0.2">
      <c r="A131" s="24"/>
      <c r="B131" s="1048"/>
      <c r="C131" s="1119" t="s">
        <v>663</v>
      </c>
      <c r="D131" s="870"/>
      <c r="E131" s="895"/>
      <c r="F131" s="895"/>
      <c r="G131" s="895"/>
      <c r="H131" s="896"/>
      <c r="I131" s="1112"/>
      <c r="J131" s="916"/>
      <c r="K131" s="197" t="s">
        <v>454</v>
      </c>
      <c r="L131" s="195">
        <v>18</v>
      </c>
      <c r="O131" s="195">
        <v>18</v>
      </c>
    </row>
    <row r="132" spans="1:15" ht="20.100000000000001" customHeight="1" x14ac:dyDescent="0.2">
      <c r="A132" s="24"/>
      <c r="B132" s="62"/>
      <c r="C132" s="192"/>
      <c r="D132" s="192"/>
      <c r="E132" s="192"/>
      <c r="F132" s="192"/>
      <c r="G132" s="192"/>
      <c r="H132" s="192"/>
      <c r="I132" s="64"/>
      <c r="J132" s="65"/>
      <c r="L132" s="1"/>
      <c r="O132" s="1"/>
    </row>
    <row r="133" spans="1:15" ht="30" customHeight="1" x14ac:dyDescent="0.2">
      <c r="A133" s="24"/>
      <c r="B133" s="855" t="s">
        <v>489</v>
      </c>
      <c r="C133" s="856"/>
      <c r="D133" s="856"/>
      <c r="E133" s="856"/>
      <c r="F133" s="856"/>
      <c r="G133" s="856"/>
      <c r="H133" s="856"/>
      <c r="I133" s="856"/>
      <c r="J133" s="857"/>
      <c r="L133" s="1"/>
      <c r="M133" s="431" t="s">
        <v>757</v>
      </c>
      <c r="N133" s="46" t="s">
        <v>30</v>
      </c>
      <c r="O133" s="1"/>
    </row>
    <row r="134" spans="1:15" ht="50.25" customHeight="1" x14ac:dyDescent="0.2">
      <c r="A134" s="24"/>
      <c r="B134" s="901" t="s">
        <v>671</v>
      </c>
      <c r="C134" s="902"/>
      <c r="D134" s="902"/>
      <c r="E134" s="902"/>
      <c r="F134" s="902"/>
      <c r="G134" s="902"/>
      <c r="H134" s="902"/>
      <c r="I134" s="902"/>
      <c r="J134" s="903"/>
      <c r="L134" s="1"/>
      <c r="M134" s="431" t="s">
        <v>757</v>
      </c>
      <c r="O134" s="1"/>
    </row>
    <row r="135" spans="1:15" ht="20.100000000000001" customHeight="1" x14ac:dyDescent="0.2">
      <c r="A135" s="24"/>
      <c r="B135" s="62"/>
      <c r="C135" s="192"/>
      <c r="D135" s="192"/>
      <c r="E135" s="192"/>
      <c r="F135" s="192"/>
      <c r="G135" s="192"/>
      <c r="H135" s="192"/>
      <c r="I135" s="64"/>
      <c r="J135" s="65"/>
      <c r="L135" s="1"/>
      <c r="M135" s="431" t="s">
        <v>757</v>
      </c>
      <c r="O135" s="1"/>
    </row>
    <row r="136" spans="1:15" ht="30" customHeight="1" x14ac:dyDescent="0.2">
      <c r="A136" s="24"/>
      <c r="B136" s="855" t="s">
        <v>491</v>
      </c>
      <c r="C136" s="856"/>
      <c r="D136" s="856"/>
      <c r="E136" s="856"/>
      <c r="F136" s="856"/>
      <c r="G136" s="856"/>
      <c r="H136" s="856"/>
      <c r="I136" s="856"/>
      <c r="J136" s="857"/>
      <c r="L136" s="1"/>
      <c r="M136" s="431" t="s">
        <v>757</v>
      </c>
      <c r="N136" s="46" t="s">
        <v>30</v>
      </c>
      <c r="O136" s="1"/>
    </row>
    <row r="137" spans="1:15" ht="36.75" customHeight="1" x14ac:dyDescent="0.2">
      <c r="A137" s="24"/>
      <c r="B137" s="901" t="s">
        <v>672</v>
      </c>
      <c r="C137" s="902"/>
      <c r="D137" s="902"/>
      <c r="E137" s="902"/>
      <c r="F137" s="902"/>
      <c r="G137" s="902"/>
      <c r="H137" s="902"/>
      <c r="I137" s="902"/>
      <c r="J137" s="903"/>
      <c r="L137" s="1"/>
      <c r="M137" s="431" t="s">
        <v>757</v>
      </c>
      <c r="O137" s="1"/>
    </row>
    <row r="138" spans="1:15" ht="20.100000000000001" customHeight="1" x14ac:dyDescent="0.2">
      <c r="A138" s="24"/>
      <c r="B138" s="62"/>
      <c r="C138" s="192"/>
      <c r="D138" s="192"/>
      <c r="E138" s="192"/>
      <c r="F138" s="192"/>
      <c r="G138" s="192"/>
      <c r="H138" s="192"/>
      <c r="I138" s="64"/>
      <c r="J138" s="65"/>
      <c r="L138" s="1"/>
      <c r="M138" s="431" t="s">
        <v>757</v>
      </c>
      <c r="O138" s="1"/>
    </row>
    <row r="139" spans="1:15" ht="30" customHeight="1" x14ac:dyDescent="0.2">
      <c r="A139" s="24"/>
      <c r="B139" s="855" t="s">
        <v>493</v>
      </c>
      <c r="C139" s="856"/>
      <c r="D139" s="856"/>
      <c r="E139" s="856"/>
      <c r="F139" s="856"/>
      <c r="G139" s="856"/>
      <c r="H139" s="856"/>
      <c r="I139" s="856"/>
      <c r="J139" s="857"/>
      <c r="L139" s="1"/>
      <c r="M139" s="431" t="s">
        <v>757</v>
      </c>
      <c r="N139" s="46" t="s">
        <v>30</v>
      </c>
      <c r="O139" s="1"/>
    </row>
    <row r="140" spans="1:15" ht="41.25" customHeight="1" x14ac:dyDescent="0.2">
      <c r="A140" s="24"/>
      <c r="B140" s="901" t="s">
        <v>494</v>
      </c>
      <c r="C140" s="902"/>
      <c r="D140" s="902"/>
      <c r="E140" s="902"/>
      <c r="F140" s="902"/>
      <c r="G140" s="902"/>
      <c r="H140" s="902"/>
      <c r="I140" s="902"/>
      <c r="J140" s="903"/>
      <c r="L140" s="1"/>
      <c r="M140" s="431" t="s">
        <v>757</v>
      </c>
      <c r="O140" s="1"/>
    </row>
    <row r="141" spans="1:15" ht="20.100000000000001" customHeight="1" x14ac:dyDescent="0.2">
      <c r="A141" s="24"/>
      <c r="B141" s="47"/>
      <c r="C141" s="47"/>
      <c r="D141" s="47"/>
      <c r="E141" s="47"/>
      <c r="F141" s="47"/>
      <c r="G141" s="47"/>
      <c r="H141" s="47"/>
      <c r="I141" s="64"/>
      <c r="J141" s="65"/>
      <c r="M141" s="431" t="s">
        <v>757</v>
      </c>
    </row>
    <row r="142" spans="1:15" ht="30" customHeight="1" x14ac:dyDescent="0.2">
      <c r="A142" s="24"/>
      <c r="B142" s="855" t="s">
        <v>673</v>
      </c>
      <c r="C142" s="856"/>
      <c r="D142" s="856"/>
      <c r="E142" s="856"/>
      <c r="F142" s="856"/>
      <c r="G142" s="856"/>
      <c r="H142" s="856"/>
      <c r="I142" s="856"/>
      <c r="J142" s="857"/>
      <c r="N142" s="46" t="s">
        <v>30</v>
      </c>
    </row>
    <row r="143" spans="1:15" ht="54.95" customHeight="1" x14ac:dyDescent="0.2">
      <c r="A143" s="24"/>
      <c r="B143" s="901" t="s">
        <v>803</v>
      </c>
      <c r="C143" s="902"/>
      <c r="D143" s="902"/>
      <c r="E143" s="902"/>
      <c r="F143" s="902"/>
      <c r="G143" s="902"/>
      <c r="H143" s="902"/>
      <c r="I143" s="902"/>
      <c r="J143" s="903"/>
      <c r="K143" s="18"/>
      <c r="L143" s="4"/>
      <c r="O143" s="4"/>
    </row>
    <row r="144" spans="1:15" ht="20.100000000000001" customHeight="1" x14ac:dyDescent="0.2">
      <c r="A144" s="24"/>
      <c r="B144" s="31"/>
      <c r="C144" s="31"/>
      <c r="D144" s="31"/>
      <c r="E144" s="31"/>
      <c r="F144" s="31"/>
      <c r="G144" s="31"/>
      <c r="H144" s="31"/>
      <c r="I144" s="32"/>
      <c r="J144" s="33"/>
      <c r="K144" s="272"/>
    </row>
    <row r="145" spans="1:15" ht="30" customHeight="1" x14ac:dyDescent="0.2">
      <c r="A145" s="24"/>
      <c r="B145" s="972" t="s">
        <v>804</v>
      </c>
      <c r="C145" s="973"/>
      <c r="D145" s="973"/>
      <c r="E145" s="973"/>
      <c r="F145" s="973"/>
      <c r="G145" s="973"/>
      <c r="H145" s="974"/>
      <c r="I145" s="34" t="s">
        <v>17</v>
      </c>
      <c r="J145" s="35" t="s">
        <v>18</v>
      </c>
      <c r="K145" s="194" t="s">
        <v>805</v>
      </c>
      <c r="L145" s="195">
        <v>34</v>
      </c>
      <c r="N145" s="46" t="s">
        <v>30</v>
      </c>
      <c r="O145" s="195">
        <v>34</v>
      </c>
    </row>
    <row r="146" spans="1:15" ht="30" customHeight="1" x14ac:dyDescent="0.2">
      <c r="A146" s="24"/>
      <c r="B146" s="1370" t="s">
        <v>806</v>
      </c>
      <c r="C146" s="1371"/>
      <c r="D146" s="1371"/>
      <c r="E146" s="1371"/>
      <c r="F146" s="1371"/>
      <c r="G146" s="1371"/>
      <c r="H146" s="1371"/>
      <c r="I146" s="1371"/>
      <c r="J146" s="1372"/>
      <c r="K146" s="194" t="s">
        <v>805</v>
      </c>
      <c r="L146" s="195">
        <v>34</v>
      </c>
      <c r="O146" s="195">
        <v>34</v>
      </c>
    </row>
    <row r="147" spans="1:15" s="24" customFormat="1" ht="90" customHeight="1" x14ac:dyDescent="0.2">
      <c r="B147" s="401"/>
      <c r="C147" s="1063" t="s">
        <v>807</v>
      </c>
      <c r="D147" s="1063"/>
      <c r="E147" s="1063"/>
      <c r="F147" s="1063"/>
      <c r="G147" s="1063"/>
      <c r="H147" s="1063"/>
      <c r="I147" s="74">
        <v>0</v>
      </c>
      <c r="J147" s="75">
        <v>1</v>
      </c>
      <c r="K147" s="194" t="s">
        <v>805</v>
      </c>
      <c r="L147" s="195">
        <v>34</v>
      </c>
      <c r="M147" s="23"/>
      <c r="O147" s="195">
        <v>34</v>
      </c>
    </row>
    <row r="148" spans="1:15" ht="20.100000000000001" customHeight="1" x14ac:dyDescent="0.2">
      <c r="A148" s="24"/>
      <c r="B148" s="31"/>
      <c r="C148" s="31"/>
      <c r="D148" s="31"/>
      <c r="E148" s="31"/>
      <c r="F148" s="31"/>
      <c r="G148" s="31"/>
      <c r="H148" s="31"/>
      <c r="I148" s="32"/>
      <c r="J148" s="33"/>
      <c r="K148" s="18"/>
      <c r="L148" s="4"/>
      <c r="O148" s="4"/>
    </row>
    <row r="149" spans="1:15" ht="30" customHeight="1" x14ac:dyDescent="0.2">
      <c r="A149" s="24"/>
      <c r="B149" s="1341" t="s">
        <v>737</v>
      </c>
      <c r="C149" s="1342"/>
      <c r="D149" s="1342"/>
      <c r="E149" s="1342"/>
      <c r="F149" s="1342"/>
      <c r="G149" s="1342"/>
      <c r="H149" s="1343"/>
      <c r="I149" s="34" t="s">
        <v>17</v>
      </c>
      <c r="J149" s="193" t="s">
        <v>18</v>
      </c>
      <c r="K149" s="194" t="s">
        <v>738</v>
      </c>
      <c r="L149" s="195">
        <v>31</v>
      </c>
      <c r="N149" s="46" t="s">
        <v>30</v>
      </c>
      <c r="O149" s="195">
        <v>31</v>
      </c>
    </row>
    <row r="150" spans="1:15" ht="64.5" customHeight="1" x14ac:dyDescent="0.2">
      <c r="A150" s="24"/>
      <c r="B150" s="1023" t="s">
        <v>808</v>
      </c>
      <c r="C150" s="1024"/>
      <c r="D150" s="1024"/>
      <c r="E150" s="1024"/>
      <c r="F150" s="1024"/>
      <c r="G150" s="1024"/>
      <c r="H150" s="1025"/>
      <c r="I150" s="116">
        <v>0</v>
      </c>
      <c r="J150" s="199">
        <v>1</v>
      </c>
      <c r="K150" s="194" t="s">
        <v>738</v>
      </c>
      <c r="L150" s="195">
        <v>31</v>
      </c>
      <c r="O150" s="195">
        <v>31</v>
      </c>
    </row>
    <row r="151" spans="1:15" ht="20.100000000000001" customHeight="1" x14ac:dyDescent="0.2">
      <c r="A151" s="24"/>
      <c r="B151" s="31"/>
      <c r="C151" s="31"/>
      <c r="D151" s="31"/>
      <c r="E151" s="31"/>
      <c r="F151" s="31"/>
      <c r="G151" s="31"/>
      <c r="H151" s="31"/>
      <c r="I151" s="32"/>
      <c r="J151" s="33"/>
      <c r="K151" s="272"/>
    </row>
    <row r="152" spans="1:15" ht="30" customHeight="1" x14ac:dyDescent="0.2">
      <c r="B152" s="855" t="s">
        <v>749</v>
      </c>
      <c r="C152" s="856"/>
      <c r="D152" s="856"/>
      <c r="E152" s="856"/>
      <c r="F152" s="856"/>
      <c r="G152" s="856"/>
      <c r="H152" s="856"/>
      <c r="I152" s="856"/>
      <c r="J152" s="857"/>
      <c r="N152" s="46" t="s">
        <v>30</v>
      </c>
    </row>
    <row r="153" spans="1:15" ht="20.100000000000001" customHeight="1" x14ac:dyDescent="0.2">
      <c r="B153" s="31"/>
      <c r="C153" s="31"/>
      <c r="D153" s="31"/>
      <c r="E153" s="31"/>
      <c r="F153" s="31"/>
      <c r="G153" s="31"/>
      <c r="H153" s="31"/>
      <c r="I153" s="32"/>
      <c r="J153" s="33"/>
      <c r="K153" s="272"/>
    </row>
    <row r="154" spans="1:15" ht="30" customHeight="1" x14ac:dyDescent="0.2">
      <c r="B154" s="904" t="s">
        <v>6</v>
      </c>
      <c r="C154" s="905"/>
      <c r="D154" s="905"/>
      <c r="E154" s="905"/>
      <c r="F154" s="905"/>
      <c r="G154" s="905"/>
      <c r="H154" s="905"/>
      <c r="I154" s="905"/>
      <c r="J154" s="906"/>
    </row>
    <row r="155" spans="1:15" ht="20.100000000000001" customHeight="1" x14ac:dyDescent="0.2">
      <c r="A155" s="24"/>
      <c r="B155" s="31"/>
      <c r="C155" s="31"/>
      <c r="D155" s="31"/>
      <c r="E155" s="31"/>
      <c r="F155" s="31"/>
      <c r="G155" s="31"/>
      <c r="H155" s="31"/>
      <c r="I155" s="32"/>
      <c r="J155" s="33"/>
      <c r="K155" s="272"/>
    </row>
    <row r="156" spans="1:15" ht="24.95" customHeight="1" x14ac:dyDescent="0.2">
      <c r="A156" s="24"/>
      <c r="B156" s="907" t="s">
        <v>523</v>
      </c>
      <c r="C156" s="908"/>
      <c r="D156" s="908"/>
      <c r="E156" s="907" t="s">
        <v>750</v>
      </c>
      <c r="F156" s="909"/>
      <c r="G156" s="47"/>
      <c r="H156" s="47"/>
      <c r="I156" s="284"/>
      <c r="J156" s="281"/>
    </row>
    <row r="157" spans="1:15" ht="24.95" customHeight="1" x14ac:dyDescent="0.2">
      <c r="A157" s="24"/>
      <c r="B157" s="912" t="s">
        <v>525</v>
      </c>
      <c r="C157" s="913"/>
      <c r="D157" s="913"/>
      <c r="E157" s="910"/>
      <c r="F157" s="911"/>
      <c r="G157" s="914"/>
      <c r="H157" s="914"/>
      <c r="I157" s="914"/>
      <c r="J157" s="914"/>
    </row>
    <row r="158" spans="1:15" ht="20.100000000000001" customHeight="1" x14ac:dyDescent="0.2">
      <c r="A158" s="24"/>
      <c r="B158" s="889" t="s">
        <v>925</v>
      </c>
      <c r="C158" s="890"/>
      <c r="D158" s="890"/>
      <c r="E158" s="1336">
        <v>39.566416428326903</v>
      </c>
      <c r="F158" s="1337"/>
      <c r="G158" s="279"/>
      <c r="H158" s="279"/>
      <c r="I158" s="893"/>
      <c r="J158" s="893"/>
      <c r="K158" s="280" t="s">
        <v>526</v>
      </c>
    </row>
    <row r="159" spans="1:15" ht="20.100000000000001" customHeight="1" x14ac:dyDescent="0.2">
      <c r="A159" s="24"/>
      <c r="B159" s="889" t="s">
        <v>926</v>
      </c>
      <c r="C159" s="890"/>
      <c r="D159" s="890"/>
      <c r="E159" s="1336">
        <v>77.847231674268357</v>
      </c>
      <c r="F159" s="1337"/>
      <c r="G159" s="279"/>
      <c r="H159" s="279"/>
      <c r="I159" s="893"/>
      <c r="J159" s="893"/>
      <c r="K159" s="280" t="s">
        <v>526</v>
      </c>
    </row>
    <row r="160" spans="1:15" ht="20.100000000000001" customHeight="1" x14ac:dyDescent="0.2">
      <c r="A160" s="24"/>
      <c r="B160" s="889" t="s">
        <v>927</v>
      </c>
      <c r="C160" s="890"/>
      <c r="D160" s="890"/>
      <c r="E160" s="1336">
        <v>116.72745164975129</v>
      </c>
      <c r="F160" s="1337"/>
      <c r="G160" s="279"/>
      <c r="H160" s="279"/>
      <c r="I160" s="893"/>
      <c r="J160" s="893"/>
      <c r="K160" s="280" t="s">
        <v>526</v>
      </c>
    </row>
    <row r="161" spans="1:14" ht="20.100000000000001" customHeight="1" x14ac:dyDescent="0.2">
      <c r="A161" s="24"/>
      <c r="B161" s="889" t="s">
        <v>928</v>
      </c>
      <c r="C161" s="890"/>
      <c r="D161" s="890"/>
      <c r="E161" s="1336">
        <v>155.64486807807816</v>
      </c>
      <c r="F161" s="1337"/>
      <c r="G161" s="279"/>
      <c r="H161" s="279"/>
      <c r="I161" s="893"/>
      <c r="J161" s="893"/>
      <c r="K161" s="280" t="s">
        <v>526</v>
      </c>
    </row>
    <row r="162" spans="1:14" ht="20.100000000000001" customHeight="1" x14ac:dyDescent="0.2">
      <c r="A162" s="24"/>
      <c r="B162" s="889" t="s">
        <v>929</v>
      </c>
      <c r="C162" s="890"/>
      <c r="D162" s="890"/>
      <c r="E162" s="1336">
        <v>155.64486807807816</v>
      </c>
      <c r="F162" s="1337"/>
      <c r="G162" s="279"/>
      <c r="H162" s="279"/>
      <c r="I162" s="893"/>
      <c r="J162" s="893"/>
      <c r="K162" s="280" t="s">
        <v>526</v>
      </c>
    </row>
    <row r="163" spans="1:14" ht="20.100000000000001" customHeight="1" x14ac:dyDescent="0.2">
      <c r="A163" s="24"/>
      <c r="B163" s="894" t="s">
        <v>930</v>
      </c>
      <c r="C163" s="895"/>
      <c r="D163" s="896"/>
      <c r="E163" s="1334">
        <v>155.64486807807816</v>
      </c>
      <c r="F163" s="1335"/>
      <c r="G163" s="279"/>
      <c r="H163" s="279"/>
      <c r="I163" s="279"/>
      <c r="J163" s="281"/>
      <c r="K163" s="280" t="s">
        <v>526</v>
      </c>
    </row>
    <row r="164" spans="1:14" ht="20.100000000000001" customHeight="1" x14ac:dyDescent="0.2">
      <c r="A164" s="24"/>
      <c r="B164" s="47"/>
      <c r="C164" s="47"/>
      <c r="D164" s="47"/>
      <c r="E164" s="282"/>
      <c r="F164" s="282"/>
      <c r="G164" s="283"/>
      <c r="H164" s="283"/>
      <c r="I164" s="284"/>
      <c r="J164" s="281"/>
    </row>
    <row r="165" spans="1:14" ht="30" customHeight="1" x14ac:dyDescent="0.2">
      <c r="A165" s="24"/>
      <c r="B165" s="855" t="s">
        <v>527</v>
      </c>
      <c r="C165" s="856"/>
      <c r="D165" s="856"/>
      <c r="E165" s="856"/>
      <c r="F165" s="856"/>
      <c r="G165" s="856"/>
      <c r="H165" s="856"/>
      <c r="I165" s="856"/>
      <c r="J165" s="857"/>
      <c r="N165" s="46" t="s">
        <v>30</v>
      </c>
    </row>
    <row r="166" spans="1:14" ht="20.100000000000001" customHeight="1" x14ac:dyDescent="0.2">
      <c r="A166" s="24"/>
      <c r="K166" s="402"/>
      <c r="M166" s="415"/>
    </row>
    <row r="167" spans="1:14" ht="24.95" customHeight="1" x14ac:dyDescent="0.2">
      <c r="A167" s="24"/>
      <c r="B167" s="882" t="s">
        <v>529</v>
      </c>
      <c r="C167" s="883"/>
      <c r="D167" s="884"/>
      <c r="E167" s="881" t="s">
        <v>530</v>
      </c>
      <c r="F167" s="881"/>
      <c r="G167" s="285" t="s">
        <v>531</v>
      </c>
      <c r="H167" s="882" t="s">
        <v>532</v>
      </c>
      <c r="I167" s="883"/>
      <c r="J167" s="884"/>
    </row>
    <row r="168" spans="1:14" ht="24.95" customHeight="1" x14ac:dyDescent="0.2">
      <c r="A168" s="24"/>
      <c r="B168" s="286" t="s">
        <v>533</v>
      </c>
      <c r="C168" s="287">
        <v>0.75</v>
      </c>
      <c r="D168" s="288"/>
      <c r="E168" s="885" t="s">
        <v>534</v>
      </c>
      <c r="F168" s="885"/>
      <c r="G168" s="289" t="s">
        <v>534</v>
      </c>
      <c r="H168" s="886" t="s">
        <v>534</v>
      </c>
      <c r="I168" s="887"/>
      <c r="J168" s="888"/>
    </row>
    <row r="169" spans="1:14" ht="24.95" customHeight="1" x14ac:dyDescent="0.2">
      <c r="A169" s="24"/>
      <c r="B169" s="290">
        <v>0.75</v>
      </c>
      <c r="C169" s="291" t="s">
        <v>535</v>
      </c>
      <c r="D169" s="288"/>
      <c r="E169" s="878" t="s">
        <v>536</v>
      </c>
      <c r="F169" s="878"/>
      <c r="G169" s="289" t="s">
        <v>534</v>
      </c>
      <c r="H169" s="292" t="s">
        <v>537</v>
      </c>
      <c r="I169" s="293">
        <v>0.75</v>
      </c>
      <c r="J169" s="294"/>
    </row>
    <row r="170" spans="1:14" ht="24.95" customHeight="1" x14ac:dyDescent="0.2">
      <c r="A170" s="24"/>
      <c r="B170" s="1511" t="s">
        <v>538</v>
      </c>
      <c r="C170" s="1512"/>
      <c r="D170" s="1513"/>
      <c r="E170" s="878" t="s">
        <v>536</v>
      </c>
      <c r="F170" s="878"/>
      <c r="G170" s="289" t="s">
        <v>539</v>
      </c>
      <c r="H170" s="292" t="s">
        <v>540</v>
      </c>
      <c r="I170" s="293">
        <v>0.75</v>
      </c>
      <c r="J170" s="295" t="s">
        <v>541</v>
      </c>
    </row>
    <row r="171" spans="1:14" ht="24.95" customHeight="1" x14ac:dyDescent="0.2">
      <c r="A171" s="24"/>
      <c r="B171" s="1511" t="s">
        <v>542</v>
      </c>
      <c r="C171" s="1512"/>
      <c r="D171" s="1513"/>
      <c r="E171" s="878" t="s">
        <v>536</v>
      </c>
      <c r="F171" s="878"/>
      <c r="G171" s="289" t="s">
        <v>543</v>
      </c>
      <c r="H171" s="292" t="s">
        <v>540</v>
      </c>
      <c r="I171" s="293">
        <v>0.75</v>
      </c>
      <c r="J171" s="295" t="s">
        <v>544</v>
      </c>
    </row>
    <row r="172" spans="1:14" ht="20.100000000000001" customHeight="1" x14ac:dyDescent="0.2">
      <c r="A172" s="24"/>
      <c r="B172" s="296"/>
      <c r="C172" s="296"/>
      <c r="D172" s="296"/>
      <c r="E172" s="143"/>
      <c r="F172" s="143"/>
      <c r="G172" s="143"/>
      <c r="H172" s="143"/>
      <c r="I172" s="297"/>
      <c r="J172" s="114"/>
      <c r="N172" s="46" t="s">
        <v>30</v>
      </c>
    </row>
    <row r="173" spans="1:14" ht="135" customHeight="1" x14ac:dyDescent="0.2">
      <c r="A173" s="24"/>
      <c r="B173" s="875" t="s">
        <v>751</v>
      </c>
      <c r="C173" s="876"/>
      <c r="D173" s="876"/>
      <c r="E173" s="876"/>
      <c r="F173" s="876"/>
      <c r="G173" s="876"/>
      <c r="H173" s="876"/>
      <c r="I173" s="876"/>
      <c r="J173" s="877"/>
    </row>
    <row r="174" spans="1:14" ht="35.1" customHeight="1" x14ac:dyDescent="0.2">
      <c r="A174" s="24"/>
      <c r="B174" s="456" t="s">
        <v>546</v>
      </c>
      <c r="C174" s="47"/>
      <c r="D174" s="47"/>
      <c r="E174" s="21"/>
      <c r="F174" s="21"/>
      <c r="G174" s="21"/>
      <c r="H174" s="21"/>
      <c r="I174" s="284"/>
      <c r="J174" s="309"/>
      <c r="N174" s="46" t="s">
        <v>30</v>
      </c>
    </row>
    <row r="175" spans="1:14" ht="50.1" customHeight="1" x14ac:dyDescent="0.2">
      <c r="A175" s="24"/>
      <c r="B175" s="303"/>
      <c r="C175" s="304"/>
      <c r="D175" s="161"/>
      <c r="E175" s="305" t="s">
        <v>547</v>
      </c>
      <c r="F175" s="306" t="s">
        <v>548</v>
      </c>
      <c r="G175" s="307"/>
      <c r="H175" s="308"/>
      <c r="I175" s="284"/>
      <c r="J175" s="309"/>
    </row>
    <row r="176" spans="1:14" ht="110.1" customHeight="1" x14ac:dyDescent="0.2">
      <c r="A176" s="24"/>
      <c r="B176" s="130"/>
      <c r="C176" s="131"/>
      <c r="D176" s="870" t="s">
        <v>549</v>
      </c>
      <c r="E176" s="870"/>
      <c r="F176" s="870"/>
      <c r="G176" s="870"/>
      <c r="H176" s="870"/>
      <c r="I176" s="870"/>
      <c r="J176" s="871"/>
    </row>
    <row r="177" spans="1:14" ht="20.100000000000001" customHeight="1" x14ac:dyDescent="0.2">
      <c r="A177" s="24"/>
    </row>
    <row r="178" spans="1:14" ht="30" customHeight="1" x14ac:dyDescent="0.2">
      <c r="A178" s="24"/>
      <c r="B178" s="855" t="s">
        <v>752</v>
      </c>
      <c r="C178" s="856"/>
      <c r="D178" s="856"/>
      <c r="E178" s="856"/>
      <c r="F178" s="856"/>
      <c r="G178" s="856"/>
      <c r="H178" s="856"/>
      <c r="I178" s="856"/>
      <c r="J178" s="857"/>
      <c r="N178" s="46" t="s">
        <v>30</v>
      </c>
    </row>
    <row r="179" spans="1:14" ht="12" customHeight="1" x14ac:dyDescent="0.2">
      <c r="A179" s="24"/>
      <c r="B179" s="314"/>
      <c r="C179" s="314"/>
      <c r="D179" s="314"/>
      <c r="E179" s="314"/>
      <c r="F179" s="314"/>
      <c r="G179" s="314"/>
      <c r="H179" s="314"/>
      <c r="I179" s="315"/>
      <c r="J179" s="316"/>
    </row>
    <row r="180" spans="1:14" ht="24.95" customHeight="1" x14ac:dyDescent="0.2">
      <c r="A180" s="24"/>
      <c r="B180" s="422" t="s">
        <v>753</v>
      </c>
      <c r="C180" s="423"/>
      <c r="D180" s="424"/>
      <c r="E180" s="424"/>
      <c r="F180" s="424"/>
      <c r="G180" s="424"/>
      <c r="H180" s="424"/>
      <c r="I180" s="425"/>
      <c r="J180" s="457"/>
    </row>
    <row r="181" spans="1:14" ht="12" customHeight="1" x14ac:dyDescent="0.2">
      <c r="A181" s="24"/>
      <c r="B181" s="427"/>
      <c r="C181" s="47"/>
      <c r="D181" s="47"/>
      <c r="E181" s="47"/>
      <c r="F181" s="47"/>
      <c r="G181" s="47"/>
      <c r="H181" s="47"/>
      <c r="I181" s="284"/>
      <c r="J181" s="281"/>
    </row>
    <row r="182" spans="1:14" ht="30" customHeight="1" x14ac:dyDescent="0.2">
      <c r="A182" s="24"/>
      <c r="B182" s="855" t="s">
        <v>754</v>
      </c>
      <c r="C182" s="856"/>
      <c r="D182" s="856"/>
      <c r="E182" s="856"/>
      <c r="F182" s="856"/>
      <c r="G182" s="856"/>
      <c r="H182" s="856"/>
      <c r="I182" s="856"/>
      <c r="J182" s="857"/>
      <c r="N182" s="46" t="s">
        <v>30</v>
      </c>
    </row>
    <row r="183" spans="1:14" ht="12" customHeight="1" x14ac:dyDescent="0.2">
      <c r="A183" s="24"/>
      <c r="B183" s="314"/>
      <c r="C183" s="314"/>
      <c r="D183" s="314"/>
      <c r="E183" s="314"/>
      <c r="F183" s="314"/>
      <c r="G183" s="314"/>
      <c r="H183" s="314"/>
      <c r="I183" s="314"/>
      <c r="J183" s="316"/>
    </row>
    <row r="184" spans="1:14" ht="24.95" customHeight="1" x14ac:dyDescent="0.2">
      <c r="A184" s="24"/>
      <c r="B184" s="864" t="s">
        <v>559</v>
      </c>
      <c r="C184" s="865"/>
      <c r="D184" s="865"/>
      <c r="E184" s="865"/>
      <c r="F184" s="865"/>
      <c r="G184" s="865"/>
      <c r="H184" s="865"/>
      <c r="I184" s="865"/>
      <c r="J184" s="866"/>
    </row>
    <row r="185" spans="1:14" ht="12" customHeight="1" x14ac:dyDescent="0.2">
      <c r="A185" s="24"/>
      <c r="B185" s="47"/>
      <c r="C185" s="47"/>
      <c r="D185" s="47"/>
      <c r="E185" s="47"/>
      <c r="F185" s="47"/>
      <c r="G185" s="47"/>
      <c r="H185" s="47"/>
      <c r="I185" s="284"/>
      <c r="J185" s="281"/>
    </row>
    <row r="186" spans="1:14" ht="84.95" customHeight="1" x14ac:dyDescent="0.2">
      <c r="A186" s="24"/>
      <c r="B186" s="867" t="s">
        <v>560</v>
      </c>
      <c r="C186" s="868"/>
      <c r="D186" s="868"/>
      <c r="E186" s="868"/>
      <c r="F186" s="868"/>
      <c r="G186" s="868"/>
      <c r="H186" s="868"/>
      <c r="I186" s="868"/>
      <c r="J186" s="869"/>
    </row>
  </sheetData>
  <mergeCells count="233">
    <mergeCell ref="B1:J1"/>
    <mergeCell ref="B2:J2"/>
    <mergeCell ref="B3:D3"/>
    <mergeCell ref="E3:J3"/>
    <mergeCell ref="B4:D4"/>
    <mergeCell ref="E4:J4"/>
    <mergeCell ref="B9:J9"/>
    <mergeCell ref="B10:J10"/>
    <mergeCell ref="B12:J12"/>
    <mergeCell ref="I14:J14"/>
    <mergeCell ref="B16:J16"/>
    <mergeCell ref="B18:H18"/>
    <mergeCell ref="B5:D5"/>
    <mergeCell ref="E5:F5"/>
    <mergeCell ref="H5:I5"/>
    <mergeCell ref="B6:D6"/>
    <mergeCell ref="E6:F6"/>
    <mergeCell ref="B7:J7"/>
    <mergeCell ref="C22:D22"/>
    <mergeCell ref="C23:H23"/>
    <mergeCell ref="C24:H24"/>
    <mergeCell ref="C25:H25"/>
    <mergeCell ref="C26:D26"/>
    <mergeCell ref="C27:H27"/>
    <mergeCell ref="B19:J19"/>
    <mergeCell ref="B20:B25"/>
    <mergeCell ref="C20:D20"/>
    <mergeCell ref="E20:F20"/>
    <mergeCell ref="G20:H20"/>
    <mergeCell ref="I20:I25"/>
    <mergeCell ref="J20:J25"/>
    <mergeCell ref="C21:D21"/>
    <mergeCell ref="E21:F21"/>
    <mergeCell ref="G21:H21"/>
    <mergeCell ref="C37:H37"/>
    <mergeCell ref="B39:H39"/>
    <mergeCell ref="B40:J40"/>
    <mergeCell ref="B41:B42"/>
    <mergeCell ref="C41:D41"/>
    <mergeCell ref="I41:I42"/>
    <mergeCell ref="J41:J42"/>
    <mergeCell ref="C42:H42"/>
    <mergeCell ref="B29:H29"/>
    <mergeCell ref="C30:H30"/>
    <mergeCell ref="B32:H32"/>
    <mergeCell ref="C33:H33"/>
    <mergeCell ref="B35:H35"/>
    <mergeCell ref="B36:J36"/>
    <mergeCell ref="C49:D49"/>
    <mergeCell ref="E49:F49"/>
    <mergeCell ref="C50:H50"/>
    <mergeCell ref="C51:H51"/>
    <mergeCell ref="C52:H52"/>
    <mergeCell ref="C53:D53"/>
    <mergeCell ref="C43:D43"/>
    <mergeCell ref="C44:H44"/>
    <mergeCell ref="B46:H46"/>
    <mergeCell ref="B47:J47"/>
    <mergeCell ref="B48:B52"/>
    <mergeCell ref="C48:D48"/>
    <mergeCell ref="E48:F48"/>
    <mergeCell ref="G48:H48"/>
    <mergeCell ref="I48:I52"/>
    <mergeCell ref="J48:J52"/>
    <mergeCell ref="C54:H54"/>
    <mergeCell ref="B56:H56"/>
    <mergeCell ref="B57:J57"/>
    <mergeCell ref="B58:B60"/>
    <mergeCell ref="C58:D58"/>
    <mergeCell ref="E58:F58"/>
    <mergeCell ref="G58:H58"/>
    <mergeCell ref="I58:I60"/>
    <mergeCell ref="J58:J60"/>
    <mergeCell ref="C59:D59"/>
    <mergeCell ref="C65:D65"/>
    <mergeCell ref="C66:H66"/>
    <mergeCell ref="C67:D67"/>
    <mergeCell ref="C68:H68"/>
    <mergeCell ref="B70:H70"/>
    <mergeCell ref="B71:J71"/>
    <mergeCell ref="C60:H60"/>
    <mergeCell ref="C61:D61"/>
    <mergeCell ref="C62:H62"/>
    <mergeCell ref="B63:J63"/>
    <mergeCell ref="B64:B66"/>
    <mergeCell ref="C64:D64"/>
    <mergeCell ref="E64:F64"/>
    <mergeCell ref="G64:H64"/>
    <mergeCell ref="I64:I66"/>
    <mergeCell ref="J64:J66"/>
    <mergeCell ref="B72:J72"/>
    <mergeCell ref="B73:B74"/>
    <mergeCell ref="C73:D73"/>
    <mergeCell ref="E73:F73"/>
    <mergeCell ref="G73:H73"/>
    <mergeCell ref="I73:I74"/>
    <mergeCell ref="J73:J74"/>
    <mergeCell ref="C74:D74"/>
    <mergeCell ref="E74:F74"/>
    <mergeCell ref="G74:H74"/>
    <mergeCell ref="C80:H80"/>
    <mergeCell ref="B82:H82"/>
    <mergeCell ref="C83:H83"/>
    <mergeCell ref="C84:D84"/>
    <mergeCell ref="E84:F84"/>
    <mergeCell ref="G84:H84"/>
    <mergeCell ref="C75:D75"/>
    <mergeCell ref="E75:F75"/>
    <mergeCell ref="G75:H75"/>
    <mergeCell ref="B77:H77"/>
    <mergeCell ref="B78:J78"/>
    <mergeCell ref="B79:J79"/>
    <mergeCell ref="B89:H89"/>
    <mergeCell ref="C90:H90"/>
    <mergeCell ref="C91:H91"/>
    <mergeCell ref="B93:H93"/>
    <mergeCell ref="B94:J94"/>
    <mergeCell ref="B95:J95"/>
    <mergeCell ref="B85:B86"/>
    <mergeCell ref="C85:H85"/>
    <mergeCell ref="C86:D86"/>
    <mergeCell ref="E86:F86"/>
    <mergeCell ref="G86:H86"/>
    <mergeCell ref="B87:J87"/>
    <mergeCell ref="B102:J102"/>
    <mergeCell ref="C103:H103"/>
    <mergeCell ref="C104:H104"/>
    <mergeCell ref="B106:H106"/>
    <mergeCell ref="B107:J107"/>
    <mergeCell ref="B108:B109"/>
    <mergeCell ref="C108:J108"/>
    <mergeCell ref="C109:H109"/>
    <mergeCell ref="C96:H96"/>
    <mergeCell ref="C97:H97"/>
    <mergeCell ref="B98:J98"/>
    <mergeCell ref="C99:H99"/>
    <mergeCell ref="C100:H100"/>
    <mergeCell ref="B101:H101"/>
    <mergeCell ref="B113:B114"/>
    <mergeCell ref="C113:D113"/>
    <mergeCell ref="E113:F113"/>
    <mergeCell ref="G113:H113"/>
    <mergeCell ref="I113:I114"/>
    <mergeCell ref="J113:J114"/>
    <mergeCell ref="C114:H114"/>
    <mergeCell ref="B110:B111"/>
    <mergeCell ref="C110:J110"/>
    <mergeCell ref="C111:H111"/>
    <mergeCell ref="C112:D112"/>
    <mergeCell ref="E112:F112"/>
    <mergeCell ref="G112:H112"/>
    <mergeCell ref="C121:H121"/>
    <mergeCell ref="C122:H122"/>
    <mergeCell ref="B123:B124"/>
    <mergeCell ref="C123:J123"/>
    <mergeCell ref="C124:H124"/>
    <mergeCell ref="C125:H125"/>
    <mergeCell ref="B115:B116"/>
    <mergeCell ref="C115:J115"/>
    <mergeCell ref="C116:H116"/>
    <mergeCell ref="B117:B122"/>
    <mergeCell ref="C117:H117"/>
    <mergeCell ref="I117:I121"/>
    <mergeCell ref="J117:J121"/>
    <mergeCell ref="C118:H118"/>
    <mergeCell ref="C119:H119"/>
    <mergeCell ref="C120:H120"/>
    <mergeCell ref="B126:J126"/>
    <mergeCell ref="B128:H128"/>
    <mergeCell ref="B129:J129"/>
    <mergeCell ref="B130:B131"/>
    <mergeCell ref="C130:D130"/>
    <mergeCell ref="E130:F130"/>
    <mergeCell ref="G130:H130"/>
    <mergeCell ref="I130:I131"/>
    <mergeCell ref="J130:J131"/>
    <mergeCell ref="C131:D131"/>
    <mergeCell ref="B139:J139"/>
    <mergeCell ref="B140:J140"/>
    <mergeCell ref="B142:J142"/>
    <mergeCell ref="B143:J143"/>
    <mergeCell ref="B145:H145"/>
    <mergeCell ref="B146:J146"/>
    <mergeCell ref="E131:F131"/>
    <mergeCell ref="G131:H131"/>
    <mergeCell ref="B133:J133"/>
    <mergeCell ref="B134:J134"/>
    <mergeCell ref="B136:J136"/>
    <mergeCell ref="B137:J137"/>
    <mergeCell ref="C147:H147"/>
    <mergeCell ref="B149:H149"/>
    <mergeCell ref="B150:H150"/>
    <mergeCell ref="B152:J152"/>
    <mergeCell ref="B154:J154"/>
    <mergeCell ref="B156:D156"/>
    <mergeCell ref="E156:F157"/>
    <mergeCell ref="B157:D157"/>
    <mergeCell ref="G157:H157"/>
    <mergeCell ref="I157:J157"/>
    <mergeCell ref="B160:D160"/>
    <mergeCell ref="E160:F160"/>
    <mergeCell ref="I160:J160"/>
    <mergeCell ref="B161:D161"/>
    <mergeCell ref="E161:F161"/>
    <mergeCell ref="I161:J161"/>
    <mergeCell ref="B158:D158"/>
    <mergeCell ref="E158:F158"/>
    <mergeCell ref="I158:J158"/>
    <mergeCell ref="B159:D159"/>
    <mergeCell ref="E159:F159"/>
    <mergeCell ref="I159:J159"/>
    <mergeCell ref="B167:D167"/>
    <mergeCell ref="E167:F167"/>
    <mergeCell ref="H167:J167"/>
    <mergeCell ref="E168:F168"/>
    <mergeCell ref="H168:J168"/>
    <mergeCell ref="E169:F169"/>
    <mergeCell ref="B162:D162"/>
    <mergeCell ref="E162:F162"/>
    <mergeCell ref="I162:J162"/>
    <mergeCell ref="B163:D163"/>
    <mergeCell ref="E163:F163"/>
    <mergeCell ref="B165:J165"/>
    <mergeCell ref="B178:J178"/>
    <mergeCell ref="B182:J182"/>
    <mergeCell ref="B184:J184"/>
    <mergeCell ref="B186:J186"/>
    <mergeCell ref="B170:D170"/>
    <mergeCell ref="E170:F170"/>
    <mergeCell ref="B171:D171"/>
    <mergeCell ref="E171:F171"/>
    <mergeCell ref="B173:J173"/>
    <mergeCell ref="D176:J176"/>
  </mergeCells>
  <conditionalFormatting sqref="I14:J14 E5:F5 E3:J4 J5">
    <cfRule type="containsBlanks" dxfId="22" priority="2" stopIfTrue="1">
      <formula>LEN(TRIM(E3))=0</formula>
    </cfRule>
  </conditionalFormatting>
  <conditionalFormatting sqref="E158:E163">
    <cfRule type="containsBlanks" dxfId="21" priority="1" stopIfTrue="1">
      <formula>LEN(TRIM(E158))=0</formula>
    </cfRule>
  </conditionalFormatting>
  <dataValidations count="8">
    <dataValidation allowBlank="1" showInputMessage="1" showErrorMessage="1" prompt="Modificar titulos de acuerdo a condiciones" sqref="B2:J2"/>
    <dataValidation allowBlank="1" showInputMessage="1" showErrorMessage="1" prompt="Ingresar El tipo de  Plan: Hijastros, Padres, etc." sqref="B7:J7"/>
    <dataValidation allowBlank="1" showInputMessage="1" showErrorMessage="1" prompt="Ingresar Datos De FTPS" sqref="E3:E5 F5:J5"/>
    <dataValidation allowBlank="1" showInputMessage="1" showErrorMessage="1" prompt="Verificar BMA" sqref="I14:J14"/>
    <dataValidation allowBlank="1" showInputMessage="1" showErrorMessage="1" prompt="Verificar Aportes" sqref="E158:E163"/>
    <dataValidation errorStyle="warning" allowBlank="1" showInputMessage="1" showErrorMessage="1" errorTitle="Verificar Grupal o Etario" error="Verificar Grupal o Etario" prompt="Verificar Grupal o Etario" sqref="B158:B163"/>
    <dataValidation allowBlank="1" showInputMessage="1" showErrorMessage="1" prompt="Verificar tipo de Plan" sqref="B154:J154"/>
    <dataValidation allowBlank="1" showInputMessage="1" showErrorMessage="1" prompt="Verificar Siniestralidad objetivo" sqref="B168:J171"/>
  </dataValidations>
  <printOptions horizontalCentered="1"/>
  <pageMargins left="0.39370078740157483" right="0.39370078740157483" top="1.7716535433070868" bottom="0.98425196850393704" header="0" footer="0"/>
  <pageSetup paperSize="9" scale="75" fitToHeight="0" orientation="portrait" r:id="rId1"/>
  <headerFooter alignWithMargins="0">
    <oddFooter>Página &amp;P de &amp;N</oddFooter>
  </headerFooter>
  <rowBreaks count="7" manualBreakCount="7">
    <brk id="28" max="16383" man="1"/>
    <brk id="53" max="16383" man="1"/>
    <brk id="76" max="16383" man="1"/>
    <brk id="101" max="16383" man="1"/>
    <brk id="124" max="16383" man="1"/>
    <brk id="148" max="16383" man="1"/>
    <brk id="173"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9" tint="-0.249977111117893"/>
  </sheetPr>
  <dimension ref="A1:AE464"/>
  <sheetViews>
    <sheetView showGridLines="0" view="pageBreakPreview" topLeftCell="B1" zoomScale="90" zoomScaleNormal="82" zoomScaleSheetLayoutView="90" workbookViewId="0">
      <selection activeCell="B9" sqref="B9:J9"/>
    </sheetView>
  </sheetViews>
  <sheetFormatPr baseColWidth="10" defaultColWidth="11.42578125" defaultRowHeight="12.75" x14ac:dyDescent="0.2"/>
  <cols>
    <col min="1" max="1" width="16.7109375" style="18" hidden="1" customWidth="1"/>
    <col min="2" max="2" width="20.85546875" style="1" customWidth="1"/>
    <col min="3" max="3" width="13.140625" style="1" customWidth="1"/>
    <col min="4" max="7" width="14.42578125" style="1" customWidth="1"/>
    <col min="8" max="8" width="11.7109375" style="1" customWidth="1"/>
    <col min="9" max="9" width="11.7109375" style="11" customWidth="1"/>
    <col min="10" max="10" width="11.7109375" style="234" customWidth="1"/>
    <col min="11" max="11" width="19.42578125" style="18" hidden="1" customWidth="1"/>
    <col min="12" max="12" width="12.7109375" style="18" hidden="1" customWidth="1"/>
    <col min="13" max="13" width="9.42578125" style="18" hidden="1" customWidth="1"/>
    <col min="14" max="14" width="9.7109375" style="18" hidden="1" customWidth="1"/>
    <col min="15" max="15" width="10.5703125" style="18" hidden="1" customWidth="1"/>
    <col min="16" max="16" width="17.140625" style="18" hidden="1" customWidth="1"/>
    <col min="17" max="17" width="11.5703125" style="18" customWidth="1"/>
    <col min="18" max="18" width="11.42578125" style="18" customWidth="1"/>
    <col min="19" max="16384" width="11.42578125" style="18"/>
  </cols>
  <sheetData>
    <row r="1" spans="1:15" ht="18" x14ac:dyDescent="0.2">
      <c r="B1" s="1331" t="s">
        <v>809</v>
      </c>
      <c r="C1" s="1331"/>
      <c r="D1" s="1331"/>
      <c r="E1" s="1331"/>
      <c r="F1" s="1331"/>
      <c r="G1" s="1331"/>
      <c r="H1" s="1331"/>
      <c r="I1" s="1331"/>
      <c r="J1" s="1331"/>
    </row>
    <row r="2" spans="1:15" ht="18.75" customHeight="1" x14ac:dyDescent="0.2">
      <c r="B2" s="1331" t="s">
        <v>1</v>
      </c>
      <c r="C2" s="1331"/>
      <c r="D2" s="1331"/>
      <c r="E2" s="1331"/>
      <c r="F2" s="1331"/>
      <c r="G2" s="1331"/>
      <c r="H2" s="1331"/>
      <c r="I2" s="1331"/>
      <c r="J2" s="1331"/>
    </row>
    <row r="3" spans="1:15" ht="20.100000000000001" customHeight="1" x14ac:dyDescent="0.2">
      <c r="B3" s="458"/>
      <c r="C3" s="458"/>
      <c r="D3" s="458"/>
      <c r="E3" s="458"/>
      <c r="F3" s="458"/>
      <c r="G3" s="458"/>
      <c r="H3" s="458"/>
      <c r="I3" s="458"/>
      <c r="J3" s="459"/>
    </row>
    <row r="4" spans="1:15" ht="20.100000000000001" customHeight="1" x14ac:dyDescent="0.2">
      <c r="B4" s="1332"/>
      <c r="C4" s="1332"/>
      <c r="D4" s="1332"/>
      <c r="E4" s="1332"/>
      <c r="F4" s="1332"/>
      <c r="G4" s="1332"/>
      <c r="H4" s="1332"/>
      <c r="I4" s="1332"/>
      <c r="J4" s="1332"/>
      <c r="K4" s="460"/>
      <c r="L4" s="460"/>
      <c r="M4" s="460"/>
      <c r="N4" s="460"/>
      <c r="O4" s="460"/>
    </row>
    <row r="5" spans="1:15" ht="18.75" customHeight="1" x14ac:dyDescent="0.2">
      <c r="B5" s="1325" t="s">
        <v>2</v>
      </c>
      <c r="C5" s="1325"/>
      <c r="D5" s="1325"/>
      <c r="E5" s="1327" t="s">
        <v>922</v>
      </c>
      <c r="F5" s="1327"/>
      <c r="G5" s="1327"/>
      <c r="H5" s="1327"/>
      <c r="I5" s="1327"/>
      <c r="J5" s="1327"/>
      <c r="K5" s="460"/>
      <c r="L5" s="460"/>
      <c r="M5" s="460"/>
      <c r="N5" s="460"/>
      <c r="O5" s="460"/>
    </row>
    <row r="6" spans="1:15" ht="30.75" customHeight="1" x14ac:dyDescent="0.2">
      <c r="B6" s="1325" t="s">
        <v>3</v>
      </c>
      <c r="C6" s="1325"/>
      <c r="D6" s="1325"/>
      <c r="E6" s="1333" t="s">
        <v>923</v>
      </c>
      <c r="F6" s="1327"/>
      <c r="G6" s="1327"/>
      <c r="H6" s="1327"/>
      <c r="I6" s="1327"/>
      <c r="J6" s="1327"/>
    </row>
    <row r="7" spans="1:15" ht="18.75" customHeight="1" x14ac:dyDescent="0.2">
      <c r="B7" s="1325" t="s">
        <v>4</v>
      </c>
      <c r="C7" s="1325"/>
      <c r="D7" s="1325"/>
      <c r="E7" s="1326">
        <v>43922</v>
      </c>
      <c r="F7" s="1327"/>
      <c r="G7" s="8"/>
      <c r="H7" s="1328" t="s">
        <v>5</v>
      </c>
      <c r="I7" s="1328"/>
      <c r="J7" s="9">
        <v>231002</v>
      </c>
    </row>
    <row r="8" spans="1:15" ht="20.100000000000001" customHeight="1" x14ac:dyDescent="0.2">
      <c r="B8" s="1325"/>
      <c r="C8" s="1325"/>
      <c r="D8" s="1325"/>
      <c r="E8" s="1329"/>
      <c r="F8" s="1329"/>
      <c r="G8" s="10"/>
      <c r="J8" s="9"/>
    </row>
    <row r="9" spans="1:15" ht="14.25" customHeight="1" x14ac:dyDescent="0.2">
      <c r="B9" s="1330" t="s">
        <v>810</v>
      </c>
      <c r="C9" s="1330"/>
      <c r="D9" s="1330"/>
      <c r="E9" s="1330"/>
      <c r="F9" s="1330"/>
      <c r="G9" s="1330"/>
      <c r="H9" s="1330"/>
      <c r="I9" s="1330"/>
      <c r="J9" s="1330"/>
    </row>
    <row r="10" spans="1:15" ht="20.100000000000001" customHeight="1" x14ac:dyDescent="0.2">
      <c r="B10" s="14"/>
      <c r="C10" s="14"/>
      <c r="D10" s="14"/>
      <c r="E10" s="14"/>
      <c r="F10" s="14"/>
      <c r="G10" s="14"/>
      <c r="H10" s="14"/>
      <c r="I10" s="14"/>
      <c r="J10" s="15"/>
    </row>
    <row r="11" spans="1:15" ht="30" customHeight="1" x14ac:dyDescent="0.2">
      <c r="B11" s="855" t="s">
        <v>7</v>
      </c>
      <c r="C11" s="856"/>
      <c r="D11" s="856"/>
      <c r="E11" s="856"/>
      <c r="F11" s="856"/>
      <c r="G11" s="856"/>
      <c r="H11" s="856"/>
      <c r="I11" s="856"/>
      <c r="J11" s="857"/>
    </row>
    <row r="12" spans="1:15" ht="50.1" customHeight="1" x14ac:dyDescent="0.2">
      <c r="A12" s="24"/>
      <c r="B12" s="1320" t="s">
        <v>811</v>
      </c>
      <c r="C12" s="1321"/>
      <c r="D12" s="1321"/>
      <c r="E12" s="1321"/>
      <c r="F12" s="1321"/>
      <c r="G12" s="1321"/>
      <c r="H12" s="1321"/>
      <c r="I12" s="1321"/>
      <c r="J12" s="1322"/>
    </row>
    <row r="13" spans="1:15" ht="20.100000000000001" customHeight="1" x14ac:dyDescent="0.2">
      <c r="A13" s="24"/>
      <c r="B13" s="16"/>
      <c r="C13" s="16"/>
      <c r="D13" s="16"/>
      <c r="E13" s="16"/>
      <c r="F13" s="16"/>
      <c r="G13" s="16"/>
      <c r="H13" s="16"/>
      <c r="I13" s="16"/>
      <c r="J13" s="17"/>
    </row>
    <row r="14" spans="1:15" ht="30" customHeight="1" x14ac:dyDescent="0.2">
      <c r="A14" s="24"/>
      <c r="B14" s="855" t="s">
        <v>812</v>
      </c>
      <c r="C14" s="856"/>
      <c r="D14" s="856"/>
      <c r="E14" s="856"/>
      <c r="F14" s="856"/>
      <c r="G14" s="856"/>
      <c r="H14" s="856"/>
      <c r="I14" s="856"/>
      <c r="J14" s="857"/>
    </row>
    <row r="15" spans="1:15" ht="45" customHeight="1" x14ac:dyDescent="0.2">
      <c r="A15" s="24"/>
      <c r="B15" s="1320" t="s">
        <v>813</v>
      </c>
      <c r="C15" s="1321"/>
      <c r="D15" s="1321"/>
      <c r="E15" s="1321"/>
      <c r="F15" s="1321"/>
      <c r="G15" s="1321"/>
      <c r="H15" s="1321"/>
      <c r="I15" s="1321"/>
      <c r="J15" s="1322"/>
    </row>
    <row r="16" spans="1:15" ht="20.100000000000001" customHeight="1" x14ac:dyDescent="0.2">
      <c r="A16" s="24"/>
      <c r="B16" s="16"/>
      <c r="C16" s="16"/>
      <c r="D16" s="16"/>
      <c r="E16" s="16"/>
      <c r="F16" s="16"/>
      <c r="G16" s="16"/>
      <c r="H16" s="16"/>
      <c r="I16" s="16"/>
      <c r="J16" s="17"/>
    </row>
    <row r="17" spans="1:16" ht="30" customHeight="1" x14ac:dyDescent="0.2">
      <c r="A17" s="24"/>
      <c r="B17" s="855" t="s">
        <v>11</v>
      </c>
      <c r="C17" s="856"/>
      <c r="D17" s="856"/>
      <c r="E17" s="856"/>
      <c r="F17" s="856"/>
      <c r="G17" s="856"/>
      <c r="H17" s="856"/>
      <c r="I17" s="856"/>
      <c r="J17" s="857"/>
    </row>
    <row r="18" spans="1:16" s="24" customFormat="1" ht="20.100000000000001" customHeight="1" x14ac:dyDescent="0.2">
      <c r="B18" s="19"/>
      <c r="C18" s="19"/>
      <c r="D18" s="19"/>
      <c r="E18" s="19"/>
      <c r="F18" s="19"/>
      <c r="G18" s="19"/>
      <c r="H18" s="19"/>
      <c r="I18" s="19"/>
      <c r="J18" s="20"/>
    </row>
    <row r="19" spans="1:16" ht="24.95" customHeight="1" x14ac:dyDescent="0.2">
      <c r="A19" s="24"/>
      <c r="B19" s="25" t="s">
        <v>12</v>
      </c>
      <c r="C19" s="26"/>
      <c r="D19" s="26"/>
      <c r="E19" s="26"/>
      <c r="F19" s="27"/>
      <c r="G19" s="26"/>
      <c r="H19" s="26"/>
      <c r="I19" s="1323" t="s">
        <v>13</v>
      </c>
      <c r="J19" s="1324"/>
    </row>
    <row r="20" spans="1:16" ht="24.95" customHeight="1" x14ac:dyDescent="0.2">
      <c r="A20" s="24"/>
      <c r="B20" s="25" t="s">
        <v>14</v>
      </c>
      <c r="C20" s="26"/>
      <c r="D20" s="26"/>
      <c r="E20" s="26"/>
      <c r="F20" s="27"/>
      <c r="G20" s="26"/>
      <c r="H20" s="26"/>
      <c r="I20" s="1315">
        <v>1500000</v>
      </c>
      <c r="J20" s="1316"/>
    </row>
    <row r="21" spans="1:16" ht="20.100000000000001" customHeight="1" x14ac:dyDescent="0.2">
      <c r="A21" s="24"/>
      <c r="B21" s="28"/>
      <c r="C21" s="28"/>
      <c r="D21" s="28"/>
      <c r="E21" s="28"/>
      <c r="F21" s="29"/>
      <c r="G21" s="28"/>
      <c r="H21" s="28"/>
      <c r="I21" s="28"/>
      <c r="J21" s="30"/>
    </row>
    <row r="22" spans="1:16" ht="30" customHeight="1" x14ac:dyDescent="0.2">
      <c r="A22" s="24"/>
      <c r="B22" s="855" t="s">
        <v>15</v>
      </c>
      <c r="C22" s="856"/>
      <c r="D22" s="856"/>
      <c r="E22" s="856"/>
      <c r="F22" s="856"/>
      <c r="G22" s="856"/>
      <c r="H22" s="856"/>
      <c r="I22" s="856"/>
      <c r="J22" s="857"/>
    </row>
    <row r="23" spans="1:16" ht="20.100000000000001" customHeight="1" x14ac:dyDescent="0.2">
      <c r="A23" s="24"/>
      <c r="B23" s="31"/>
      <c r="C23" s="31"/>
      <c r="D23" s="31"/>
      <c r="E23" s="31"/>
      <c r="F23" s="31"/>
      <c r="G23" s="31"/>
      <c r="H23" s="31"/>
      <c r="I23" s="32"/>
      <c r="J23" s="33"/>
    </row>
    <row r="24" spans="1:16" ht="30" customHeight="1" x14ac:dyDescent="0.2">
      <c r="A24" s="24"/>
      <c r="B24" s="904" t="s">
        <v>16</v>
      </c>
      <c r="C24" s="905"/>
      <c r="D24" s="905"/>
      <c r="E24" s="905"/>
      <c r="F24" s="905"/>
      <c r="G24" s="905"/>
      <c r="H24" s="906"/>
      <c r="I24" s="34" t="s">
        <v>17</v>
      </c>
      <c r="J24" s="35" t="s">
        <v>18</v>
      </c>
      <c r="K24" s="36" t="s">
        <v>19</v>
      </c>
      <c r="L24" s="37">
        <v>1</v>
      </c>
      <c r="M24" s="4"/>
      <c r="O24" s="37">
        <v>1</v>
      </c>
      <c r="P24" s="38" t="s">
        <v>20</v>
      </c>
    </row>
    <row r="25" spans="1:16" ht="39.950000000000003" customHeight="1" x14ac:dyDescent="0.2">
      <c r="A25" s="24"/>
      <c r="B25" s="1478" t="s">
        <v>21</v>
      </c>
      <c r="C25" s="1478"/>
      <c r="D25" s="1478"/>
      <c r="E25" s="1478"/>
      <c r="F25" s="1478"/>
      <c r="G25" s="1478"/>
      <c r="H25" s="1478"/>
      <c r="I25" s="1478"/>
      <c r="J25" s="1478"/>
      <c r="K25" s="272"/>
      <c r="M25" s="4"/>
      <c r="O25" s="37">
        <v>1</v>
      </c>
      <c r="P25" s="38" t="s">
        <v>20</v>
      </c>
    </row>
    <row r="26" spans="1:16" s="45" customFormat="1" ht="171.75" customHeight="1" x14ac:dyDescent="0.2">
      <c r="A26" s="39"/>
      <c r="B26" s="115" t="s">
        <v>188</v>
      </c>
      <c r="C26" s="1023" t="s">
        <v>814</v>
      </c>
      <c r="D26" s="1024"/>
      <c r="E26" s="1024"/>
      <c r="F26" s="1024"/>
      <c r="G26" s="1024"/>
      <c r="H26" s="1025"/>
      <c r="I26" s="116">
        <v>40</v>
      </c>
      <c r="J26" s="42">
        <v>1</v>
      </c>
      <c r="K26" s="43" t="s">
        <v>24</v>
      </c>
      <c r="L26" s="44" t="s">
        <v>25</v>
      </c>
      <c r="M26" s="4"/>
      <c r="N26" s="18"/>
      <c r="O26" s="37">
        <v>1</v>
      </c>
      <c r="P26" s="38" t="s">
        <v>20</v>
      </c>
    </row>
    <row r="27" spans="1:16" ht="39.950000000000003" customHeight="1" x14ac:dyDescent="0.2">
      <c r="A27" s="24"/>
      <c r="B27" s="1408" t="s">
        <v>26</v>
      </c>
      <c r="C27" s="1217" t="s">
        <v>27</v>
      </c>
      <c r="D27" s="1016"/>
      <c r="E27" s="1016" t="s">
        <v>28</v>
      </c>
      <c r="F27" s="1016"/>
      <c r="G27" s="1016" t="s">
        <v>29</v>
      </c>
      <c r="H27" s="1125"/>
      <c r="I27" s="1587">
        <v>35</v>
      </c>
      <c r="J27" s="1241">
        <v>0.9</v>
      </c>
      <c r="K27" s="43" t="s">
        <v>26</v>
      </c>
      <c r="L27" s="44" t="s">
        <v>25</v>
      </c>
      <c r="M27" s="4"/>
      <c r="N27" s="46" t="s">
        <v>30</v>
      </c>
      <c r="O27" s="37">
        <v>1</v>
      </c>
      <c r="P27" s="38" t="s">
        <v>20</v>
      </c>
    </row>
    <row r="28" spans="1:16" ht="30" customHeight="1" x14ac:dyDescent="0.2">
      <c r="A28" s="24"/>
      <c r="B28" s="1471"/>
      <c r="C28" s="1046" t="s">
        <v>31</v>
      </c>
      <c r="D28" s="1022"/>
      <c r="E28" s="1108" t="s">
        <v>32</v>
      </c>
      <c r="F28" s="1108"/>
      <c r="G28" s="1022" t="s">
        <v>33</v>
      </c>
      <c r="H28" s="1028"/>
      <c r="I28" s="1588"/>
      <c r="J28" s="1242"/>
      <c r="K28" s="43" t="s">
        <v>26</v>
      </c>
      <c r="L28" s="44" t="s">
        <v>25</v>
      </c>
      <c r="M28" s="4"/>
      <c r="O28" s="37">
        <v>1</v>
      </c>
      <c r="P28" s="38" t="s">
        <v>20</v>
      </c>
    </row>
    <row r="29" spans="1:16" ht="30" customHeight="1" x14ac:dyDescent="0.2">
      <c r="A29" s="24"/>
      <c r="B29" s="1471"/>
      <c r="C29" s="1218" t="s">
        <v>34</v>
      </c>
      <c r="D29" s="1180"/>
      <c r="E29" s="1108" t="s">
        <v>35</v>
      </c>
      <c r="F29" s="1108"/>
      <c r="G29" s="1180" t="s">
        <v>36</v>
      </c>
      <c r="H29" s="1227"/>
      <c r="I29" s="1588"/>
      <c r="J29" s="1242"/>
      <c r="K29" s="43" t="s">
        <v>26</v>
      </c>
      <c r="L29" s="44" t="s">
        <v>25</v>
      </c>
      <c r="M29" s="4"/>
      <c r="O29" s="37">
        <v>1</v>
      </c>
      <c r="P29" s="38" t="s">
        <v>20</v>
      </c>
    </row>
    <row r="30" spans="1:16" ht="30" customHeight="1" x14ac:dyDescent="0.2">
      <c r="A30" s="24"/>
      <c r="B30" s="1409"/>
      <c r="C30" s="1181" t="s">
        <v>37</v>
      </c>
      <c r="D30" s="1182"/>
      <c r="E30" s="1177" t="s">
        <v>38</v>
      </c>
      <c r="F30" s="1177"/>
      <c r="G30" s="1177" t="s">
        <v>39</v>
      </c>
      <c r="H30" s="1178"/>
      <c r="I30" s="1589"/>
      <c r="J30" s="1243"/>
      <c r="K30" s="43" t="s">
        <v>26</v>
      </c>
      <c r="L30" s="44" t="s">
        <v>25</v>
      </c>
      <c r="M30" s="4"/>
      <c r="O30" s="37">
        <v>1</v>
      </c>
      <c r="P30" s="38" t="s">
        <v>20</v>
      </c>
    </row>
    <row r="31" spans="1:16" ht="30" customHeight="1" x14ac:dyDescent="0.2">
      <c r="A31" s="24"/>
      <c r="B31" s="1309" t="s">
        <v>40</v>
      </c>
      <c r="C31" s="1014" t="s">
        <v>41</v>
      </c>
      <c r="D31" s="1015"/>
      <c r="E31" s="1188" t="s">
        <v>42</v>
      </c>
      <c r="F31" s="1188"/>
      <c r="G31" s="1016" t="s">
        <v>43</v>
      </c>
      <c r="H31" s="1125"/>
      <c r="I31" s="1312">
        <v>35</v>
      </c>
      <c r="J31" s="1241">
        <v>0.9</v>
      </c>
      <c r="K31" s="43" t="s">
        <v>40</v>
      </c>
      <c r="L31" s="44" t="s">
        <v>25</v>
      </c>
      <c r="M31" s="4"/>
      <c r="N31" s="46" t="s">
        <v>30</v>
      </c>
      <c r="O31" s="37">
        <v>1</v>
      </c>
      <c r="P31" s="38" t="s">
        <v>20</v>
      </c>
    </row>
    <row r="32" spans="1:16" ht="39.950000000000003" customHeight="1" x14ac:dyDescent="0.2">
      <c r="A32" s="24"/>
      <c r="B32" s="1310"/>
      <c r="C32" s="1211" t="s">
        <v>44</v>
      </c>
      <c r="D32" s="1190"/>
      <c r="E32" s="1190" t="s">
        <v>45</v>
      </c>
      <c r="F32" s="1190"/>
      <c r="G32" s="1190" t="s">
        <v>46</v>
      </c>
      <c r="H32" s="1212"/>
      <c r="I32" s="1313"/>
      <c r="J32" s="1242"/>
      <c r="K32" s="43" t="s">
        <v>40</v>
      </c>
      <c r="L32" s="44" t="s">
        <v>25</v>
      </c>
      <c r="M32" s="4"/>
      <c r="O32" s="37">
        <v>1</v>
      </c>
      <c r="P32" s="38" t="s">
        <v>20</v>
      </c>
    </row>
    <row r="33" spans="1:16" ht="39.950000000000003" customHeight="1" x14ac:dyDescent="0.2">
      <c r="A33" s="24"/>
      <c r="B33" s="1310"/>
      <c r="C33" s="1046" t="s">
        <v>47</v>
      </c>
      <c r="D33" s="1022"/>
      <c r="E33" s="1190" t="s">
        <v>48</v>
      </c>
      <c r="F33" s="1190"/>
      <c r="G33" s="1190" t="s">
        <v>49</v>
      </c>
      <c r="H33" s="1212"/>
      <c r="I33" s="1313"/>
      <c r="J33" s="1242"/>
      <c r="K33" s="43" t="s">
        <v>40</v>
      </c>
      <c r="L33" s="44" t="s">
        <v>25</v>
      </c>
      <c r="M33" s="4"/>
      <c r="O33" s="37">
        <v>1</v>
      </c>
      <c r="P33" s="38" t="s">
        <v>20</v>
      </c>
    </row>
    <row r="34" spans="1:16" ht="39.950000000000003" customHeight="1" x14ac:dyDescent="0.2">
      <c r="A34" s="24"/>
      <c r="B34" s="1310"/>
      <c r="C34" s="1133" t="s">
        <v>50</v>
      </c>
      <c r="D34" s="1132"/>
      <c r="E34" s="1132" t="s">
        <v>51</v>
      </c>
      <c r="F34" s="1132"/>
      <c r="G34" s="1132" t="s">
        <v>52</v>
      </c>
      <c r="H34" s="1134"/>
      <c r="I34" s="1313"/>
      <c r="J34" s="1242"/>
      <c r="K34" s="43" t="s">
        <v>40</v>
      </c>
      <c r="L34" s="44" t="s">
        <v>25</v>
      </c>
      <c r="M34" s="4"/>
      <c r="O34" s="37">
        <v>1</v>
      </c>
      <c r="P34" s="38" t="s">
        <v>20</v>
      </c>
    </row>
    <row r="35" spans="1:16" ht="39.950000000000003" customHeight="1" x14ac:dyDescent="0.2">
      <c r="A35" s="24"/>
      <c r="B35" s="1310"/>
      <c r="C35" s="1133" t="s">
        <v>53</v>
      </c>
      <c r="D35" s="1132"/>
      <c r="E35" s="1132" t="s">
        <v>54</v>
      </c>
      <c r="F35" s="1132"/>
      <c r="G35" s="1132" t="s">
        <v>55</v>
      </c>
      <c r="H35" s="1134"/>
      <c r="I35" s="1313"/>
      <c r="J35" s="1242"/>
      <c r="K35" s="43" t="s">
        <v>40</v>
      </c>
      <c r="L35" s="44" t="s">
        <v>25</v>
      </c>
      <c r="M35" s="4"/>
      <c r="O35" s="37">
        <v>1</v>
      </c>
      <c r="P35" s="38" t="s">
        <v>20</v>
      </c>
    </row>
    <row r="36" spans="1:16" ht="39.950000000000003" customHeight="1" x14ac:dyDescent="0.2">
      <c r="A36" s="24"/>
      <c r="B36" s="1310"/>
      <c r="C36" s="1133" t="s">
        <v>56</v>
      </c>
      <c r="D36" s="1132"/>
      <c r="E36" s="1132" t="s">
        <v>57</v>
      </c>
      <c r="F36" s="1132"/>
      <c r="G36" s="1132" t="s">
        <v>58</v>
      </c>
      <c r="H36" s="1134"/>
      <c r="I36" s="1313"/>
      <c r="J36" s="1242"/>
      <c r="K36" s="43" t="s">
        <v>40</v>
      </c>
      <c r="L36" s="44" t="s">
        <v>25</v>
      </c>
      <c r="M36" s="4"/>
      <c r="O36" s="37">
        <v>1</v>
      </c>
      <c r="P36" s="38" t="s">
        <v>20</v>
      </c>
    </row>
    <row r="37" spans="1:16" ht="30" customHeight="1" x14ac:dyDescent="0.2">
      <c r="B37" s="1310"/>
      <c r="C37" s="1046" t="s">
        <v>59</v>
      </c>
      <c r="D37" s="1022"/>
      <c r="E37" s="1132" t="s">
        <v>60</v>
      </c>
      <c r="F37" s="1132"/>
      <c r="G37" s="1132" t="s">
        <v>61</v>
      </c>
      <c r="H37" s="1134"/>
      <c r="I37" s="1313"/>
      <c r="J37" s="1242"/>
      <c r="K37" s="43" t="s">
        <v>40</v>
      </c>
      <c r="L37" s="44" t="s">
        <v>25</v>
      </c>
      <c r="M37" s="3"/>
      <c r="N37" s="4"/>
      <c r="O37" s="37">
        <v>1</v>
      </c>
      <c r="P37" s="38" t="s">
        <v>20</v>
      </c>
    </row>
    <row r="38" spans="1:16" ht="30" customHeight="1" x14ac:dyDescent="0.2">
      <c r="B38" s="1310"/>
      <c r="C38" s="1046" t="s">
        <v>62</v>
      </c>
      <c r="D38" s="1022"/>
      <c r="E38" s="1022" t="s">
        <v>63</v>
      </c>
      <c r="F38" s="1022"/>
      <c r="G38" s="1132" t="s">
        <v>64</v>
      </c>
      <c r="H38" s="1134"/>
      <c r="I38" s="1313"/>
      <c r="J38" s="1242"/>
      <c r="K38" s="43" t="s">
        <v>40</v>
      </c>
      <c r="L38" s="44" t="s">
        <v>25</v>
      </c>
      <c r="M38" s="3"/>
      <c r="N38" s="4"/>
      <c r="O38" s="37">
        <v>1</v>
      </c>
      <c r="P38" s="38" t="s">
        <v>20</v>
      </c>
    </row>
    <row r="39" spans="1:16" ht="39.950000000000003" customHeight="1" x14ac:dyDescent="0.2">
      <c r="B39" s="1310"/>
      <c r="C39" s="1133" t="s">
        <v>65</v>
      </c>
      <c r="D39" s="1132"/>
      <c r="E39" s="1132" t="s">
        <v>66</v>
      </c>
      <c r="F39" s="1132"/>
      <c r="G39" s="1132" t="s">
        <v>67</v>
      </c>
      <c r="H39" s="1134"/>
      <c r="I39" s="1313"/>
      <c r="J39" s="1242"/>
      <c r="K39" s="43" t="s">
        <v>40</v>
      </c>
      <c r="L39" s="44" t="s">
        <v>25</v>
      </c>
      <c r="M39" s="3"/>
      <c r="N39" s="4"/>
      <c r="O39" s="37">
        <v>1</v>
      </c>
      <c r="P39" s="38" t="s">
        <v>20</v>
      </c>
    </row>
    <row r="40" spans="1:16" ht="39.950000000000003" customHeight="1" x14ac:dyDescent="0.2">
      <c r="B40" s="1310"/>
      <c r="C40" s="1133" t="s">
        <v>68</v>
      </c>
      <c r="D40" s="1132"/>
      <c r="G40" s="47"/>
      <c r="H40" s="48"/>
      <c r="I40" s="1313"/>
      <c r="J40" s="1242"/>
      <c r="K40" s="43" t="s">
        <v>40</v>
      </c>
      <c r="L40" s="44" t="s">
        <v>25</v>
      </c>
      <c r="M40" s="3"/>
      <c r="N40" s="4"/>
      <c r="O40" s="37">
        <v>1</v>
      </c>
      <c r="P40" s="38" t="s">
        <v>20</v>
      </c>
    </row>
    <row r="41" spans="1:16" ht="30" customHeight="1" x14ac:dyDescent="0.2">
      <c r="A41" s="49" t="s">
        <v>69</v>
      </c>
      <c r="B41" s="1311"/>
      <c r="C41" s="1206" t="s">
        <v>70</v>
      </c>
      <c r="D41" s="1207"/>
      <c r="E41" s="1207"/>
      <c r="F41" s="1207"/>
      <c r="G41" s="1207"/>
      <c r="H41" s="1222"/>
      <c r="I41" s="1314"/>
      <c r="J41" s="1243"/>
      <c r="K41" s="43" t="s">
        <v>40</v>
      </c>
      <c r="L41" s="44" t="s">
        <v>25</v>
      </c>
      <c r="M41" s="3"/>
      <c r="N41" s="4"/>
      <c r="O41" s="37">
        <v>1</v>
      </c>
      <c r="P41" s="38" t="s">
        <v>20</v>
      </c>
    </row>
    <row r="42" spans="1:16" ht="30" customHeight="1" x14ac:dyDescent="0.2">
      <c r="A42" s="24"/>
      <c r="B42" s="1236" t="s">
        <v>71</v>
      </c>
      <c r="C42" s="1187" t="s">
        <v>72</v>
      </c>
      <c r="D42" s="1188"/>
      <c r="E42" s="1188" t="s">
        <v>73</v>
      </c>
      <c r="F42" s="1188"/>
      <c r="G42" s="1188" t="s">
        <v>74</v>
      </c>
      <c r="H42" s="1189"/>
      <c r="I42" s="1584">
        <v>40</v>
      </c>
      <c r="J42" s="1449">
        <v>0.9</v>
      </c>
      <c r="K42" s="43" t="s">
        <v>71</v>
      </c>
      <c r="L42" s="44" t="s">
        <v>25</v>
      </c>
      <c r="M42" s="4"/>
      <c r="N42" s="46" t="s">
        <v>30</v>
      </c>
      <c r="O42" s="37">
        <v>1</v>
      </c>
      <c r="P42" s="38" t="s">
        <v>20</v>
      </c>
    </row>
    <row r="43" spans="1:16" ht="30" customHeight="1" x14ac:dyDescent="0.2">
      <c r="A43" s="24"/>
      <c r="B43" s="1237"/>
      <c r="C43" s="1218" t="s">
        <v>75</v>
      </c>
      <c r="D43" s="1180"/>
      <c r="E43" s="1180" t="s">
        <v>76</v>
      </c>
      <c r="F43" s="1180"/>
      <c r="G43" s="890" t="s">
        <v>77</v>
      </c>
      <c r="H43" s="890"/>
      <c r="I43" s="1585"/>
      <c r="J43" s="1450"/>
      <c r="K43" s="43" t="s">
        <v>71</v>
      </c>
      <c r="L43" s="44" t="s">
        <v>25</v>
      </c>
      <c r="M43" s="4"/>
      <c r="O43" s="37">
        <v>1</v>
      </c>
      <c r="P43" s="38" t="s">
        <v>20</v>
      </c>
    </row>
    <row r="44" spans="1:16" ht="30" customHeight="1" x14ac:dyDescent="0.2">
      <c r="A44" s="24"/>
      <c r="B44" s="1237"/>
      <c r="C44" s="1218" t="s">
        <v>78</v>
      </c>
      <c r="D44" s="1180"/>
      <c r="E44" s="1180" t="s">
        <v>79</v>
      </c>
      <c r="F44" s="1180"/>
      <c r="G44" s="1180" t="s">
        <v>80</v>
      </c>
      <c r="H44" s="1227"/>
      <c r="I44" s="1585"/>
      <c r="J44" s="1450"/>
      <c r="K44" s="43" t="s">
        <v>71</v>
      </c>
      <c r="L44" s="44" t="s">
        <v>25</v>
      </c>
      <c r="M44" s="4"/>
      <c r="O44" s="37">
        <v>1</v>
      </c>
      <c r="P44" s="38" t="s">
        <v>20</v>
      </c>
    </row>
    <row r="45" spans="1:16" ht="30" customHeight="1" x14ac:dyDescent="0.2">
      <c r="A45" s="24"/>
      <c r="B45" s="1237"/>
      <c r="C45" s="968" t="s">
        <v>81</v>
      </c>
      <c r="D45" s="969"/>
      <c r="E45" s="969" t="s">
        <v>82</v>
      </c>
      <c r="F45" s="969"/>
      <c r="G45" s="969" t="s">
        <v>83</v>
      </c>
      <c r="H45" s="1193"/>
      <c r="I45" s="1585"/>
      <c r="J45" s="1450"/>
      <c r="K45" s="43" t="s">
        <v>71</v>
      </c>
      <c r="L45" s="44" t="s">
        <v>25</v>
      </c>
      <c r="M45" s="4"/>
      <c r="O45" s="37">
        <v>1</v>
      </c>
      <c r="P45" s="38" t="s">
        <v>20</v>
      </c>
    </row>
    <row r="46" spans="1:16" ht="30" customHeight="1" x14ac:dyDescent="0.2">
      <c r="A46" s="24"/>
      <c r="B46" s="1238"/>
      <c r="C46" s="1181" t="s">
        <v>84</v>
      </c>
      <c r="D46" s="1182"/>
      <c r="E46" s="50"/>
      <c r="H46" s="50"/>
      <c r="I46" s="1586"/>
      <c r="J46" s="1451"/>
      <c r="K46" s="43" t="s">
        <v>71</v>
      </c>
      <c r="L46" s="44" t="s">
        <v>25</v>
      </c>
      <c r="M46" s="4"/>
      <c r="O46" s="37">
        <v>1</v>
      </c>
      <c r="P46" s="38" t="s">
        <v>20</v>
      </c>
    </row>
    <row r="47" spans="1:16" ht="39.950000000000003" customHeight="1" x14ac:dyDescent="0.2">
      <c r="B47" s="51" t="s">
        <v>85</v>
      </c>
      <c r="C47" s="1211" t="s">
        <v>86</v>
      </c>
      <c r="D47" s="1190"/>
      <c r="E47" s="1195"/>
      <c r="F47" s="1195"/>
      <c r="G47" s="1130"/>
      <c r="H47" s="1131"/>
      <c r="I47" s="52">
        <v>40</v>
      </c>
      <c r="J47" s="53">
        <v>0.85</v>
      </c>
      <c r="K47" s="43" t="s">
        <v>85</v>
      </c>
      <c r="L47" s="44" t="s">
        <v>25</v>
      </c>
      <c r="M47" s="3"/>
      <c r="N47" s="46" t="s">
        <v>30</v>
      </c>
      <c r="O47" s="37">
        <v>1</v>
      </c>
      <c r="P47" s="38" t="s">
        <v>20</v>
      </c>
    </row>
    <row r="48" spans="1:16" ht="39.950000000000003" customHeight="1" x14ac:dyDescent="0.2">
      <c r="A48" s="24"/>
      <c r="B48" s="1236" t="s">
        <v>87</v>
      </c>
      <c r="C48" s="1214" t="s">
        <v>88</v>
      </c>
      <c r="D48" s="1195"/>
      <c r="E48" s="1195" t="s">
        <v>89</v>
      </c>
      <c r="F48" s="1195"/>
      <c r="G48" s="1188" t="s">
        <v>90</v>
      </c>
      <c r="H48" s="1189"/>
      <c r="I48" s="1110">
        <v>45</v>
      </c>
      <c r="J48" s="915">
        <v>0.85</v>
      </c>
      <c r="K48" s="43" t="s">
        <v>87</v>
      </c>
      <c r="L48" s="44" t="s">
        <v>25</v>
      </c>
      <c r="M48" s="4"/>
      <c r="N48" s="46" t="s">
        <v>30</v>
      </c>
      <c r="O48" s="37">
        <v>1</v>
      </c>
      <c r="P48" s="38" t="s">
        <v>20</v>
      </c>
    </row>
    <row r="49" spans="1:25" ht="39.950000000000003" customHeight="1" x14ac:dyDescent="0.2">
      <c r="A49" s="24"/>
      <c r="B49" s="1237"/>
      <c r="C49" s="1218" t="s">
        <v>91</v>
      </c>
      <c r="D49" s="1180"/>
      <c r="E49" s="1180" t="s">
        <v>92</v>
      </c>
      <c r="F49" s="1180"/>
      <c r="G49" s="969" t="s">
        <v>93</v>
      </c>
      <c r="H49" s="1193"/>
      <c r="I49" s="1111"/>
      <c r="J49" s="1045"/>
      <c r="K49" s="43" t="s">
        <v>87</v>
      </c>
      <c r="L49" s="44" t="s">
        <v>25</v>
      </c>
      <c r="M49" s="4"/>
      <c r="O49" s="37">
        <v>1</v>
      </c>
      <c r="P49" s="38" t="s">
        <v>20</v>
      </c>
    </row>
    <row r="50" spans="1:25" ht="39.950000000000003" customHeight="1" x14ac:dyDescent="0.2">
      <c r="A50" s="24"/>
      <c r="B50" s="1237"/>
      <c r="C50" s="1218" t="s">
        <v>94</v>
      </c>
      <c r="D50" s="1180"/>
      <c r="E50" s="1180" t="s">
        <v>96</v>
      </c>
      <c r="F50" s="1180"/>
      <c r="G50" s="969" t="s">
        <v>95</v>
      </c>
      <c r="H50" s="1193"/>
      <c r="I50" s="1111"/>
      <c r="J50" s="1045"/>
      <c r="K50" s="43" t="s">
        <v>87</v>
      </c>
      <c r="L50" s="44" t="s">
        <v>25</v>
      </c>
      <c r="M50" s="4"/>
      <c r="O50" s="37">
        <v>1</v>
      </c>
      <c r="P50" s="38" t="s">
        <v>20</v>
      </c>
    </row>
    <row r="51" spans="1:25" ht="20.100000000000001" customHeight="1" x14ac:dyDescent="0.2">
      <c r="A51" s="37" t="s">
        <v>97</v>
      </c>
      <c r="B51" s="1237"/>
      <c r="C51" s="54" t="s">
        <v>98</v>
      </c>
      <c r="D51" s="55"/>
      <c r="E51" s="56"/>
      <c r="F51" s="56"/>
      <c r="G51" s="134"/>
      <c r="H51" s="160"/>
      <c r="I51" s="1111"/>
      <c r="J51" s="1045"/>
      <c r="K51" s="43" t="s">
        <v>87</v>
      </c>
      <c r="L51" s="44" t="s">
        <v>25</v>
      </c>
      <c r="M51" s="4"/>
      <c r="O51" s="37">
        <v>1</v>
      </c>
      <c r="P51" s="38" t="s">
        <v>20</v>
      </c>
    </row>
    <row r="52" spans="1:25" ht="27" customHeight="1" x14ac:dyDescent="0.2">
      <c r="A52" s="37" t="s">
        <v>97</v>
      </c>
      <c r="B52" s="1238"/>
      <c r="C52" s="1306" t="s">
        <v>99</v>
      </c>
      <c r="D52" s="1307"/>
      <c r="E52" s="1307"/>
      <c r="F52" s="1307"/>
      <c r="G52" s="1307"/>
      <c r="H52" s="1308"/>
      <c r="I52" s="1112"/>
      <c r="J52" s="916"/>
      <c r="K52" s="43" t="s">
        <v>87</v>
      </c>
      <c r="L52" s="44" t="s">
        <v>25</v>
      </c>
      <c r="M52" s="4"/>
      <c r="O52" s="37">
        <v>1</v>
      </c>
      <c r="P52" s="38" t="s">
        <v>20</v>
      </c>
    </row>
    <row r="53" spans="1:25" s="24" customFormat="1" ht="20.100000000000001" customHeight="1" x14ac:dyDescent="0.2">
      <c r="B53" s="62"/>
      <c r="C53" s="63"/>
      <c r="D53" s="63"/>
      <c r="E53" s="63"/>
      <c r="F53" s="63"/>
      <c r="G53" s="63"/>
      <c r="H53" s="63"/>
      <c r="I53" s="64"/>
      <c r="J53" s="65"/>
      <c r="K53" s="1"/>
      <c r="L53" s="2"/>
      <c r="M53" s="3"/>
      <c r="N53" s="4"/>
      <c r="O53" s="2"/>
      <c r="P53" s="18"/>
    </row>
    <row r="54" spans="1:25" s="24" customFormat="1" ht="30" customHeight="1" x14ac:dyDescent="0.2">
      <c r="A54" s="4"/>
      <c r="B54" s="904" t="s">
        <v>100</v>
      </c>
      <c r="C54" s="1160"/>
      <c r="D54" s="1160"/>
      <c r="E54" s="1160"/>
      <c r="F54" s="1160"/>
      <c r="G54" s="1160"/>
      <c r="H54" s="1271"/>
      <c r="I54" s="34" t="s">
        <v>17</v>
      </c>
      <c r="J54" s="35" t="s">
        <v>18</v>
      </c>
      <c r="K54" s="18"/>
      <c r="L54" s="58"/>
      <c r="M54" s="3"/>
      <c r="N54" s="4"/>
      <c r="O54" s="4"/>
      <c r="P54" s="59"/>
    </row>
    <row r="55" spans="1:25" ht="375" customHeight="1" x14ac:dyDescent="0.2">
      <c r="A55" s="24"/>
      <c r="B55" s="1047" t="s">
        <v>815</v>
      </c>
      <c r="C55" s="1250" t="s">
        <v>816</v>
      </c>
      <c r="D55" s="1301"/>
      <c r="E55" s="1301"/>
      <c r="F55" s="1301"/>
      <c r="G55" s="1301"/>
      <c r="H55" s="1302"/>
      <c r="I55" s="1110">
        <v>0</v>
      </c>
      <c r="J55" s="915">
        <v>1</v>
      </c>
      <c r="K55" s="36" t="s">
        <v>103</v>
      </c>
      <c r="L55" s="37">
        <v>3</v>
      </c>
      <c r="M55" s="4"/>
      <c r="N55" s="46" t="s">
        <v>30</v>
      </c>
      <c r="O55" s="37">
        <v>3</v>
      </c>
      <c r="P55" s="38" t="s">
        <v>20</v>
      </c>
    </row>
    <row r="56" spans="1:25" ht="174.75" customHeight="1" x14ac:dyDescent="0.2">
      <c r="A56" s="24"/>
      <c r="B56" s="1048"/>
      <c r="C56" s="1264" t="s">
        <v>817</v>
      </c>
      <c r="D56" s="1265"/>
      <c r="E56" s="1265"/>
      <c r="F56" s="1265"/>
      <c r="G56" s="1265"/>
      <c r="H56" s="1266"/>
      <c r="I56" s="1112"/>
      <c r="J56" s="916"/>
      <c r="K56" s="36" t="s">
        <v>103</v>
      </c>
      <c r="L56" s="37">
        <v>3</v>
      </c>
      <c r="M56" s="4"/>
      <c r="N56" s="46" t="s">
        <v>30</v>
      </c>
      <c r="O56" s="37">
        <v>3</v>
      </c>
      <c r="P56" s="38" t="s">
        <v>20</v>
      </c>
    </row>
    <row r="57" spans="1:25" s="24" customFormat="1" ht="20.100000000000001" customHeight="1" x14ac:dyDescent="0.2">
      <c r="B57" s="62"/>
      <c r="C57" s="63"/>
      <c r="D57" s="63"/>
      <c r="E57" s="63"/>
      <c r="F57" s="63"/>
      <c r="G57" s="63"/>
      <c r="H57" s="63"/>
      <c r="I57" s="64"/>
      <c r="J57" s="65"/>
      <c r="K57" s="1"/>
      <c r="L57" s="2"/>
      <c r="M57" s="3"/>
      <c r="N57" s="4"/>
      <c r="O57" s="2"/>
      <c r="P57" s="18"/>
    </row>
    <row r="58" spans="1:25" s="24" customFormat="1" ht="30" customHeight="1" x14ac:dyDescent="0.2">
      <c r="A58" s="4"/>
      <c r="B58" s="904" t="s">
        <v>105</v>
      </c>
      <c r="C58" s="905"/>
      <c r="D58" s="905"/>
      <c r="E58" s="905"/>
      <c r="F58" s="905"/>
      <c r="G58" s="905"/>
      <c r="H58" s="906"/>
      <c r="I58" s="34" t="s">
        <v>17</v>
      </c>
      <c r="J58" s="35" t="s">
        <v>18</v>
      </c>
      <c r="K58" s="18"/>
      <c r="L58" s="58"/>
      <c r="M58" s="3"/>
      <c r="N58" s="4"/>
      <c r="O58" s="4"/>
      <c r="P58" s="59"/>
    </row>
    <row r="59" spans="1:25" s="24" customFormat="1" ht="198.75" customHeight="1" x14ac:dyDescent="0.2">
      <c r="B59" s="60" t="s">
        <v>106</v>
      </c>
      <c r="C59" s="1292" t="s">
        <v>107</v>
      </c>
      <c r="D59" s="1292"/>
      <c r="E59" s="1292"/>
      <c r="F59" s="1292"/>
      <c r="G59" s="1292"/>
      <c r="H59" s="1292"/>
      <c r="I59" s="61">
        <v>50</v>
      </c>
      <c r="J59" s="42">
        <v>1</v>
      </c>
      <c r="K59" s="36" t="s">
        <v>108</v>
      </c>
      <c r="L59" s="37">
        <v>4</v>
      </c>
      <c r="M59" s="23"/>
      <c r="N59" s="46" t="s">
        <v>30</v>
      </c>
      <c r="O59" s="37">
        <v>4</v>
      </c>
      <c r="P59" s="38" t="s">
        <v>20</v>
      </c>
    </row>
    <row r="60" spans="1:25" ht="90" customHeight="1" x14ac:dyDescent="0.2">
      <c r="A60" s="24"/>
      <c r="B60" s="60" t="s">
        <v>109</v>
      </c>
      <c r="C60" s="1293" t="s">
        <v>110</v>
      </c>
      <c r="D60" s="1293"/>
      <c r="E60" s="1293"/>
      <c r="F60" s="1293"/>
      <c r="G60" s="1293"/>
      <c r="H60" s="1293"/>
      <c r="I60" s="61">
        <v>80</v>
      </c>
      <c r="J60" s="42">
        <v>1</v>
      </c>
      <c r="K60" s="36" t="s">
        <v>111</v>
      </c>
      <c r="L60" s="37">
        <v>5</v>
      </c>
      <c r="M60" s="4"/>
      <c r="N60" s="46" t="s">
        <v>30</v>
      </c>
      <c r="O60" s="37">
        <v>5</v>
      </c>
      <c r="P60" s="38" t="s">
        <v>20</v>
      </c>
    </row>
    <row r="61" spans="1:25" ht="60" customHeight="1" x14ac:dyDescent="0.2">
      <c r="A61" s="24"/>
      <c r="B61" s="454" t="s">
        <v>112</v>
      </c>
      <c r="C61" s="1580" t="s">
        <v>113</v>
      </c>
      <c r="D61" s="1581"/>
      <c r="E61" s="1581"/>
      <c r="F61" s="1581"/>
      <c r="G61" s="1581"/>
      <c r="H61" s="1582"/>
      <c r="I61" s="154">
        <v>40</v>
      </c>
      <c r="J61" s="121">
        <v>1</v>
      </c>
      <c r="K61" s="36" t="s">
        <v>114</v>
      </c>
      <c r="L61" s="37">
        <v>6</v>
      </c>
      <c r="M61" s="4"/>
      <c r="N61" s="46" t="s">
        <v>30</v>
      </c>
      <c r="O61" s="37">
        <v>6</v>
      </c>
      <c r="P61" s="38" t="s">
        <v>20</v>
      </c>
    </row>
    <row r="62" spans="1:25" ht="21" customHeight="1" x14ac:dyDescent="0.2">
      <c r="A62" s="24"/>
      <c r="B62" s="161"/>
      <c r="C62" s="461"/>
      <c r="D62" s="461"/>
      <c r="E62" s="461"/>
      <c r="F62" s="461"/>
      <c r="G62" s="461"/>
      <c r="H62" s="461"/>
      <c r="I62" s="462"/>
      <c r="J62" s="463"/>
      <c r="L62" s="4"/>
      <c r="M62" s="4"/>
      <c r="N62" s="4"/>
      <c r="O62" s="4"/>
      <c r="P62" s="59"/>
    </row>
    <row r="63" spans="1:25" s="24" customFormat="1" ht="30" customHeight="1" x14ac:dyDescent="0.2">
      <c r="A63" s="4"/>
      <c r="B63" s="1583" t="s">
        <v>115</v>
      </c>
      <c r="C63" s="1290"/>
      <c r="D63" s="1290"/>
      <c r="E63" s="1290"/>
      <c r="F63" s="1290"/>
      <c r="G63" s="1290"/>
      <c r="H63" s="1291"/>
      <c r="I63" s="464" t="s">
        <v>17</v>
      </c>
      <c r="J63" s="465" t="s">
        <v>18</v>
      </c>
      <c r="K63" s="66"/>
      <c r="L63" s="67"/>
      <c r="M63" s="68"/>
      <c r="N63" s="46" t="s">
        <v>30</v>
      </c>
      <c r="O63" s="67"/>
      <c r="P63" s="66"/>
    </row>
    <row r="64" spans="1:25" s="45" customFormat="1" ht="30" customHeight="1" x14ac:dyDescent="0.2">
      <c r="B64" s="1297" t="s">
        <v>116</v>
      </c>
      <c r="C64" s="1298"/>
      <c r="D64" s="1298"/>
      <c r="E64" s="1298"/>
      <c r="F64" s="1298"/>
      <c r="G64" s="1298"/>
      <c r="H64" s="1298"/>
      <c r="I64" s="1298"/>
      <c r="J64" s="1299"/>
      <c r="K64" s="66"/>
      <c r="L64" s="67"/>
      <c r="M64" s="68"/>
      <c r="N64" s="67"/>
      <c r="O64" s="67"/>
      <c r="P64" s="66"/>
      <c r="R64" s="69"/>
      <c r="U64" s="70"/>
      <c r="V64" s="71"/>
      <c r="W64" s="71"/>
      <c r="X64" s="72"/>
      <c r="Y64" s="69"/>
    </row>
    <row r="65" spans="1:25" s="45" customFormat="1" ht="30" customHeight="1" x14ac:dyDescent="0.2">
      <c r="B65" s="1268" t="s">
        <v>117</v>
      </c>
      <c r="C65" s="1268"/>
      <c r="D65" s="1268"/>
      <c r="E65" s="1268"/>
      <c r="F65" s="1268"/>
      <c r="G65" s="1268"/>
      <c r="H65" s="1268"/>
      <c r="I65" s="1268"/>
      <c r="J65" s="1268"/>
      <c r="K65" s="66"/>
      <c r="L65" s="67"/>
      <c r="M65" s="68"/>
      <c r="N65" s="67"/>
      <c r="O65" s="67"/>
      <c r="P65" s="66"/>
      <c r="R65" s="69"/>
      <c r="U65" s="70"/>
      <c r="V65" s="71"/>
      <c r="W65" s="71"/>
      <c r="X65" s="72"/>
      <c r="Y65" s="69"/>
    </row>
    <row r="66" spans="1:25" s="45" customFormat="1" ht="30" customHeight="1" x14ac:dyDescent="0.2">
      <c r="B66" s="1065" t="s">
        <v>118</v>
      </c>
      <c r="C66" s="1065"/>
      <c r="D66" s="1065"/>
      <c r="E66" s="1065"/>
      <c r="F66" s="1065"/>
      <c r="G66" s="1065"/>
      <c r="H66" s="1065"/>
      <c r="I66" s="61">
        <v>0</v>
      </c>
      <c r="J66" s="42">
        <v>1</v>
      </c>
      <c r="K66" s="66"/>
      <c r="L66" s="67"/>
      <c r="M66" s="68"/>
      <c r="N66" s="67"/>
      <c r="O66" s="67"/>
      <c r="P66" s="66"/>
      <c r="R66" s="69"/>
      <c r="U66" s="70"/>
      <c r="V66" s="71"/>
      <c r="W66" s="71"/>
      <c r="X66" s="72"/>
      <c r="Y66" s="69"/>
    </row>
    <row r="67" spans="1:25" s="45" customFormat="1" ht="30" customHeight="1" x14ac:dyDescent="0.2">
      <c r="A67" s="1268" t="s">
        <v>119</v>
      </c>
      <c r="B67" s="1268"/>
      <c r="C67" s="1268"/>
      <c r="D67" s="1268"/>
      <c r="E67" s="1268"/>
      <c r="F67" s="1268"/>
      <c r="G67" s="1268"/>
      <c r="H67" s="1268"/>
      <c r="I67" s="1268"/>
      <c r="J67" s="1268"/>
      <c r="K67" s="66"/>
      <c r="L67" s="67"/>
      <c r="M67" s="68"/>
      <c r="N67" s="46" t="s">
        <v>30</v>
      </c>
      <c r="O67" s="67"/>
      <c r="P67" s="66"/>
      <c r="R67" s="69"/>
      <c r="U67" s="70"/>
      <c r="V67" s="71"/>
      <c r="W67" s="71"/>
      <c r="X67" s="72"/>
      <c r="Y67" s="69"/>
    </row>
    <row r="68" spans="1:25" s="45" customFormat="1" ht="75.75" customHeight="1" x14ac:dyDescent="0.2">
      <c r="A68" s="1065" t="s">
        <v>120</v>
      </c>
      <c r="B68" s="1065"/>
      <c r="C68" s="1065"/>
      <c r="D68" s="1065"/>
      <c r="E68" s="1065"/>
      <c r="F68" s="1065"/>
      <c r="G68" s="1065"/>
      <c r="H68" s="1065"/>
      <c r="I68" s="61">
        <v>0</v>
      </c>
      <c r="J68" s="42">
        <v>1</v>
      </c>
      <c r="K68" s="66"/>
      <c r="L68" s="67"/>
      <c r="M68" s="68"/>
      <c r="N68" s="67"/>
      <c r="O68" s="67"/>
      <c r="P68" s="66"/>
      <c r="R68" s="69"/>
      <c r="U68" s="70"/>
      <c r="V68" s="71"/>
      <c r="W68" s="71"/>
      <c r="X68" s="72"/>
      <c r="Y68" s="69"/>
    </row>
    <row r="69" spans="1:25" s="45" customFormat="1" ht="220.5" customHeight="1" x14ac:dyDescent="0.2">
      <c r="A69" s="73"/>
      <c r="B69" s="1065" t="s">
        <v>121</v>
      </c>
      <c r="C69" s="1065"/>
      <c r="D69" s="1065"/>
      <c r="E69" s="1065"/>
      <c r="F69" s="1065"/>
      <c r="G69" s="1065"/>
      <c r="H69" s="1065"/>
      <c r="I69" s="1065"/>
      <c r="J69" s="1065"/>
      <c r="K69" s="66"/>
      <c r="L69" s="67"/>
      <c r="M69" s="68"/>
      <c r="N69" s="67"/>
      <c r="O69" s="67"/>
      <c r="P69" s="66"/>
      <c r="R69" s="69"/>
      <c r="U69" s="70"/>
      <c r="V69" s="71"/>
      <c r="W69" s="71"/>
      <c r="X69" s="72"/>
      <c r="Y69" s="69"/>
    </row>
    <row r="70" spans="1:25" s="24" customFormat="1" ht="20.100000000000001" customHeight="1" x14ac:dyDescent="0.2">
      <c r="B70" s="62"/>
      <c r="C70" s="63"/>
      <c r="D70" s="63"/>
      <c r="E70" s="63"/>
      <c r="F70" s="63"/>
      <c r="G70" s="63"/>
      <c r="H70" s="63"/>
      <c r="I70" s="64"/>
      <c r="J70" s="65"/>
      <c r="K70" s="1"/>
      <c r="L70" s="2"/>
      <c r="M70" s="3"/>
      <c r="N70" s="4"/>
      <c r="O70" s="2"/>
      <c r="P70" s="18"/>
    </row>
    <row r="71" spans="1:25" s="24" customFormat="1" ht="30" customHeight="1" x14ac:dyDescent="0.2">
      <c r="A71" s="4"/>
      <c r="B71" s="904" t="s">
        <v>122</v>
      </c>
      <c r="C71" s="905"/>
      <c r="D71" s="905"/>
      <c r="E71" s="905"/>
      <c r="F71" s="905"/>
      <c r="G71" s="905"/>
      <c r="H71" s="906"/>
      <c r="I71" s="34" t="s">
        <v>17</v>
      </c>
      <c r="J71" s="35" t="s">
        <v>18</v>
      </c>
      <c r="K71" s="18"/>
      <c r="L71" s="58"/>
      <c r="M71" s="3"/>
      <c r="N71" s="4"/>
      <c r="O71" s="4"/>
      <c r="P71" s="59"/>
    </row>
    <row r="72" spans="1:25" ht="54.95" customHeight="1" x14ac:dyDescent="0.2">
      <c r="A72" s="24"/>
      <c r="B72" s="1279" t="s">
        <v>124</v>
      </c>
      <c r="C72" s="1285" t="s">
        <v>818</v>
      </c>
      <c r="D72" s="1286"/>
      <c r="E72" s="1286"/>
      <c r="F72" s="1286"/>
      <c r="G72" s="1286"/>
      <c r="H72" s="1286"/>
      <c r="I72" s="1286"/>
      <c r="J72" s="1287"/>
      <c r="K72" s="36" t="s">
        <v>123</v>
      </c>
      <c r="L72" s="37">
        <v>50</v>
      </c>
      <c r="M72" s="3"/>
      <c r="N72" s="46" t="s">
        <v>30</v>
      </c>
      <c r="O72" s="37">
        <v>50</v>
      </c>
      <c r="P72" s="38" t="s">
        <v>20</v>
      </c>
    </row>
    <row r="73" spans="1:25" ht="24.95" customHeight="1" x14ac:dyDescent="0.2">
      <c r="A73" s="24"/>
      <c r="B73" s="1284"/>
      <c r="C73" s="1285" t="s">
        <v>126</v>
      </c>
      <c r="D73" s="1286"/>
      <c r="E73" s="1286"/>
      <c r="F73" s="1286"/>
      <c r="G73" s="1286"/>
      <c r="H73" s="1287"/>
      <c r="I73" s="74">
        <v>70</v>
      </c>
      <c r="J73" s="75" t="s">
        <v>127</v>
      </c>
      <c r="K73" s="36" t="s">
        <v>123</v>
      </c>
      <c r="L73" s="37">
        <v>50</v>
      </c>
      <c r="M73" s="3"/>
      <c r="N73" s="4"/>
      <c r="O73" s="37">
        <v>50</v>
      </c>
      <c r="P73" s="38" t="s">
        <v>20</v>
      </c>
    </row>
    <row r="74" spans="1:25" ht="24.95" customHeight="1" x14ac:dyDescent="0.2">
      <c r="A74" s="24"/>
      <c r="B74" s="1280"/>
      <c r="C74" s="1285" t="s">
        <v>128</v>
      </c>
      <c r="D74" s="1286"/>
      <c r="E74" s="1286"/>
      <c r="F74" s="1286"/>
      <c r="G74" s="1286"/>
      <c r="H74" s="1287"/>
      <c r="I74" s="74">
        <v>50</v>
      </c>
      <c r="J74" s="75" t="s">
        <v>127</v>
      </c>
      <c r="K74" s="36" t="s">
        <v>123</v>
      </c>
      <c r="L74" s="37">
        <v>50</v>
      </c>
      <c r="M74" s="3"/>
      <c r="N74" s="4"/>
      <c r="O74" s="37">
        <v>50</v>
      </c>
      <c r="P74" s="38" t="s">
        <v>20</v>
      </c>
    </row>
    <row r="75" spans="1:25" s="467" customFormat="1" ht="20.100000000000001" customHeight="1" x14ac:dyDescent="0.2">
      <c r="A75" s="80"/>
      <c r="B75" s="177"/>
      <c r="C75" s="159"/>
      <c r="D75" s="159"/>
      <c r="E75" s="159"/>
      <c r="F75" s="159"/>
      <c r="G75" s="28"/>
      <c r="H75" s="28"/>
      <c r="I75" s="466"/>
      <c r="J75" s="180"/>
      <c r="L75" s="468"/>
      <c r="M75" s="469"/>
      <c r="N75" s="349"/>
      <c r="O75" s="349"/>
      <c r="P75" s="470"/>
    </row>
    <row r="76" spans="1:25" ht="31.5" customHeight="1" x14ac:dyDescent="0.2">
      <c r="A76" s="24"/>
      <c r="B76" s="904" t="s">
        <v>145</v>
      </c>
      <c r="C76" s="1160"/>
      <c r="D76" s="1160"/>
      <c r="E76" s="1160"/>
      <c r="F76" s="1160"/>
      <c r="G76" s="1160"/>
      <c r="H76" s="1271"/>
      <c r="I76" s="34" t="s">
        <v>17</v>
      </c>
      <c r="J76" s="35" t="s">
        <v>18</v>
      </c>
      <c r="L76" s="4"/>
      <c r="M76" s="3"/>
      <c r="N76" s="46" t="s">
        <v>30</v>
      </c>
      <c r="O76" s="4"/>
      <c r="P76" s="59"/>
    </row>
    <row r="77" spans="1:25" ht="27.6" customHeight="1" x14ac:dyDescent="0.2">
      <c r="A77" s="24"/>
      <c r="B77" s="1120" t="s">
        <v>26</v>
      </c>
      <c r="C77" s="1250" t="s">
        <v>146</v>
      </c>
      <c r="D77" s="1251"/>
      <c r="E77" s="1251" t="s">
        <v>147</v>
      </c>
      <c r="F77" s="1251"/>
      <c r="G77" s="1251" t="s">
        <v>90</v>
      </c>
      <c r="H77" s="1267"/>
      <c r="I77" s="1272">
        <v>0</v>
      </c>
      <c r="J77" s="962">
        <v>0.9</v>
      </c>
      <c r="L77" s="4"/>
      <c r="M77" s="3"/>
      <c r="N77" s="4"/>
      <c r="O77" s="4"/>
      <c r="P77" s="59"/>
    </row>
    <row r="78" spans="1:25" ht="30" customHeight="1" x14ac:dyDescent="0.2">
      <c r="A78" s="24"/>
      <c r="B78" s="1122"/>
      <c r="C78" s="1257" t="s">
        <v>74</v>
      </c>
      <c r="D78" s="1258"/>
      <c r="E78" s="1180"/>
      <c r="F78" s="1180"/>
      <c r="G78" s="92"/>
      <c r="H78" s="93"/>
      <c r="I78" s="1273"/>
      <c r="J78" s="964"/>
      <c r="L78" s="4"/>
      <c r="M78" s="3"/>
      <c r="N78" s="4"/>
      <c r="O78" s="4"/>
      <c r="P78" s="59"/>
    </row>
    <row r="79" spans="1:25" ht="30" customHeight="1" x14ac:dyDescent="0.2">
      <c r="A79" s="24"/>
      <c r="B79" s="1269" t="s">
        <v>71</v>
      </c>
      <c r="C79" s="1250" t="s">
        <v>134</v>
      </c>
      <c r="D79" s="1251"/>
      <c r="E79" s="1251" t="s">
        <v>92</v>
      </c>
      <c r="F79" s="1251"/>
      <c r="G79" s="1251" t="s">
        <v>78</v>
      </c>
      <c r="H79" s="1267"/>
      <c r="I79" s="1270">
        <v>0</v>
      </c>
      <c r="J79" s="1092">
        <v>0.85</v>
      </c>
      <c r="L79" s="4"/>
      <c r="M79" s="3"/>
      <c r="N79" s="46" t="s">
        <v>30</v>
      </c>
      <c r="O79" s="4"/>
      <c r="P79" s="59"/>
    </row>
    <row r="80" spans="1:25" ht="20.100000000000001" customHeight="1" x14ac:dyDescent="0.2">
      <c r="A80" s="24"/>
      <c r="B80" s="1269"/>
      <c r="C80" s="1264" t="s">
        <v>148</v>
      </c>
      <c r="D80" s="1265"/>
      <c r="E80" s="1265" t="s">
        <v>149</v>
      </c>
      <c r="F80" s="1265"/>
      <c r="G80" s="1265" t="s">
        <v>150</v>
      </c>
      <c r="H80" s="1266"/>
      <c r="I80" s="1270"/>
      <c r="J80" s="1092"/>
    </row>
    <row r="81" spans="1:16" ht="20.100000000000001" customHeight="1" x14ac:dyDescent="0.2">
      <c r="A81" s="24"/>
      <c r="B81" s="76"/>
      <c r="C81" s="92"/>
      <c r="D81" s="92"/>
      <c r="E81" s="92"/>
      <c r="F81" s="92"/>
      <c r="G81" s="92"/>
      <c r="H81" s="92"/>
      <c r="I81" s="336"/>
      <c r="J81" s="78"/>
      <c r="K81" s="24"/>
    </row>
    <row r="82" spans="1:16" ht="30" customHeight="1" x14ac:dyDescent="0.2">
      <c r="A82" s="24"/>
      <c r="B82" s="904" t="s">
        <v>155</v>
      </c>
      <c r="C82" s="905"/>
      <c r="D82" s="905"/>
      <c r="E82" s="905"/>
      <c r="F82" s="905"/>
      <c r="G82" s="905"/>
      <c r="H82" s="906"/>
      <c r="I82" s="34" t="s">
        <v>17</v>
      </c>
      <c r="J82" s="35" t="s">
        <v>18</v>
      </c>
      <c r="K82" s="36" t="s">
        <v>156</v>
      </c>
      <c r="L82" s="37">
        <v>7</v>
      </c>
      <c r="M82" s="4"/>
      <c r="N82" s="46" t="s">
        <v>30</v>
      </c>
      <c r="O82" s="37">
        <v>7</v>
      </c>
      <c r="P82" s="38" t="s">
        <v>157</v>
      </c>
    </row>
    <row r="83" spans="1:16" ht="36" customHeight="1" x14ac:dyDescent="0.2">
      <c r="B83" s="1268" t="s">
        <v>21</v>
      </c>
      <c r="C83" s="1268"/>
      <c r="D83" s="1268"/>
      <c r="E83" s="1268"/>
      <c r="F83" s="1268"/>
      <c r="G83" s="1268"/>
      <c r="H83" s="1268"/>
      <c r="I83" s="1268"/>
      <c r="J83" s="1268"/>
      <c r="M83" s="4"/>
      <c r="O83" s="37">
        <v>7</v>
      </c>
      <c r="P83" s="38" t="s">
        <v>157</v>
      </c>
    </row>
    <row r="84" spans="1:16" s="24" customFormat="1" ht="78" customHeight="1" x14ac:dyDescent="0.2">
      <c r="A84" s="99"/>
      <c r="B84" s="1023" t="s">
        <v>819</v>
      </c>
      <c r="C84" s="986"/>
      <c r="D84" s="986"/>
      <c r="E84" s="986"/>
      <c r="F84" s="986"/>
      <c r="G84" s="986"/>
      <c r="H84" s="986"/>
      <c r="I84" s="1024"/>
      <c r="J84" s="1025"/>
      <c r="K84" s="1"/>
      <c r="L84" s="98"/>
      <c r="M84" s="3"/>
      <c r="N84" s="4"/>
      <c r="O84" s="37">
        <v>7</v>
      </c>
      <c r="P84" s="38" t="s">
        <v>157</v>
      </c>
    </row>
    <row r="85" spans="1:16" s="24" customFormat="1" ht="32.25" customHeight="1" x14ac:dyDescent="0.2">
      <c r="A85" s="18"/>
      <c r="B85" s="1004" t="s">
        <v>162</v>
      </c>
      <c r="C85" s="1250" t="s">
        <v>29</v>
      </c>
      <c r="D85" s="1251"/>
      <c r="E85" s="1251" t="s">
        <v>94</v>
      </c>
      <c r="F85" s="1251"/>
      <c r="G85" s="1251" t="s">
        <v>163</v>
      </c>
      <c r="H85" s="1267"/>
      <c r="I85" s="935">
        <v>20</v>
      </c>
      <c r="J85" s="915">
        <v>0.9</v>
      </c>
      <c r="K85" s="100" t="s">
        <v>160</v>
      </c>
      <c r="L85" s="101" t="s">
        <v>161</v>
      </c>
      <c r="M85" s="79"/>
      <c r="N85" s="4"/>
      <c r="O85" s="37">
        <v>7</v>
      </c>
      <c r="P85" s="38" t="s">
        <v>157</v>
      </c>
    </row>
    <row r="86" spans="1:16" s="24" customFormat="1" ht="39.950000000000003" customHeight="1" x14ac:dyDescent="0.2">
      <c r="A86" s="18"/>
      <c r="B86" s="1039"/>
      <c r="C86" s="1257" t="s">
        <v>135</v>
      </c>
      <c r="D86" s="1258"/>
      <c r="E86" s="1258" t="s">
        <v>133</v>
      </c>
      <c r="F86" s="1258"/>
      <c r="G86" s="1258" t="s">
        <v>136</v>
      </c>
      <c r="H86" s="1259"/>
      <c r="I86" s="1235"/>
      <c r="J86" s="1045"/>
      <c r="K86" s="100" t="s">
        <v>160</v>
      </c>
      <c r="L86" s="101" t="s">
        <v>161</v>
      </c>
      <c r="M86" s="79"/>
      <c r="N86" s="4"/>
      <c r="O86" s="37">
        <v>7</v>
      </c>
      <c r="P86" s="38" t="s">
        <v>157</v>
      </c>
    </row>
    <row r="87" spans="1:16" s="24" customFormat="1" ht="30" customHeight="1" x14ac:dyDescent="0.2">
      <c r="A87" s="18"/>
      <c r="B87" s="1039"/>
      <c r="C87" s="1257" t="s">
        <v>164</v>
      </c>
      <c r="D87" s="1258"/>
      <c r="E87" s="1258" t="s">
        <v>165</v>
      </c>
      <c r="F87" s="1258"/>
      <c r="G87" s="1258" t="s">
        <v>166</v>
      </c>
      <c r="H87" s="1259"/>
      <c r="I87" s="1235"/>
      <c r="J87" s="1045"/>
      <c r="K87" s="100" t="s">
        <v>160</v>
      </c>
      <c r="L87" s="101" t="s">
        <v>161</v>
      </c>
      <c r="M87" s="79"/>
      <c r="N87" s="4"/>
      <c r="O87" s="37">
        <v>7</v>
      </c>
      <c r="P87" s="38" t="s">
        <v>157</v>
      </c>
    </row>
    <row r="88" spans="1:16" s="24" customFormat="1" ht="30" customHeight="1" x14ac:dyDescent="0.2">
      <c r="A88" s="18"/>
      <c r="B88" s="1005"/>
      <c r="C88" s="1116" t="s">
        <v>167</v>
      </c>
      <c r="D88" s="1034"/>
      <c r="E88" s="102"/>
      <c r="F88" s="102"/>
      <c r="G88" s="102"/>
      <c r="H88" s="103"/>
      <c r="I88" s="936"/>
      <c r="J88" s="916"/>
      <c r="K88" s="100"/>
      <c r="L88" s="101"/>
      <c r="M88" s="79"/>
      <c r="N88" s="4"/>
      <c r="O88" s="37"/>
      <c r="P88" s="38"/>
    </row>
    <row r="89" spans="1:16" s="24" customFormat="1" ht="30" customHeight="1" x14ac:dyDescent="0.2">
      <c r="B89" s="1262" t="s">
        <v>168</v>
      </c>
      <c r="C89" s="1257" t="s">
        <v>27</v>
      </c>
      <c r="D89" s="1258"/>
      <c r="E89" s="1258" t="s">
        <v>169</v>
      </c>
      <c r="F89" s="1258"/>
      <c r="G89" s="1258" t="s">
        <v>170</v>
      </c>
      <c r="H89" s="1259"/>
      <c r="I89" s="935">
        <v>20</v>
      </c>
      <c r="J89" s="1255">
        <v>0.9</v>
      </c>
      <c r="K89" s="100" t="s">
        <v>171</v>
      </c>
      <c r="L89" s="101" t="s">
        <v>161</v>
      </c>
      <c r="M89" s="79"/>
      <c r="N89" s="46" t="s">
        <v>30</v>
      </c>
      <c r="O89" s="37">
        <v>7</v>
      </c>
      <c r="P89" s="38" t="s">
        <v>157</v>
      </c>
    </row>
    <row r="90" spans="1:16" s="24" customFormat="1" ht="30" customHeight="1" x14ac:dyDescent="0.2">
      <c r="B90" s="1263"/>
      <c r="C90" s="1257" t="s">
        <v>172</v>
      </c>
      <c r="D90" s="1258"/>
      <c r="E90" s="1258" t="s">
        <v>173</v>
      </c>
      <c r="F90" s="1258"/>
      <c r="G90" s="1258" t="s">
        <v>174</v>
      </c>
      <c r="H90" s="1259"/>
      <c r="I90" s="1235"/>
      <c r="J90" s="1256"/>
      <c r="K90" s="100" t="s">
        <v>171</v>
      </c>
      <c r="L90" s="101" t="s">
        <v>161</v>
      </c>
      <c r="M90" s="79"/>
      <c r="N90" s="4"/>
      <c r="O90" s="37">
        <v>7</v>
      </c>
      <c r="P90" s="38" t="s">
        <v>157</v>
      </c>
    </row>
    <row r="91" spans="1:16" s="24" customFormat="1" ht="30" customHeight="1" x14ac:dyDescent="0.2">
      <c r="B91" s="1263"/>
      <c r="C91" s="1257" t="s">
        <v>175</v>
      </c>
      <c r="D91" s="1258"/>
      <c r="E91" s="1258" t="s">
        <v>176</v>
      </c>
      <c r="F91" s="1258"/>
      <c r="G91" s="1258" t="s">
        <v>81</v>
      </c>
      <c r="H91" s="1259"/>
      <c r="I91" s="1235"/>
      <c r="J91" s="1256"/>
      <c r="K91" s="100" t="s">
        <v>171</v>
      </c>
      <c r="L91" s="101" t="s">
        <v>161</v>
      </c>
      <c r="M91" s="79"/>
      <c r="N91" s="4"/>
      <c r="O91" s="37">
        <v>7</v>
      </c>
      <c r="P91" s="38" t="s">
        <v>157</v>
      </c>
    </row>
    <row r="92" spans="1:16" s="24" customFormat="1" ht="30" customHeight="1" x14ac:dyDescent="0.2">
      <c r="B92" s="1263"/>
      <c r="C92" s="1257" t="s">
        <v>82</v>
      </c>
      <c r="D92" s="1258"/>
      <c r="E92" s="1258" t="s">
        <v>177</v>
      </c>
      <c r="F92" s="1258"/>
      <c r="G92" s="1180" t="s">
        <v>84</v>
      </c>
      <c r="H92" s="1180"/>
      <c r="I92" s="1235"/>
      <c r="J92" s="1256"/>
      <c r="K92" s="100" t="s">
        <v>171</v>
      </c>
      <c r="L92" s="101" t="s">
        <v>161</v>
      </c>
      <c r="M92" s="79"/>
      <c r="N92" s="4"/>
      <c r="O92" s="37">
        <v>7</v>
      </c>
      <c r="P92" s="38" t="s">
        <v>157</v>
      </c>
    </row>
    <row r="93" spans="1:16" s="24" customFormat="1" ht="42.75" customHeight="1" x14ac:dyDescent="0.2">
      <c r="A93" s="49" t="s">
        <v>69</v>
      </c>
      <c r="B93" s="1579"/>
      <c r="C93" s="1264" t="s">
        <v>820</v>
      </c>
      <c r="D93" s="1265"/>
      <c r="E93" s="1265"/>
      <c r="F93" s="1265"/>
      <c r="G93" s="1265"/>
      <c r="H93" s="1266"/>
      <c r="I93" s="936"/>
      <c r="J93" s="1578"/>
      <c r="K93" s="100" t="s">
        <v>171</v>
      </c>
      <c r="L93" s="101" t="s">
        <v>161</v>
      </c>
      <c r="M93" s="79"/>
      <c r="N93" s="4"/>
      <c r="O93" s="37">
        <v>7</v>
      </c>
      <c r="P93" s="38" t="s">
        <v>157</v>
      </c>
    </row>
    <row r="94" spans="1:16" s="24" customFormat="1" ht="76.5" customHeight="1" x14ac:dyDescent="0.2">
      <c r="A94" s="49"/>
      <c r="B94" s="471" t="s">
        <v>179</v>
      </c>
      <c r="C94" s="1285" t="s">
        <v>180</v>
      </c>
      <c r="D94" s="1286"/>
      <c r="E94" s="1286" t="s">
        <v>181</v>
      </c>
      <c r="F94" s="1286"/>
      <c r="G94" s="472"/>
      <c r="H94" s="473"/>
      <c r="I94" s="474">
        <v>60</v>
      </c>
      <c r="J94" s="42">
        <v>0.7</v>
      </c>
      <c r="K94" s="100" t="s">
        <v>182</v>
      </c>
      <c r="L94" s="101" t="s">
        <v>161</v>
      </c>
      <c r="M94" s="79"/>
      <c r="N94" s="46" t="s">
        <v>30</v>
      </c>
      <c r="O94" s="37">
        <v>7</v>
      </c>
      <c r="P94" s="38" t="s">
        <v>157</v>
      </c>
    </row>
    <row r="95" spans="1:16" s="24" customFormat="1" ht="94.5" customHeight="1" x14ac:dyDescent="0.2">
      <c r="A95" s="49"/>
      <c r="B95" s="1161" t="s">
        <v>183</v>
      </c>
      <c r="C95" s="1162"/>
      <c r="D95" s="1162"/>
      <c r="E95" s="1162"/>
      <c r="F95" s="1162"/>
      <c r="G95" s="1162"/>
      <c r="H95" s="1162"/>
      <c r="I95" s="1162"/>
      <c r="J95" s="1163"/>
      <c r="K95" s="100"/>
      <c r="L95" s="101"/>
      <c r="M95" s="79"/>
      <c r="N95" s="46"/>
      <c r="O95" s="37"/>
      <c r="P95" s="38"/>
    </row>
    <row r="96" spans="1:16" s="24" customFormat="1" ht="28.5" customHeight="1" x14ac:dyDescent="0.2">
      <c r="A96" s="49"/>
      <c r="B96" s="1252" t="s">
        <v>184</v>
      </c>
      <c r="C96" s="1252"/>
      <c r="D96" s="1252"/>
      <c r="E96" s="1252"/>
      <c r="F96" s="1252"/>
      <c r="G96" s="1252"/>
      <c r="H96" s="1252"/>
      <c r="I96" s="1252"/>
      <c r="J96" s="1252"/>
      <c r="K96" s="100"/>
      <c r="L96" s="101"/>
      <c r="M96" s="79"/>
      <c r="N96" s="46"/>
      <c r="O96" s="37"/>
      <c r="P96" s="38"/>
    </row>
    <row r="97" spans="1:16" s="24" customFormat="1" ht="21" customHeight="1" x14ac:dyDescent="0.2">
      <c r="B97" s="110"/>
      <c r="C97" s="111"/>
      <c r="D97" s="112"/>
      <c r="E97" s="112"/>
      <c r="F97" s="112"/>
      <c r="G97" s="112"/>
      <c r="H97" s="112"/>
      <c r="I97" s="113"/>
      <c r="J97" s="114"/>
    </row>
    <row r="98" spans="1:16" ht="30" customHeight="1" x14ac:dyDescent="0.2">
      <c r="A98" s="24"/>
      <c r="B98" s="904" t="s">
        <v>185</v>
      </c>
      <c r="C98" s="905"/>
      <c r="D98" s="905"/>
      <c r="E98" s="905"/>
      <c r="F98" s="905"/>
      <c r="G98" s="905"/>
      <c r="H98" s="906"/>
      <c r="I98" s="34" t="s">
        <v>17</v>
      </c>
      <c r="J98" s="35" t="s">
        <v>18</v>
      </c>
      <c r="K98" s="36" t="s">
        <v>186</v>
      </c>
      <c r="L98" s="37">
        <v>8</v>
      </c>
      <c r="M98" s="4"/>
      <c r="N98" s="46" t="s">
        <v>30</v>
      </c>
      <c r="O98" s="37">
        <v>8</v>
      </c>
      <c r="P98" s="38" t="s">
        <v>187</v>
      </c>
    </row>
    <row r="99" spans="1:16" ht="36" customHeight="1" x14ac:dyDescent="0.2">
      <c r="A99" s="24"/>
      <c r="B99" s="1268" t="s">
        <v>21</v>
      </c>
      <c r="C99" s="1268"/>
      <c r="D99" s="1268"/>
      <c r="E99" s="1268"/>
      <c r="F99" s="1268"/>
      <c r="G99" s="1268"/>
      <c r="H99" s="1268"/>
      <c r="I99" s="1268"/>
      <c r="J99" s="1268"/>
      <c r="K99" s="1"/>
      <c r="M99" s="4"/>
      <c r="O99" s="37">
        <v>8</v>
      </c>
      <c r="P99" s="38" t="s">
        <v>187</v>
      </c>
    </row>
    <row r="100" spans="1:16" s="45" customFormat="1" ht="161.25" customHeight="1" x14ac:dyDescent="0.2">
      <c r="A100" s="39"/>
      <c r="B100" s="115" t="s">
        <v>188</v>
      </c>
      <c r="C100" s="985" t="s">
        <v>821</v>
      </c>
      <c r="D100" s="986"/>
      <c r="E100" s="986"/>
      <c r="F100" s="986"/>
      <c r="G100" s="986"/>
      <c r="H100" s="987"/>
      <c r="I100" s="116">
        <v>40</v>
      </c>
      <c r="J100" s="42">
        <v>1</v>
      </c>
      <c r="K100" s="117" t="s">
        <v>24</v>
      </c>
      <c r="L100" s="117" t="s">
        <v>190</v>
      </c>
      <c r="M100" s="4"/>
      <c r="N100" s="18"/>
      <c r="O100" s="37">
        <v>8</v>
      </c>
      <c r="P100" s="38" t="s">
        <v>187</v>
      </c>
    </row>
    <row r="101" spans="1:16" ht="30" customHeight="1" x14ac:dyDescent="0.2">
      <c r="A101" s="24"/>
      <c r="B101" s="1309" t="s">
        <v>191</v>
      </c>
      <c r="C101" s="1217" t="s">
        <v>192</v>
      </c>
      <c r="D101" s="1016"/>
      <c r="E101" s="1016" t="s">
        <v>193</v>
      </c>
      <c r="F101" s="1016"/>
      <c r="G101" s="1016" t="s">
        <v>194</v>
      </c>
      <c r="H101" s="1125"/>
      <c r="I101" s="1312">
        <v>35</v>
      </c>
      <c r="J101" s="1241">
        <v>0.9</v>
      </c>
      <c r="K101" s="118" t="s">
        <v>26</v>
      </c>
      <c r="L101" s="117" t="s">
        <v>190</v>
      </c>
      <c r="M101" s="4"/>
      <c r="N101" s="46" t="s">
        <v>30</v>
      </c>
      <c r="O101" s="37">
        <v>8</v>
      </c>
      <c r="P101" s="38" t="s">
        <v>187</v>
      </c>
    </row>
    <row r="102" spans="1:16" ht="30" customHeight="1" x14ac:dyDescent="0.2">
      <c r="A102" s="24"/>
      <c r="B102" s="1310"/>
      <c r="C102" s="1244" t="s">
        <v>195</v>
      </c>
      <c r="D102" s="1245"/>
      <c r="E102" s="1245" t="s">
        <v>196</v>
      </c>
      <c r="F102" s="1245"/>
      <c r="G102" s="1245" t="s">
        <v>197</v>
      </c>
      <c r="H102" s="1246"/>
      <c r="I102" s="1313"/>
      <c r="J102" s="1242"/>
      <c r="K102" s="118" t="s">
        <v>26</v>
      </c>
      <c r="L102" s="117" t="s">
        <v>190</v>
      </c>
      <c r="M102" s="4"/>
      <c r="O102" s="37">
        <v>8</v>
      </c>
      <c r="P102" s="38" t="s">
        <v>187</v>
      </c>
    </row>
    <row r="103" spans="1:16" ht="30" customHeight="1" x14ac:dyDescent="0.2">
      <c r="A103" s="24"/>
      <c r="B103" s="1310"/>
      <c r="C103" s="1247" t="s">
        <v>31</v>
      </c>
      <c r="D103" s="1248"/>
      <c r="E103" s="1022" t="s">
        <v>198</v>
      </c>
      <c r="F103" s="1022"/>
      <c r="G103" s="1245" t="s">
        <v>199</v>
      </c>
      <c r="H103" s="1246"/>
      <c r="I103" s="1313"/>
      <c r="J103" s="1242"/>
      <c r="K103" s="118" t="s">
        <v>26</v>
      </c>
      <c r="L103" s="117" t="s">
        <v>190</v>
      </c>
      <c r="M103" s="4"/>
      <c r="O103" s="37">
        <v>8</v>
      </c>
      <c r="P103" s="38" t="s">
        <v>187</v>
      </c>
    </row>
    <row r="104" spans="1:16" ht="30" customHeight="1" x14ac:dyDescent="0.2">
      <c r="A104" s="24"/>
      <c r="B104" s="1310"/>
      <c r="C104" s="1046" t="s">
        <v>32</v>
      </c>
      <c r="D104" s="1022"/>
      <c r="E104" s="1022" t="s">
        <v>29</v>
      </c>
      <c r="F104" s="1022"/>
      <c r="G104" s="1022" t="s">
        <v>200</v>
      </c>
      <c r="H104" s="1028"/>
      <c r="I104" s="1313"/>
      <c r="J104" s="1242"/>
      <c r="K104" s="118" t="s">
        <v>26</v>
      </c>
      <c r="L104" s="117" t="s">
        <v>190</v>
      </c>
      <c r="M104" s="4"/>
      <c r="O104" s="37">
        <v>8</v>
      </c>
      <c r="P104" s="38" t="s">
        <v>187</v>
      </c>
    </row>
    <row r="105" spans="1:16" ht="30" customHeight="1" x14ac:dyDescent="0.2">
      <c r="A105" s="24"/>
      <c r="B105" s="1310"/>
      <c r="C105" s="1046" t="s">
        <v>38</v>
      </c>
      <c r="D105" s="1022"/>
      <c r="E105" s="1" t="s">
        <v>34</v>
      </c>
      <c r="G105" s="1022" t="s">
        <v>27</v>
      </c>
      <c r="H105" s="1028"/>
      <c r="I105" s="1313"/>
      <c r="J105" s="1242"/>
      <c r="K105" s="118" t="s">
        <v>26</v>
      </c>
      <c r="L105" s="117" t="s">
        <v>190</v>
      </c>
      <c r="M105" s="4"/>
      <c r="O105" s="37">
        <v>8</v>
      </c>
      <c r="P105" s="38" t="s">
        <v>187</v>
      </c>
    </row>
    <row r="106" spans="1:16" ht="30" customHeight="1" x14ac:dyDescent="0.2">
      <c r="A106" s="24"/>
      <c r="B106" s="1311"/>
      <c r="C106" s="1181" t="s">
        <v>37</v>
      </c>
      <c r="D106" s="1182"/>
      <c r="E106" s="1177" t="s">
        <v>39</v>
      </c>
      <c r="F106" s="1177"/>
      <c r="G106" s="1034"/>
      <c r="H106" s="1035"/>
      <c r="I106" s="1313"/>
      <c r="J106" s="1242"/>
      <c r="K106" s="118" t="s">
        <v>26</v>
      </c>
      <c r="L106" s="117" t="s">
        <v>190</v>
      </c>
      <c r="M106" s="4"/>
      <c r="O106" s="37">
        <v>8</v>
      </c>
      <c r="P106" s="38" t="s">
        <v>187</v>
      </c>
    </row>
    <row r="107" spans="1:16" ht="39.950000000000003" customHeight="1" x14ac:dyDescent="0.2">
      <c r="A107" s="24"/>
      <c r="B107" s="1236" t="s">
        <v>201</v>
      </c>
      <c r="C107" s="1144" t="s">
        <v>42</v>
      </c>
      <c r="D107" s="1145"/>
      <c r="E107" s="1180" t="s">
        <v>202</v>
      </c>
      <c r="F107" s="1180"/>
      <c r="G107" s="1180" t="s">
        <v>203</v>
      </c>
      <c r="H107" s="1227"/>
      <c r="I107" s="1312">
        <v>35</v>
      </c>
      <c r="J107" s="1241">
        <v>0.9</v>
      </c>
      <c r="K107" s="118" t="s">
        <v>40</v>
      </c>
      <c r="L107" s="117" t="s">
        <v>190</v>
      </c>
      <c r="M107" s="4"/>
      <c r="N107" s="46" t="s">
        <v>30</v>
      </c>
      <c r="O107" s="37">
        <v>8</v>
      </c>
      <c r="P107" s="38" t="s">
        <v>187</v>
      </c>
    </row>
    <row r="108" spans="1:16" ht="39.950000000000003" customHeight="1" x14ac:dyDescent="0.2">
      <c r="A108" s="24"/>
      <c r="B108" s="1237"/>
      <c r="C108" s="1144" t="s">
        <v>204</v>
      </c>
      <c r="D108" s="1145"/>
      <c r="E108" s="1145" t="s">
        <v>234</v>
      </c>
      <c r="F108" s="1145"/>
      <c r="G108" s="1145" t="s">
        <v>206</v>
      </c>
      <c r="H108" s="1146"/>
      <c r="I108" s="1313"/>
      <c r="J108" s="1242"/>
      <c r="K108" s="118" t="s">
        <v>40</v>
      </c>
      <c r="L108" s="117" t="s">
        <v>190</v>
      </c>
      <c r="M108" s="4"/>
      <c r="O108" s="37">
        <v>8</v>
      </c>
      <c r="P108" s="38" t="s">
        <v>187</v>
      </c>
    </row>
    <row r="109" spans="1:16" ht="39.950000000000003" customHeight="1" x14ac:dyDescent="0.2">
      <c r="A109" s="24"/>
      <c r="B109" s="1237"/>
      <c r="C109" s="1144" t="s">
        <v>207</v>
      </c>
      <c r="D109" s="1145"/>
      <c r="E109" s="1145" t="s">
        <v>208</v>
      </c>
      <c r="F109" s="1145"/>
      <c r="G109" s="957" t="s">
        <v>63</v>
      </c>
      <c r="H109" s="958"/>
      <c r="I109" s="1313"/>
      <c r="J109" s="1242"/>
      <c r="K109" s="118" t="s">
        <v>40</v>
      </c>
      <c r="L109" s="117" t="s">
        <v>190</v>
      </c>
      <c r="M109" s="4"/>
      <c r="O109" s="37">
        <v>8</v>
      </c>
      <c r="P109" s="38" t="s">
        <v>187</v>
      </c>
    </row>
    <row r="110" spans="1:16" ht="39.950000000000003" customHeight="1" x14ac:dyDescent="0.2">
      <c r="A110" s="24"/>
      <c r="B110" s="1237"/>
      <c r="C110" s="1144" t="s">
        <v>209</v>
      </c>
      <c r="D110" s="1145"/>
      <c r="E110" s="1145" t="s">
        <v>44</v>
      </c>
      <c r="F110" s="1145"/>
      <c r="G110" s="1145" t="s">
        <v>48</v>
      </c>
      <c r="H110" s="1146"/>
      <c r="I110" s="1313"/>
      <c r="J110" s="1242"/>
      <c r="K110" s="118" t="s">
        <v>40</v>
      </c>
      <c r="L110" s="117" t="s">
        <v>190</v>
      </c>
      <c r="M110" s="4"/>
      <c r="O110" s="37">
        <v>8</v>
      </c>
      <c r="P110" s="38" t="s">
        <v>187</v>
      </c>
    </row>
    <row r="111" spans="1:16" ht="39.950000000000003" customHeight="1" x14ac:dyDescent="0.2">
      <c r="A111" s="24"/>
      <c r="B111" s="1237"/>
      <c r="C111" s="965" t="s">
        <v>54</v>
      </c>
      <c r="D111" s="957"/>
      <c r="E111" s="957" t="s">
        <v>58</v>
      </c>
      <c r="F111" s="957"/>
      <c r="G111" s="1145"/>
      <c r="H111" s="1146"/>
      <c r="I111" s="1313"/>
      <c r="J111" s="1242"/>
      <c r="K111" s="118" t="s">
        <v>40</v>
      </c>
      <c r="L111" s="117" t="s">
        <v>190</v>
      </c>
      <c r="M111" s="4"/>
      <c r="O111" s="37">
        <v>8</v>
      </c>
      <c r="P111" s="38" t="s">
        <v>187</v>
      </c>
    </row>
    <row r="112" spans="1:16" ht="48.75" customHeight="1" x14ac:dyDescent="0.2">
      <c r="A112" s="24"/>
      <c r="B112" s="1237"/>
      <c r="C112" s="1147" t="s">
        <v>210</v>
      </c>
      <c r="D112" s="1148"/>
      <c r="E112" s="1148"/>
      <c r="F112" s="1148"/>
      <c r="G112" s="1148"/>
      <c r="H112" s="1152"/>
      <c r="I112" s="1314"/>
      <c r="J112" s="1243"/>
      <c r="K112" s="118" t="s">
        <v>40</v>
      </c>
      <c r="L112" s="117" t="s">
        <v>190</v>
      </c>
      <c r="M112" s="79"/>
      <c r="N112" s="4"/>
      <c r="O112" s="37">
        <v>8</v>
      </c>
      <c r="P112" s="38" t="s">
        <v>187</v>
      </c>
    </row>
    <row r="113" spans="1:17" ht="30" customHeight="1" x14ac:dyDescent="0.2">
      <c r="A113" s="24"/>
      <c r="B113" s="1047" t="s">
        <v>211</v>
      </c>
      <c r="C113" s="1217" t="s">
        <v>212</v>
      </c>
      <c r="D113" s="1016"/>
      <c r="E113" s="1016" t="s">
        <v>213</v>
      </c>
      <c r="F113" s="1016"/>
      <c r="G113" s="1016" t="s">
        <v>214</v>
      </c>
      <c r="H113" s="1125"/>
      <c r="I113" s="1042">
        <v>40</v>
      </c>
      <c r="J113" s="915">
        <v>0.9</v>
      </c>
      <c r="K113" s="118" t="s">
        <v>71</v>
      </c>
      <c r="L113" s="117" t="s">
        <v>190</v>
      </c>
      <c r="M113" s="4"/>
      <c r="N113" s="46" t="s">
        <v>30</v>
      </c>
      <c r="O113" s="37">
        <v>8</v>
      </c>
      <c r="P113" s="38" t="s">
        <v>187</v>
      </c>
    </row>
    <row r="114" spans="1:17" ht="30" customHeight="1" x14ac:dyDescent="0.2">
      <c r="A114" s="24"/>
      <c r="B114" s="1109"/>
      <c r="C114" s="1216" t="s">
        <v>215</v>
      </c>
      <c r="D114" s="1108"/>
      <c r="E114" s="1180" t="s">
        <v>216</v>
      </c>
      <c r="F114" s="1180"/>
      <c r="G114" s="1180" t="s">
        <v>79</v>
      </c>
      <c r="H114" s="1227"/>
      <c r="I114" s="1043"/>
      <c r="J114" s="1045"/>
      <c r="K114" s="118" t="s">
        <v>71</v>
      </c>
      <c r="L114" s="117" t="s">
        <v>190</v>
      </c>
      <c r="M114" s="4"/>
      <c r="O114" s="37">
        <v>8</v>
      </c>
      <c r="P114" s="38" t="s">
        <v>187</v>
      </c>
    </row>
    <row r="115" spans="1:17" ht="30" customHeight="1" x14ac:dyDescent="0.2">
      <c r="A115" s="24"/>
      <c r="B115" s="1109"/>
      <c r="C115" s="1218" t="s">
        <v>74</v>
      </c>
      <c r="D115" s="1180"/>
      <c r="E115" s="1180" t="s">
        <v>217</v>
      </c>
      <c r="F115" s="1180"/>
      <c r="G115" s="1022" t="s">
        <v>82</v>
      </c>
      <c r="H115" s="1028"/>
      <c r="I115" s="1043"/>
      <c r="J115" s="1045"/>
      <c r="K115" s="118" t="s">
        <v>71</v>
      </c>
      <c r="L115" s="117" t="s">
        <v>190</v>
      </c>
      <c r="M115" s="4"/>
      <c r="O115" s="37">
        <v>8</v>
      </c>
      <c r="P115" s="38" t="s">
        <v>187</v>
      </c>
    </row>
    <row r="116" spans="1:17" ht="30" customHeight="1" x14ac:dyDescent="0.2">
      <c r="A116" s="24"/>
      <c r="B116" s="1109"/>
      <c r="C116" s="1046" t="s">
        <v>80</v>
      </c>
      <c r="D116" s="1022"/>
      <c r="E116" s="1180" t="s">
        <v>72</v>
      </c>
      <c r="F116" s="1180"/>
      <c r="G116" s="1180" t="s">
        <v>75</v>
      </c>
      <c r="H116" s="1227"/>
      <c r="I116" s="1043"/>
      <c r="J116" s="1045"/>
      <c r="K116" s="118" t="s">
        <v>71</v>
      </c>
      <c r="L116" s="117" t="s">
        <v>190</v>
      </c>
      <c r="M116" s="4"/>
      <c r="O116" s="37">
        <v>8</v>
      </c>
      <c r="P116" s="38" t="s">
        <v>187</v>
      </c>
    </row>
    <row r="117" spans="1:17" ht="30" customHeight="1" x14ac:dyDescent="0.2">
      <c r="A117" s="24"/>
      <c r="B117" s="1109"/>
      <c r="C117" s="1218" t="s">
        <v>76</v>
      </c>
      <c r="D117" s="1180"/>
      <c r="E117" s="1022" t="s">
        <v>81</v>
      </c>
      <c r="F117" s="1022"/>
      <c r="G117" s="1180" t="s">
        <v>73</v>
      </c>
      <c r="H117" s="1227"/>
      <c r="I117" s="1043"/>
      <c r="J117" s="1045"/>
      <c r="K117" s="118" t="s">
        <v>71</v>
      </c>
      <c r="L117" s="117" t="s">
        <v>190</v>
      </c>
      <c r="M117" s="4"/>
      <c r="O117" s="37">
        <v>8</v>
      </c>
      <c r="P117" s="38" t="s">
        <v>187</v>
      </c>
    </row>
    <row r="118" spans="1:17" ht="30" customHeight="1" x14ac:dyDescent="0.2">
      <c r="A118" s="24"/>
      <c r="B118" s="1109"/>
      <c r="C118" s="1046" t="s">
        <v>78</v>
      </c>
      <c r="D118" s="1022"/>
      <c r="E118" s="1180" t="s">
        <v>77</v>
      </c>
      <c r="F118" s="1180"/>
      <c r="G118" s="1022" t="s">
        <v>218</v>
      </c>
      <c r="H118" s="1028"/>
      <c r="I118" s="1043"/>
      <c r="J118" s="1045"/>
      <c r="K118" s="118" t="s">
        <v>71</v>
      </c>
      <c r="L118" s="117" t="s">
        <v>190</v>
      </c>
      <c r="M118" s="4"/>
      <c r="O118" s="37">
        <v>8</v>
      </c>
      <c r="P118" s="38" t="s">
        <v>187</v>
      </c>
    </row>
    <row r="119" spans="1:17" ht="39.950000000000003" customHeight="1" x14ac:dyDescent="0.2">
      <c r="B119" s="119" t="s">
        <v>219</v>
      </c>
      <c r="C119" s="1208" t="s">
        <v>86</v>
      </c>
      <c r="D119" s="1209"/>
      <c r="E119" s="865"/>
      <c r="F119" s="865"/>
      <c r="G119" s="1233"/>
      <c r="H119" s="1234"/>
      <c r="I119" s="154">
        <v>40</v>
      </c>
      <c r="J119" s="121">
        <v>0.85</v>
      </c>
      <c r="K119" s="118" t="s">
        <v>85</v>
      </c>
      <c r="L119" s="117" t="s">
        <v>190</v>
      </c>
      <c r="M119" s="79"/>
      <c r="N119" s="46" t="s">
        <v>30</v>
      </c>
      <c r="O119" s="37">
        <v>8</v>
      </c>
      <c r="P119" s="38" t="s">
        <v>187</v>
      </c>
    </row>
    <row r="120" spans="1:17" ht="39.950000000000003" customHeight="1" x14ac:dyDescent="0.2">
      <c r="B120" s="1309" t="s">
        <v>220</v>
      </c>
      <c r="C120" s="1187" t="s">
        <v>88</v>
      </c>
      <c r="D120" s="1188"/>
      <c r="E120" s="1130" t="s">
        <v>89</v>
      </c>
      <c r="F120" s="1130"/>
      <c r="G120" s="1195" t="s">
        <v>90</v>
      </c>
      <c r="H120" s="1226"/>
      <c r="I120" s="1042">
        <v>45</v>
      </c>
      <c r="J120" s="915">
        <v>0.85</v>
      </c>
      <c r="K120" s="118" t="s">
        <v>87</v>
      </c>
      <c r="L120" s="117" t="s">
        <v>190</v>
      </c>
      <c r="M120" s="79"/>
      <c r="N120" s="46" t="s">
        <v>30</v>
      </c>
      <c r="O120" s="37">
        <v>8</v>
      </c>
      <c r="P120" s="38" t="s">
        <v>187</v>
      </c>
      <c r="Q120"/>
    </row>
    <row r="121" spans="1:17" ht="39.950000000000003" customHeight="1" x14ac:dyDescent="0.2">
      <c r="B121" s="1310"/>
      <c r="C121" s="1211" t="s">
        <v>92</v>
      </c>
      <c r="D121" s="1190"/>
      <c r="E121" s="969" t="s">
        <v>221</v>
      </c>
      <c r="F121" s="969"/>
      <c r="G121" s="969" t="s">
        <v>222</v>
      </c>
      <c r="H121" s="1193"/>
      <c r="I121" s="1043"/>
      <c r="J121" s="1045"/>
      <c r="K121" s="118" t="s">
        <v>87</v>
      </c>
      <c r="L121" s="117" t="s">
        <v>190</v>
      </c>
      <c r="M121" s="79"/>
      <c r="N121" s="122"/>
      <c r="O121" s="37">
        <v>8</v>
      </c>
      <c r="P121" s="38" t="s">
        <v>187</v>
      </c>
      <c r="Q121"/>
    </row>
    <row r="122" spans="1:17" ht="39.950000000000003" customHeight="1" x14ac:dyDescent="0.2">
      <c r="B122" s="1310"/>
      <c r="C122" s="1046" t="s">
        <v>223</v>
      </c>
      <c r="D122" s="1022"/>
      <c r="E122" s="1022" t="s">
        <v>224</v>
      </c>
      <c r="F122" s="1022"/>
      <c r="G122" s="957" t="s">
        <v>225</v>
      </c>
      <c r="H122" s="958"/>
      <c r="I122" s="1043"/>
      <c r="J122" s="1045"/>
      <c r="K122" s="118" t="s">
        <v>87</v>
      </c>
      <c r="L122" s="117" t="s">
        <v>190</v>
      </c>
      <c r="M122" s="79"/>
      <c r="N122" s="122"/>
      <c r="O122" s="37">
        <v>8</v>
      </c>
      <c r="P122" s="38" t="s">
        <v>187</v>
      </c>
      <c r="Q122"/>
    </row>
    <row r="123" spans="1:17" ht="39.950000000000003" customHeight="1" x14ac:dyDescent="0.2">
      <c r="B123" s="1310"/>
      <c r="C123" s="1046" t="s">
        <v>226</v>
      </c>
      <c r="D123" s="1022"/>
      <c r="E123" s="1022" t="s">
        <v>227</v>
      </c>
      <c r="F123" s="1022"/>
      <c r="G123" s="24" t="s">
        <v>94</v>
      </c>
      <c r="H123" s="123"/>
      <c r="I123" s="1043"/>
      <c r="J123" s="1045"/>
      <c r="K123" s="118" t="s">
        <v>87</v>
      </c>
      <c r="L123" s="117" t="s">
        <v>190</v>
      </c>
      <c r="M123" s="79"/>
      <c r="N123" s="122"/>
      <c r="O123" s="37">
        <v>8</v>
      </c>
      <c r="P123" s="38" t="s">
        <v>187</v>
      </c>
      <c r="Q123"/>
    </row>
    <row r="124" spans="1:17" ht="39.950000000000003" customHeight="1" x14ac:dyDescent="0.2">
      <c r="B124" s="1311"/>
      <c r="C124" s="1116" t="s">
        <v>95</v>
      </c>
      <c r="D124" s="1034"/>
      <c r="E124" s="90"/>
      <c r="F124" s="90"/>
      <c r="G124" s="50"/>
      <c r="H124" s="124"/>
      <c r="I124" s="1044"/>
      <c r="J124" s="916"/>
      <c r="K124" s="118" t="s">
        <v>87</v>
      </c>
      <c r="L124" s="117" t="s">
        <v>190</v>
      </c>
      <c r="M124" s="79"/>
      <c r="N124" s="122"/>
      <c r="O124" s="37">
        <v>8</v>
      </c>
      <c r="P124" s="38" t="s">
        <v>187</v>
      </c>
      <c r="Q124"/>
    </row>
    <row r="125" spans="1:17" ht="20.100000000000001" customHeight="1" x14ac:dyDescent="0.2">
      <c r="B125" s="125"/>
      <c r="C125" s="140"/>
      <c r="D125" s="140"/>
      <c r="E125" s="140"/>
      <c r="F125" s="140"/>
      <c r="G125" s="140"/>
      <c r="H125" s="140"/>
      <c r="I125" s="127"/>
      <c r="J125" s="128"/>
    </row>
    <row r="126" spans="1:17" ht="30" customHeight="1" x14ac:dyDescent="0.2">
      <c r="B126" s="904" t="s">
        <v>228</v>
      </c>
      <c r="C126" s="905"/>
      <c r="D126" s="905"/>
      <c r="E126" s="905"/>
      <c r="F126" s="905"/>
      <c r="G126" s="905"/>
      <c r="H126" s="906"/>
      <c r="I126" s="34" t="s">
        <v>17</v>
      </c>
      <c r="J126" s="35" t="s">
        <v>18</v>
      </c>
      <c r="K126" s="36" t="s">
        <v>230</v>
      </c>
      <c r="L126" s="37">
        <v>9</v>
      </c>
      <c r="N126" s="46" t="s">
        <v>30</v>
      </c>
      <c r="O126" s="37">
        <v>9</v>
      </c>
    </row>
    <row r="127" spans="1:17" ht="30" customHeight="1" x14ac:dyDescent="0.2">
      <c r="B127" s="946" t="s">
        <v>822</v>
      </c>
      <c r="C127" s="1547"/>
      <c r="D127" s="1547"/>
      <c r="E127" s="1547"/>
      <c r="F127" s="1547"/>
      <c r="G127" s="1547"/>
      <c r="H127" s="1547"/>
      <c r="I127" s="947"/>
      <c r="J127" s="948"/>
      <c r="K127" s="36" t="s">
        <v>230</v>
      </c>
      <c r="L127" s="37">
        <v>9</v>
      </c>
      <c r="O127" s="37">
        <v>9</v>
      </c>
    </row>
    <row r="128" spans="1:17" ht="30" customHeight="1" x14ac:dyDescent="0.2">
      <c r="B128" s="1231" t="s">
        <v>26</v>
      </c>
      <c r="C128" s="1203" t="s">
        <v>217</v>
      </c>
      <c r="D128" s="1204"/>
      <c r="E128" s="1204" t="s">
        <v>231</v>
      </c>
      <c r="F128" s="1204"/>
      <c r="G128" s="1204" t="s">
        <v>226</v>
      </c>
      <c r="H128" s="1205"/>
      <c r="I128" s="1042" t="s">
        <v>232</v>
      </c>
      <c r="J128" s="1255">
        <v>1</v>
      </c>
      <c r="K128" s="36" t="s">
        <v>230</v>
      </c>
      <c r="L128" s="37">
        <v>9</v>
      </c>
      <c r="O128" s="37">
        <v>9</v>
      </c>
    </row>
    <row r="129" spans="1:16" ht="30" customHeight="1" x14ac:dyDescent="0.2">
      <c r="B129" s="1052"/>
      <c r="C129" s="889" t="s">
        <v>196</v>
      </c>
      <c r="D129" s="890"/>
      <c r="E129" s="969" t="s">
        <v>233</v>
      </c>
      <c r="F129" s="969"/>
      <c r="G129" s="969" t="s">
        <v>234</v>
      </c>
      <c r="H129" s="1193"/>
      <c r="I129" s="1043"/>
      <c r="J129" s="1256"/>
      <c r="K129" s="36" t="s">
        <v>230</v>
      </c>
      <c r="L129" s="37">
        <v>9</v>
      </c>
      <c r="O129" s="37">
        <v>9</v>
      </c>
    </row>
    <row r="130" spans="1:16" ht="30" customHeight="1" x14ac:dyDescent="0.2">
      <c r="B130" s="1053"/>
      <c r="C130" s="475" t="s">
        <v>198</v>
      </c>
      <c r="D130" s="476"/>
      <c r="E130" s="132"/>
      <c r="F130" s="132"/>
      <c r="G130" s="132"/>
      <c r="H130" s="133"/>
      <c r="I130" s="1044"/>
      <c r="J130" s="1578"/>
      <c r="K130" s="36" t="s">
        <v>230</v>
      </c>
      <c r="L130" s="37">
        <v>9</v>
      </c>
      <c r="O130" s="37">
        <v>9</v>
      </c>
    </row>
    <row r="131" spans="1:16" ht="84" customHeight="1" x14ac:dyDescent="0.2">
      <c r="B131" s="1232" t="s">
        <v>235</v>
      </c>
      <c r="C131" s="862"/>
      <c r="D131" s="862"/>
      <c r="E131" s="862"/>
      <c r="F131" s="862"/>
      <c r="G131" s="862"/>
      <c r="H131" s="862"/>
      <c r="I131" s="1233"/>
      <c r="J131" s="1234"/>
      <c r="K131" s="36" t="s">
        <v>230</v>
      </c>
      <c r="L131" s="37">
        <v>9</v>
      </c>
      <c r="O131" s="37">
        <v>9</v>
      </c>
    </row>
    <row r="132" spans="1:16" ht="20.100000000000001" customHeight="1" x14ac:dyDescent="0.2">
      <c r="B132" s="134"/>
      <c r="C132" s="134"/>
      <c r="D132" s="134"/>
      <c r="E132" s="134"/>
      <c r="F132" s="134"/>
      <c r="G132" s="134"/>
      <c r="H132" s="134"/>
      <c r="I132" s="134"/>
      <c r="J132" s="135"/>
      <c r="L132" s="4"/>
      <c r="O132" s="4"/>
    </row>
    <row r="133" spans="1:16" ht="30" customHeight="1" x14ac:dyDescent="0.2">
      <c r="B133" s="904" t="s">
        <v>237</v>
      </c>
      <c r="C133" s="905"/>
      <c r="D133" s="905"/>
      <c r="E133" s="905"/>
      <c r="F133" s="905"/>
      <c r="G133" s="905"/>
      <c r="H133" s="906"/>
      <c r="I133" s="34" t="s">
        <v>17</v>
      </c>
      <c r="J133" s="35" t="s">
        <v>18</v>
      </c>
      <c r="L133" s="4"/>
      <c r="O133" s="4"/>
    </row>
    <row r="134" spans="1:16" ht="32.1" customHeight="1" x14ac:dyDescent="0.2">
      <c r="B134" s="232" t="s">
        <v>26</v>
      </c>
      <c r="C134" s="1232" t="s">
        <v>239</v>
      </c>
      <c r="D134" s="1233"/>
      <c r="E134" s="1233"/>
      <c r="F134" s="1233"/>
      <c r="G134" s="1233"/>
      <c r="H134" s="1234"/>
      <c r="I134" s="61">
        <v>170</v>
      </c>
      <c r="J134" s="42">
        <v>1</v>
      </c>
      <c r="L134" s="4"/>
      <c r="O134" s="4"/>
    </row>
    <row r="135" spans="1:16" ht="20.100000000000001" customHeight="1" x14ac:dyDescent="0.2">
      <c r="B135" s="477"/>
      <c r="C135" s="21"/>
      <c r="D135" s="47"/>
      <c r="E135" s="47"/>
      <c r="F135" s="47"/>
      <c r="G135" s="47"/>
      <c r="H135" s="47"/>
      <c r="I135" s="64"/>
      <c r="J135" s="65"/>
    </row>
    <row r="136" spans="1:16" ht="30" customHeight="1" x14ac:dyDescent="0.2">
      <c r="A136" s="24"/>
      <c r="B136" s="904" t="s">
        <v>240</v>
      </c>
      <c r="C136" s="905"/>
      <c r="D136" s="905"/>
      <c r="E136" s="905"/>
      <c r="F136" s="905"/>
      <c r="G136" s="905"/>
      <c r="H136" s="906"/>
      <c r="I136" s="34" t="s">
        <v>17</v>
      </c>
      <c r="J136" s="35" t="s">
        <v>18</v>
      </c>
      <c r="K136" s="36" t="s">
        <v>242</v>
      </c>
      <c r="L136" s="37">
        <v>10</v>
      </c>
      <c r="N136" s="46" t="s">
        <v>30</v>
      </c>
      <c r="O136" s="37">
        <v>10</v>
      </c>
      <c r="P136" s="38" t="s">
        <v>243</v>
      </c>
    </row>
    <row r="137" spans="1:16" ht="36" customHeight="1" x14ac:dyDescent="0.2">
      <c r="A137" s="24"/>
      <c r="B137" s="946" t="s">
        <v>823</v>
      </c>
      <c r="C137" s="947"/>
      <c r="D137" s="947"/>
      <c r="E137" s="947"/>
      <c r="F137" s="947"/>
      <c r="G137" s="947"/>
      <c r="H137" s="947"/>
      <c r="I137" s="947"/>
      <c r="J137" s="948"/>
      <c r="O137" s="37">
        <v>10</v>
      </c>
      <c r="P137" s="38" t="s">
        <v>243</v>
      </c>
    </row>
    <row r="138" spans="1:16" ht="39.950000000000003" customHeight="1" x14ac:dyDescent="0.2">
      <c r="A138" s="24"/>
      <c r="B138" s="1231" t="s">
        <v>26</v>
      </c>
      <c r="C138" s="1203" t="s">
        <v>32</v>
      </c>
      <c r="D138" s="1204"/>
      <c r="E138" s="1188" t="s">
        <v>170</v>
      </c>
      <c r="F138" s="1188"/>
      <c r="G138" s="1204" t="s">
        <v>35</v>
      </c>
      <c r="H138" s="1205"/>
      <c r="I138" s="1110" t="s">
        <v>924</v>
      </c>
      <c r="J138" s="915">
        <v>0.9</v>
      </c>
      <c r="K138" s="43" t="s">
        <v>26</v>
      </c>
      <c r="L138" s="44" t="s">
        <v>246</v>
      </c>
      <c r="O138" s="37">
        <v>10</v>
      </c>
      <c r="P138" s="38" t="s">
        <v>243</v>
      </c>
    </row>
    <row r="139" spans="1:16" ht="30" customHeight="1" x14ac:dyDescent="0.2">
      <c r="A139" s="24"/>
      <c r="B139" s="1052"/>
      <c r="C139" s="137" t="s">
        <v>29</v>
      </c>
      <c r="D139" s="134"/>
      <c r="E139" s="1180" t="s">
        <v>31</v>
      </c>
      <c r="F139" s="1180"/>
      <c r="G139" s="1192" t="s">
        <v>27</v>
      </c>
      <c r="H139" s="1215"/>
      <c r="I139" s="1111"/>
      <c r="J139" s="1045"/>
      <c r="K139" s="43" t="s">
        <v>26</v>
      </c>
      <c r="L139" s="44" t="s">
        <v>246</v>
      </c>
      <c r="O139" s="37">
        <v>10</v>
      </c>
      <c r="P139" s="38" t="s">
        <v>243</v>
      </c>
    </row>
    <row r="140" spans="1:16" ht="39.950000000000003" customHeight="1" x14ac:dyDescent="0.2">
      <c r="A140" s="24"/>
      <c r="B140" s="1053"/>
      <c r="C140" s="1194" t="s">
        <v>38</v>
      </c>
      <c r="D140" s="1177"/>
      <c r="E140" s="1213"/>
      <c r="F140" s="1213"/>
      <c r="G140" s="862"/>
      <c r="H140" s="863"/>
      <c r="I140" s="1112"/>
      <c r="J140" s="916"/>
      <c r="K140" s="43" t="s">
        <v>26</v>
      </c>
      <c r="L140" s="44" t="s">
        <v>246</v>
      </c>
      <c r="O140" s="37">
        <v>10</v>
      </c>
      <c r="P140" s="38" t="s">
        <v>243</v>
      </c>
    </row>
    <row r="141" spans="1:16" ht="39.950000000000003" customHeight="1" x14ac:dyDescent="0.2">
      <c r="A141" s="24"/>
      <c r="B141" s="1047" t="s">
        <v>40</v>
      </c>
      <c r="C141" s="1214" t="s">
        <v>42</v>
      </c>
      <c r="D141" s="1195"/>
      <c r="E141" s="1195" t="s">
        <v>44</v>
      </c>
      <c r="F141" s="1195"/>
      <c r="G141" s="1195" t="s">
        <v>45</v>
      </c>
      <c r="H141" s="1226"/>
      <c r="I141" s="1110" t="s">
        <v>924</v>
      </c>
      <c r="J141" s="915">
        <v>0.9</v>
      </c>
      <c r="K141" s="43" t="s">
        <v>40</v>
      </c>
      <c r="L141" s="44" t="s">
        <v>246</v>
      </c>
      <c r="M141" s="4"/>
      <c r="N141" s="46" t="s">
        <v>30</v>
      </c>
      <c r="O141" s="37">
        <v>10</v>
      </c>
      <c r="P141" s="38" t="s">
        <v>243</v>
      </c>
    </row>
    <row r="142" spans="1:16" ht="39.950000000000003" customHeight="1" x14ac:dyDescent="0.2">
      <c r="A142" s="24"/>
      <c r="B142" s="1109"/>
      <c r="C142" s="1133" t="s">
        <v>55</v>
      </c>
      <c r="D142" s="1132"/>
      <c r="E142" s="1132" t="s">
        <v>47</v>
      </c>
      <c r="F142" s="1132"/>
      <c r="G142" s="1190" t="s">
        <v>48</v>
      </c>
      <c r="H142" s="1212"/>
      <c r="I142" s="1111"/>
      <c r="J142" s="1045"/>
      <c r="K142" s="43" t="s">
        <v>40</v>
      </c>
      <c r="L142" s="44" t="s">
        <v>246</v>
      </c>
      <c r="M142" s="4"/>
      <c r="O142" s="37">
        <v>10</v>
      </c>
      <c r="P142" s="38" t="s">
        <v>243</v>
      </c>
    </row>
    <row r="143" spans="1:16" ht="39.950000000000003" customHeight="1" x14ac:dyDescent="0.2">
      <c r="A143" s="24"/>
      <c r="B143" s="1109"/>
      <c r="C143" s="1211" t="s">
        <v>46</v>
      </c>
      <c r="D143" s="1190"/>
      <c r="E143" s="1132" t="s">
        <v>267</v>
      </c>
      <c r="F143" s="1132"/>
      <c r="G143" s="1132" t="s">
        <v>64</v>
      </c>
      <c r="H143" s="1132"/>
      <c r="I143" s="1111"/>
      <c r="J143" s="1045"/>
      <c r="K143" s="43" t="s">
        <v>40</v>
      </c>
      <c r="L143" s="44" t="s">
        <v>246</v>
      </c>
      <c r="M143" s="4"/>
      <c r="O143" s="37">
        <v>10</v>
      </c>
      <c r="P143" s="38" t="s">
        <v>243</v>
      </c>
    </row>
    <row r="144" spans="1:16" ht="50.1" customHeight="1" x14ac:dyDescent="0.2">
      <c r="A144" s="24"/>
      <c r="B144" s="1109"/>
      <c r="C144" s="1211" t="s">
        <v>49</v>
      </c>
      <c r="D144" s="1190"/>
      <c r="E144" s="1132" t="s">
        <v>62</v>
      </c>
      <c r="F144" s="1132"/>
      <c r="G144" s="1132" t="s">
        <v>54</v>
      </c>
      <c r="H144" s="1134"/>
      <c r="I144" s="1111"/>
      <c r="J144" s="1045"/>
      <c r="K144" s="43" t="s">
        <v>40</v>
      </c>
      <c r="L144" s="44" t="s">
        <v>246</v>
      </c>
      <c r="M144" s="4"/>
      <c r="O144" s="37">
        <v>10</v>
      </c>
      <c r="P144" s="38" t="s">
        <v>243</v>
      </c>
    </row>
    <row r="145" spans="1:16" ht="39.950000000000003" customHeight="1" x14ac:dyDescent="0.2">
      <c r="A145" s="24"/>
      <c r="B145" s="1109"/>
      <c r="C145" s="1132" t="s">
        <v>68</v>
      </c>
      <c r="D145" s="1132"/>
      <c r="E145" s="1132" t="s">
        <v>56</v>
      </c>
      <c r="F145" s="1132"/>
      <c r="G145" s="1132" t="s">
        <v>58</v>
      </c>
      <c r="H145" s="1134"/>
      <c r="I145" s="1111"/>
      <c r="J145" s="1045"/>
      <c r="K145" s="43" t="s">
        <v>40</v>
      </c>
      <c r="L145" s="44" t="s">
        <v>246</v>
      </c>
      <c r="M145" s="4"/>
      <c r="O145" s="37">
        <v>10</v>
      </c>
      <c r="P145" s="38" t="s">
        <v>243</v>
      </c>
    </row>
    <row r="146" spans="1:16" ht="41.25" customHeight="1" x14ac:dyDescent="0.2">
      <c r="A146" s="49" t="s">
        <v>69</v>
      </c>
      <c r="B146" s="1048"/>
      <c r="C146" s="1211" t="s">
        <v>249</v>
      </c>
      <c r="D146" s="1190"/>
      <c r="E146" s="1190"/>
      <c r="F146" s="1190"/>
      <c r="G146" s="1190"/>
      <c r="H146" s="1212"/>
      <c r="I146" s="1112"/>
      <c r="J146" s="916"/>
      <c r="K146" s="43" t="s">
        <v>40</v>
      </c>
      <c r="L146" s="44" t="s">
        <v>246</v>
      </c>
      <c r="M146" s="4"/>
      <c r="O146" s="37">
        <v>10</v>
      </c>
      <c r="P146" s="38" t="s">
        <v>243</v>
      </c>
    </row>
    <row r="147" spans="1:16" ht="33.75" customHeight="1" x14ac:dyDescent="0.2">
      <c r="A147" s="24"/>
      <c r="B147" s="1004" t="s">
        <v>71</v>
      </c>
      <c r="C147" s="1187" t="s">
        <v>72</v>
      </c>
      <c r="D147" s="1188"/>
      <c r="E147" s="1188" t="s">
        <v>74</v>
      </c>
      <c r="F147" s="1188"/>
      <c r="G147" s="299" t="s">
        <v>75</v>
      </c>
      <c r="H147" s="478"/>
      <c r="I147" s="1042" t="s">
        <v>924</v>
      </c>
      <c r="J147" s="915">
        <v>0.85</v>
      </c>
      <c r="K147" s="43" t="s">
        <v>71</v>
      </c>
      <c r="L147" s="44" t="s">
        <v>246</v>
      </c>
      <c r="M147" s="4"/>
      <c r="N147" s="46" t="s">
        <v>30</v>
      </c>
      <c r="O147" s="37">
        <v>10</v>
      </c>
      <c r="P147" s="38" t="s">
        <v>243</v>
      </c>
    </row>
    <row r="148" spans="1:16" ht="33.75" customHeight="1" x14ac:dyDescent="0.2">
      <c r="A148" s="24"/>
      <c r="B148" s="1039"/>
      <c r="C148" s="968" t="s">
        <v>81</v>
      </c>
      <c r="D148" s="969"/>
      <c r="E148" s="969" t="s">
        <v>82</v>
      </c>
      <c r="F148" s="969"/>
      <c r="G148" s="1180" t="s">
        <v>80</v>
      </c>
      <c r="H148" s="1227"/>
      <c r="I148" s="1043"/>
      <c r="J148" s="1045"/>
      <c r="K148" s="43" t="s">
        <v>71</v>
      </c>
      <c r="L148" s="44" t="s">
        <v>246</v>
      </c>
      <c r="M148" s="4"/>
      <c r="O148" s="37">
        <v>10</v>
      </c>
      <c r="P148" s="38" t="s">
        <v>243</v>
      </c>
    </row>
    <row r="149" spans="1:16" ht="33.75" customHeight="1" x14ac:dyDescent="0.2">
      <c r="A149" s="24"/>
      <c r="B149" s="1039"/>
      <c r="C149" s="1144" t="s">
        <v>77</v>
      </c>
      <c r="D149" s="1145"/>
      <c r="E149" s="1190" t="s">
        <v>76</v>
      </c>
      <c r="F149" s="1190"/>
      <c r="G149" s="24" t="s">
        <v>78</v>
      </c>
      <c r="H149" s="48"/>
      <c r="I149" s="1043"/>
      <c r="J149" s="1045"/>
      <c r="K149" s="43" t="s">
        <v>71</v>
      </c>
      <c r="L149" s="44" t="s">
        <v>246</v>
      </c>
      <c r="M149" s="4"/>
      <c r="O149" s="37">
        <v>10</v>
      </c>
      <c r="P149" s="38" t="s">
        <v>243</v>
      </c>
    </row>
    <row r="150" spans="1:16" ht="33.75" customHeight="1" x14ac:dyDescent="0.2">
      <c r="A150" s="24"/>
      <c r="B150" s="479"/>
      <c r="C150" s="1147" t="s">
        <v>39</v>
      </c>
      <c r="D150" s="1148"/>
      <c r="E150" s="140"/>
      <c r="F150" s="140"/>
      <c r="G150" s="24"/>
      <c r="H150" s="48"/>
      <c r="I150" s="480"/>
      <c r="J150" s="481"/>
      <c r="K150" s="43"/>
      <c r="L150" s="44"/>
      <c r="M150" s="4"/>
      <c r="O150" s="37"/>
      <c r="P150" s="38"/>
    </row>
    <row r="151" spans="1:16" ht="39.950000000000003" customHeight="1" x14ac:dyDescent="0.2">
      <c r="A151" s="24"/>
      <c r="B151" s="60" t="s">
        <v>85</v>
      </c>
      <c r="C151" s="1208" t="s">
        <v>86</v>
      </c>
      <c r="D151" s="1209"/>
      <c r="E151" s="1209"/>
      <c r="F151" s="1209"/>
      <c r="G151" s="1209"/>
      <c r="H151" s="1210"/>
      <c r="I151" s="120" t="s">
        <v>924</v>
      </c>
      <c r="J151" s="121">
        <v>0.85</v>
      </c>
      <c r="K151" s="43" t="s">
        <v>85</v>
      </c>
      <c r="L151" s="44" t="s">
        <v>246</v>
      </c>
      <c r="M151" s="4"/>
      <c r="N151" s="46" t="s">
        <v>30</v>
      </c>
      <c r="O151" s="37">
        <v>10</v>
      </c>
      <c r="P151" s="38" t="s">
        <v>243</v>
      </c>
    </row>
    <row r="152" spans="1:16" ht="30" customHeight="1" x14ac:dyDescent="0.2">
      <c r="A152" s="24"/>
      <c r="B152" s="1236" t="s">
        <v>824</v>
      </c>
      <c r="C152" s="1214" t="s">
        <v>88</v>
      </c>
      <c r="D152" s="1195"/>
      <c r="E152" s="1195" t="s">
        <v>89</v>
      </c>
      <c r="F152" s="1195"/>
      <c r="G152" s="1195" t="s">
        <v>90</v>
      </c>
      <c r="H152" s="1226"/>
      <c r="I152" s="1110" t="s">
        <v>924</v>
      </c>
      <c r="J152" s="915">
        <v>0.85</v>
      </c>
      <c r="K152" s="43" t="s">
        <v>87</v>
      </c>
      <c r="L152" s="44" t="s">
        <v>246</v>
      </c>
      <c r="M152" s="4"/>
      <c r="N152" s="46" t="s">
        <v>30</v>
      </c>
      <c r="O152" s="37">
        <v>10</v>
      </c>
      <c r="P152" s="38" t="s">
        <v>243</v>
      </c>
    </row>
    <row r="153" spans="1:16" ht="30" customHeight="1" x14ac:dyDescent="0.2">
      <c r="A153" s="24"/>
      <c r="B153" s="1238"/>
      <c r="C153" s="1206" t="s">
        <v>93</v>
      </c>
      <c r="D153" s="1207"/>
      <c r="E153" s="1207" t="s">
        <v>92</v>
      </c>
      <c r="F153" s="1207"/>
      <c r="G153" s="1207" t="s">
        <v>96</v>
      </c>
      <c r="H153" s="1222"/>
      <c r="I153" s="1112"/>
      <c r="J153" s="916"/>
      <c r="K153" s="43" t="s">
        <v>87</v>
      </c>
      <c r="L153" s="44" t="s">
        <v>246</v>
      </c>
      <c r="M153" s="4"/>
      <c r="O153" s="37">
        <v>10</v>
      </c>
      <c r="P153" s="38" t="s">
        <v>243</v>
      </c>
    </row>
    <row r="154" spans="1:16" s="24" customFormat="1" ht="20.100000000000001" customHeight="1" x14ac:dyDescent="0.2">
      <c r="B154" s="125"/>
      <c r="C154" s="134"/>
      <c r="D154" s="134"/>
      <c r="E154" s="134"/>
      <c r="F154" s="134"/>
      <c r="G154" s="134"/>
      <c r="H154" s="134"/>
      <c r="I154" s="141"/>
      <c r="J154" s="142"/>
    </row>
    <row r="155" spans="1:16" ht="30" customHeight="1" x14ac:dyDescent="0.2">
      <c r="A155" s="24"/>
      <c r="B155" s="972" t="s">
        <v>250</v>
      </c>
      <c r="C155" s="973"/>
      <c r="D155" s="973"/>
      <c r="E155" s="973"/>
      <c r="F155" s="973"/>
      <c r="G155" s="973"/>
      <c r="H155" s="974"/>
      <c r="I155" s="34" t="s">
        <v>17</v>
      </c>
      <c r="J155" s="35" t="s">
        <v>251</v>
      </c>
      <c r="N155" s="46" t="s">
        <v>30</v>
      </c>
    </row>
    <row r="156" spans="1:16" ht="50.1" customHeight="1" x14ac:dyDescent="0.2">
      <c r="A156" s="24"/>
      <c r="B156" s="901" t="s">
        <v>252</v>
      </c>
      <c r="C156" s="902"/>
      <c r="D156" s="902"/>
      <c r="E156" s="902"/>
      <c r="F156" s="902"/>
      <c r="G156" s="902"/>
      <c r="H156" s="903"/>
      <c r="I156" s="249" t="s">
        <v>253</v>
      </c>
      <c r="J156" s="42" t="s">
        <v>253</v>
      </c>
    </row>
    <row r="157" spans="1:16" ht="20.100000000000001" customHeight="1" x14ac:dyDescent="0.2">
      <c r="A157" s="24"/>
      <c r="B157" s="85"/>
      <c r="C157" s="85"/>
      <c r="D157" s="85"/>
      <c r="E157" s="85"/>
      <c r="F157" s="85"/>
      <c r="G157" s="85"/>
      <c r="H157" s="85"/>
      <c r="I157" s="147"/>
      <c r="J157" s="128"/>
    </row>
    <row r="158" spans="1:16" s="45" customFormat="1" ht="30" customHeight="1" x14ac:dyDescent="0.2">
      <c r="B158" s="904" t="s">
        <v>254</v>
      </c>
      <c r="C158" s="905"/>
      <c r="D158" s="905"/>
      <c r="E158" s="905"/>
      <c r="F158" s="905"/>
      <c r="G158" s="905"/>
      <c r="H158" s="906"/>
      <c r="I158" s="34" t="s">
        <v>130</v>
      </c>
      <c r="J158" s="35" t="s">
        <v>18</v>
      </c>
      <c r="K158" s="148"/>
      <c r="L158" s="67"/>
      <c r="M158" s="68"/>
      <c r="N158" s="46" t="s">
        <v>30</v>
      </c>
      <c r="O158" s="67"/>
      <c r="P158" s="66"/>
    </row>
    <row r="159" spans="1:16" s="45" customFormat="1" ht="69.95" customHeight="1" x14ac:dyDescent="0.2">
      <c r="B159" s="1203" t="s">
        <v>255</v>
      </c>
      <c r="C159" s="1204"/>
      <c r="D159" s="1204"/>
      <c r="E159" s="1204"/>
      <c r="F159" s="1204"/>
      <c r="G159" s="1204"/>
      <c r="H159" s="1205"/>
      <c r="I159" s="1224" t="s">
        <v>256</v>
      </c>
      <c r="J159" s="1225" t="s">
        <v>256</v>
      </c>
      <c r="K159" s="148"/>
      <c r="L159" s="67"/>
      <c r="M159" s="68"/>
      <c r="N159" s="149"/>
      <c r="O159" s="67"/>
      <c r="P159" s="66"/>
    </row>
    <row r="160" spans="1:16" s="45" customFormat="1" ht="44.25" customHeight="1" x14ac:dyDescent="0.2">
      <c r="B160" s="861"/>
      <c r="C160" s="862"/>
      <c r="D160" s="862"/>
      <c r="E160" s="862"/>
      <c r="F160" s="862"/>
      <c r="G160" s="862"/>
      <c r="H160" s="863"/>
      <c r="I160" s="1224"/>
      <c r="J160" s="1225"/>
      <c r="K160" s="148"/>
      <c r="L160" s="67"/>
      <c r="M160" s="68"/>
      <c r="N160" s="149"/>
      <c r="O160" s="67"/>
      <c r="P160" s="66"/>
    </row>
    <row r="161" spans="1:16" s="24" customFormat="1" ht="20.100000000000001" customHeight="1" x14ac:dyDescent="0.2">
      <c r="B161" s="125"/>
      <c r="C161" s="134"/>
      <c r="D161" s="134"/>
      <c r="E161" s="134"/>
      <c r="F161" s="134"/>
      <c r="G161" s="134"/>
      <c r="H161" s="134"/>
      <c r="I161" s="141"/>
      <c r="J161" s="142"/>
    </row>
    <row r="162" spans="1:16" ht="30" customHeight="1" x14ac:dyDescent="0.2">
      <c r="A162" s="24"/>
      <c r="B162" s="904" t="s">
        <v>257</v>
      </c>
      <c r="C162" s="905"/>
      <c r="D162" s="905"/>
      <c r="E162" s="905"/>
      <c r="F162" s="905"/>
      <c r="G162" s="905"/>
      <c r="H162" s="906"/>
      <c r="I162" s="34" t="s">
        <v>17</v>
      </c>
      <c r="J162" s="35" t="s">
        <v>18</v>
      </c>
      <c r="K162" s="36" t="s">
        <v>258</v>
      </c>
      <c r="L162" s="37">
        <v>11</v>
      </c>
      <c r="N162" s="46" t="s">
        <v>30</v>
      </c>
      <c r="O162" s="37">
        <v>11</v>
      </c>
      <c r="P162" s="38" t="s">
        <v>259</v>
      </c>
    </row>
    <row r="163" spans="1:16" ht="63.75" customHeight="1" x14ac:dyDescent="0.2">
      <c r="A163" s="24"/>
      <c r="B163" s="949" t="s">
        <v>825</v>
      </c>
      <c r="C163" s="950"/>
      <c r="D163" s="950"/>
      <c r="E163" s="950"/>
      <c r="F163" s="950"/>
      <c r="G163" s="950"/>
      <c r="H163" s="950"/>
      <c r="I163" s="950"/>
      <c r="J163" s="951"/>
      <c r="O163" s="37">
        <v>11</v>
      </c>
      <c r="P163" s="38" t="s">
        <v>259</v>
      </c>
    </row>
    <row r="164" spans="1:16" ht="30" customHeight="1" x14ac:dyDescent="0.2">
      <c r="A164" s="24"/>
      <c r="B164" s="979" t="s">
        <v>260</v>
      </c>
      <c r="C164" s="980"/>
      <c r="D164" s="980"/>
      <c r="E164" s="980"/>
      <c r="F164" s="980"/>
      <c r="G164" s="980"/>
      <c r="H164" s="980"/>
      <c r="I164" s="980"/>
      <c r="J164" s="981"/>
      <c r="O164" s="37">
        <v>11</v>
      </c>
      <c r="P164" s="38" t="s">
        <v>259</v>
      </c>
    </row>
    <row r="165" spans="1:16" s="45" customFormat="1" ht="218.25" customHeight="1" x14ac:dyDescent="0.2">
      <c r="A165" s="39"/>
      <c r="B165" s="115" t="s">
        <v>22</v>
      </c>
      <c r="C165" s="1023" t="s">
        <v>826</v>
      </c>
      <c r="D165" s="1024"/>
      <c r="E165" s="1024"/>
      <c r="F165" s="1024"/>
      <c r="G165" s="1024"/>
      <c r="H165" s="1025"/>
      <c r="I165" s="116">
        <v>0</v>
      </c>
      <c r="J165" s="42">
        <v>1</v>
      </c>
      <c r="K165" s="43" t="s">
        <v>24</v>
      </c>
      <c r="L165" s="44" t="s">
        <v>262</v>
      </c>
      <c r="M165" s="4"/>
      <c r="N165" s="18"/>
      <c r="O165" s="37">
        <v>11</v>
      </c>
      <c r="P165" s="38" t="s">
        <v>259</v>
      </c>
    </row>
    <row r="166" spans="1:16" ht="30" customHeight="1" x14ac:dyDescent="0.2">
      <c r="A166" s="24"/>
      <c r="B166" s="1231" t="s">
        <v>26</v>
      </c>
      <c r="C166" s="1203" t="s">
        <v>32</v>
      </c>
      <c r="D166" s="1204"/>
      <c r="E166" s="1204" t="s">
        <v>245</v>
      </c>
      <c r="F166" s="1204"/>
      <c r="G166" s="1204" t="s">
        <v>35</v>
      </c>
      <c r="H166" s="1205"/>
      <c r="I166" s="1110">
        <v>0</v>
      </c>
      <c r="J166" s="915">
        <v>1</v>
      </c>
      <c r="K166" s="43" t="s">
        <v>26</v>
      </c>
      <c r="L166" s="44" t="s">
        <v>262</v>
      </c>
      <c r="M166" s="4"/>
      <c r="O166" s="37">
        <v>11</v>
      </c>
      <c r="P166" s="38" t="s">
        <v>259</v>
      </c>
    </row>
    <row r="167" spans="1:16" ht="30" customHeight="1" x14ac:dyDescent="0.2">
      <c r="A167" s="24"/>
      <c r="B167" s="1052"/>
      <c r="C167" s="137" t="s">
        <v>29</v>
      </c>
      <c r="D167" s="134"/>
      <c r="E167" s="1180" t="s">
        <v>31</v>
      </c>
      <c r="F167" s="1180"/>
      <c r="G167" s="1192" t="s">
        <v>27</v>
      </c>
      <c r="H167" s="1215"/>
      <c r="I167" s="1111"/>
      <c r="J167" s="1045"/>
      <c r="K167" s="43" t="s">
        <v>26</v>
      </c>
      <c r="L167" s="44" t="s">
        <v>262</v>
      </c>
      <c r="M167" s="4"/>
      <c r="O167" s="37">
        <v>11</v>
      </c>
      <c r="P167" s="38" t="s">
        <v>259</v>
      </c>
    </row>
    <row r="168" spans="1:16" ht="30" customHeight="1" x14ac:dyDescent="0.2">
      <c r="A168" s="24"/>
      <c r="B168" s="1053"/>
      <c r="C168" s="1194" t="s">
        <v>38</v>
      </c>
      <c r="D168" s="1177"/>
      <c r="E168" s="1213"/>
      <c r="F168" s="1213"/>
      <c r="G168" s="862"/>
      <c r="H168" s="863"/>
      <c r="I168" s="1112"/>
      <c r="J168" s="916"/>
      <c r="K168" s="43" t="s">
        <v>26</v>
      </c>
      <c r="L168" s="44" t="s">
        <v>262</v>
      </c>
      <c r="M168" s="4"/>
      <c r="O168" s="37">
        <v>11</v>
      </c>
      <c r="P168" s="38" t="s">
        <v>259</v>
      </c>
    </row>
    <row r="169" spans="1:16" ht="39.950000000000003" customHeight="1" x14ac:dyDescent="0.2">
      <c r="A169" s="24"/>
      <c r="B169" s="1047" t="s">
        <v>40</v>
      </c>
      <c r="C169" s="1214" t="s">
        <v>42</v>
      </c>
      <c r="D169" s="1195"/>
      <c r="E169" s="1195" t="s">
        <v>45</v>
      </c>
      <c r="F169" s="1195"/>
      <c r="G169" s="1196" t="s">
        <v>64</v>
      </c>
      <c r="H169" s="1577"/>
      <c r="I169" s="1110">
        <v>0</v>
      </c>
      <c r="J169" s="915">
        <v>1</v>
      </c>
      <c r="K169" s="43" t="s">
        <v>40</v>
      </c>
      <c r="L169" s="44" t="s">
        <v>262</v>
      </c>
      <c r="M169" s="4"/>
      <c r="N169" s="46" t="s">
        <v>30</v>
      </c>
      <c r="O169" s="37">
        <v>11</v>
      </c>
      <c r="P169" s="38" t="s">
        <v>259</v>
      </c>
    </row>
    <row r="170" spans="1:16" ht="39.950000000000003" customHeight="1" x14ac:dyDescent="0.2">
      <c r="A170" s="24"/>
      <c r="B170" s="1109"/>
      <c r="C170" s="1211" t="s">
        <v>44</v>
      </c>
      <c r="D170" s="1190"/>
      <c r="E170" s="1190" t="s">
        <v>48</v>
      </c>
      <c r="F170" s="1190"/>
      <c r="G170" s="1190" t="s">
        <v>46</v>
      </c>
      <c r="H170" s="1212"/>
      <c r="I170" s="1111"/>
      <c r="J170" s="1045"/>
      <c r="K170" s="43" t="s">
        <v>40</v>
      </c>
      <c r="L170" s="44" t="s">
        <v>262</v>
      </c>
      <c r="M170" s="4"/>
      <c r="O170" s="37">
        <v>11</v>
      </c>
      <c r="P170" s="38" t="s">
        <v>259</v>
      </c>
    </row>
    <row r="171" spans="1:16" ht="39.75" customHeight="1" x14ac:dyDescent="0.2">
      <c r="A171" s="24"/>
      <c r="B171" s="1109"/>
      <c r="C171" s="1133" t="s">
        <v>47</v>
      </c>
      <c r="D171" s="1132"/>
      <c r="E171" s="1190" t="s">
        <v>58</v>
      </c>
      <c r="F171" s="1190"/>
      <c r="G171" s="1190" t="s">
        <v>49</v>
      </c>
      <c r="H171" s="1212"/>
      <c r="I171" s="1111"/>
      <c r="J171" s="1045"/>
      <c r="K171" s="43" t="s">
        <v>40</v>
      </c>
      <c r="L171" s="44" t="s">
        <v>262</v>
      </c>
      <c r="M171" s="4"/>
      <c r="O171" s="37">
        <v>11</v>
      </c>
      <c r="P171" s="38" t="s">
        <v>259</v>
      </c>
    </row>
    <row r="172" spans="1:16" ht="50.1" customHeight="1" x14ac:dyDescent="0.2">
      <c r="A172" s="24"/>
      <c r="B172" s="1109"/>
      <c r="C172" s="1211" t="s">
        <v>62</v>
      </c>
      <c r="D172" s="1190"/>
      <c r="E172" s="1191" t="s">
        <v>54</v>
      </c>
      <c r="F172" s="1191"/>
      <c r="G172" s="1190" t="s">
        <v>68</v>
      </c>
      <c r="H172" s="1212"/>
      <c r="I172" s="1111"/>
      <c r="J172" s="1045"/>
      <c r="K172" s="43" t="s">
        <v>40</v>
      </c>
      <c r="L172" s="44" t="s">
        <v>262</v>
      </c>
      <c r="M172" s="4"/>
      <c r="O172" s="37">
        <v>11</v>
      </c>
      <c r="P172" s="38" t="s">
        <v>259</v>
      </c>
    </row>
    <row r="173" spans="1:16" ht="30" customHeight="1" x14ac:dyDescent="0.2">
      <c r="A173" s="24"/>
      <c r="B173" s="1109"/>
      <c r="C173" s="1133" t="s">
        <v>63</v>
      </c>
      <c r="D173" s="1132"/>
      <c r="E173" s="1191" t="s">
        <v>57</v>
      </c>
      <c r="F173" s="1191"/>
      <c r="G173" s="1132" t="s">
        <v>55</v>
      </c>
      <c r="H173" s="1134"/>
      <c r="I173" s="1111"/>
      <c r="J173" s="1045"/>
      <c r="K173" s="43" t="s">
        <v>40</v>
      </c>
      <c r="L173" s="44" t="s">
        <v>262</v>
      </c>
      <c r="M173" s="4"/>
      <c r="O173" s="37">
        <v>11</v>
      </c>
      <c r="P173" s="38" t="s">
        <v>259</v>
      </c>
    </row>
    <row r="174" spans="1:16" ht="39.950000000000003" customHeight="1" x14ac:dyDescent="0.2">
      <c r="A174" s="24"/>
      <c r="B174" s="1109"/>
      <c r="C174" s="1211" t="s">
        <v>56</v>
      </c>
      <c r="D174" s="1190"/>
      <c r="E174" s="1132"/>
      <c r="F174" s="1132"/>
      <c r="I174" s="1111"/>
      <c r="J174" s="1045"/>
      <c r="K174" s="43" t="s">
        <v>40</v>
      </c>
      <c r="L174" s="44" t="s">
        <v>262</v>
      </c>
      <c r="M174" s="4"/>
      <c r="O174" s="37">
        <v>11</v>
      </c>
      <c r="P174" s="38" t="s">
        <v>259</v>
      </c>
    </row>
    <row r="175" spans="1:16" ht="30" customHeight="1" x14ac:dyDescent="0.2">
      <c r="A175" s="49" t="s">
        <v>69</v>
      </c>
      <c r="B175" s="1048"/>
      <c r="C175" s="1206" t="s">
        <v>70</v>
      </c>
      <c r="D175" s="1207"/>
      <c r="E175" s="1207"/>
      <c r="F175" s="1207"/>
      <c r="G175" s="1207"/>
      <c r="H175" s="1222"/>
      <c r="I175" s="1112"/>
      <c r="J175" s="916"/>
      <c r="K175" s="43" t="s">
        <v>40</v>
      </c>
      <c r="L175" s="44" t="s">
        <v>262</v>
      </c>
      <c r="M175" s="4"/>
      <c r="O175" s="37">
        <v>11</v>
      </c>
      <c r="P175" s="38" t="s">
        <v>259</v>
      </c>
    </row>
    <row r="176" spans="1:16" ht="30" customHeight="1" x14ac:dyDescent="0.2">
      <c r="A176" s="24"/>
      <c r="B176" s="1004" t="s">
        <v>71</v>
      </c>
      <c r="C176" s="1187" t="s">
        <v>72</v>
      </c>
      <c r="D176" s="1188"/>
      <c r="E176" s="1188" t="s">
        <v>74</v>
      </c>
      <c r="F176" s="1188"/>
      <c r="G176" s="1188" t="s">
        <v>75</v>
      </c>
      <c r="H176" s="1189"/>
      <c r="I176" s="1110">
        <v>0</v>
      </c>
      <c r="J176" s="915">
        <v>0.95</v>
      </c>
      <c r="K176" s="43" t="s">
        <v>71</v>
      </c>
      <c r="L176" s="44" t="s">
        <v>262</v>
      </c>
      <c r="M176" s="4"/>
      <c r="N176" s="46" t="s">
        <v>30</v>
      </c>
      <c r="O176" s="37">
        <v>11</v>
      </c>
      <c r="P176" s="38" t="s">
        <v>259</v>
      </c>
    </row>
    <row r="177" spans="1:16" ht="30" customHeight="1" x14ac:dyDescent="0.2">
      <c r="A177" s="24"/>
      <c r="B177" s="1039"/>
      <c r="C177" s="1218" t="s">
        <v>76</v>
      </c>
      <c r="D177" s="1180"/>
      <c r="E177" s="1180" t="s">
        <v>80</v>
      </c>
      <c r="F177" s="1180"/>
      <c r="G177" s="969" t="s">
        <v>81</v>
      </c>
      <c r="H177" s="1193"/>
      <c r="I177" s="1111"/>
      <c r="J177" s="1045"/>
      <c r="K177" s="43" t="s">
        <v>71</v>
      </c>
      <c r="L177" s="44" t="s">
        <v>262</v>
      </c>
      <c r="M177" s="4"/>
      <c r="O177" s="37">
        <v>11</v>
      </c>
      <c r="P177" s="38" t="s">
        <v>259</v>
      </c>
    </row>
    <row r="178" spans="1:16" ht="30" customHeight="1" x14ac:dyDescent="0.2">
      <c r="A178" s="24"/>
      <c r="B178" s="1039"/>
      <c r="C178" s="968" t="s">
        <v>82</v>
      </c>
      <c r="D178" s="969"/>
      <c r="E178" s="1219" t="s">
        <v>77</v>
      </c>
      <c r="F178" s="1219"/>
      <c r="G178" s="1219" t="s">
        <v>78</v>
      </c>
      <c r="H178" s="1220"/>
      <c r="I178" s="1111"/>
      <c r="J178" s="1045"/>
      <c r="K178" s="43" t="s">
        <v>71</v>
      </c>
      <c r="L178" s="44" t="s">
        <v>262</v>
      </c>
      <c r="M178" s="4"/>
      <c r="O178" s="37">
        <v>11</v>
      </c>
      <c r="P178" s="38" t="s">
        <v>259</v>
      </c>
    </row>
    <row r="179" spans="1:16" ht="38.25" customHeight="1" x14ac:dyDescent="0.2">
      <c r="A179" s="24"/>
      <c r="B179" s="1039"/>
      <c r="C179" s="968" t="s">
        <v>39</v>
      </c>
      <c r="D179" s="969"/>
      <c r="E179" s="482"/>
      <c r="F179" s="482"/>
      <c r="G179" s="482"/>
      <c r="H179" s="483"/>
      <c r="I179" s="1111"/>
      <c r="J179" s="1045"/>
      <c r="K179" s="43" t="s">
        <v>71</v>
      </c>
      <c r="L179" s="44" t="s">
        <v>262</v>
      </c>
      <c r="M179" s="4"/>
      <c r="O179" s="37">
        <v>11</v>
      </c>
      <c r="P179" s="38" t="s">
        <v>259</v>
      </c>
    </row>
    <row r="180" spans="1:16" ht="39.950000000000003" customHeight="1" x14ac:dyDescent="0.2">
      <c r="A180" s="24"/>
      <c r="B180" s="153" t="s">
        <v>85</v>
      </c>
      <c r="C180" s="1211" t="s">
        <v>86</v>
      </c>
      <c r="D180" s="1190"/>
      <c r="E180" s="1195" t="s">
        <v>378</v>
      </c>
      <c r="F180" s="1195"/>
      <c r="G180" s="1195" t="s">
        <v>342</v>
      </c>
      <c r="H180" s="1226"/>
      <c r="I180" s="120">
        <v>0</v>
      </c>
      <c r="J180" s="121">
        <v>0.95</v>
      </c>
      <c r="K180" s="43" t="s">
        <v>85</v>
      </c>
      <c r="L180" s="44" t="s">
        <v>262</v>
      </c>
      <c r="M180" s="4"/>
      <c r="N180" s="46" t="s">
        <v>30</v>
      </c>
      <c r="O180" s="37">
        <v>11</v>
      </c>
      <c r="P180" s="38" t="s">
        <v>259</v>
      </c>
    </row>
    <row r="181" spans="1:16" ht="39.950000000000003" customHeight="1" x14ac:dyDescent="0.2">
      <c r="A181" s="24"/>
      <c r="B181" s="1236" t="s">
        <v>87</v>
      </c>
      <c r="C181" s="1217" t="s">
        <v>88</v>
      </c>
      <c r="D181" s="1016"/>
      <c r="E181" s="1016" t="s">
        <v>89</v>
      </c>
      <c r="F181" s="1016"/>
      <c r="G181" s="1016" t="s">
        <v>90</v>
      </c>
      <c r="H181" s="1125"/>
      <c r="I181" s="1574">
        <v>0</v>
      </c>
      <c r="J181" s="915">
        <v>0.95</v>
      </c>
      <c r="K181" s="43" t="s">
        <v>87</v>
      </c>
      <c r="L181" s="44" t="s">
        <v>262</v>
      </c>
      <c r="M181" s="4"/>
      <c r="N181" s="46" t="s">
        <v>30</v>
      </c>
      <c r="O181" s="37">
        <v>11</v>
      </c>
      <c r="P181" s="38" t="s">
        <v>259</v>
      </c>
    </row>
    <row r="182" spans="1:16" ht="39.950000000000003" customHeight="1" x14ac:dyDescent="0.2">
      <c r="A182" s="24"/>
      <c r="B182" s="1237"/>
      <c r="C182" s="1216" t="s">
        <v>92</v>
      </c>
      <c r="D182" s="1108"/>
      <c r="E182" s="1022" t="s">
        <v>93</v>
      </c>
      <c r="F182" s="1022"/>
      <c r="G182" s="1022" t="s">
        <v>94</v>
      </c>
      <c r="H182" s="1028"/>
      <c r="I182" s="1576"/>
      <c r="J182" s="1045"/>
      <c r="K182" s="43" t="s">
        <v>87</v>
      </c>
      <c r="L182" s="44" t="s">
        <v>262</v>
      </c>
      <c r="M182" s="4"/>
      <c r="O182" s="37">
        <v>11</v>
      </c>
      <c r="P182" s="38" t="s">
        <v>259</v>
      </c>
    </row>
    <row r="183" spans="1:16" ht="39.950000000000003" customHeight="1" x14ac:dyDescent="0.2">
      <c r="A183" s="24"/>
      <c r="B183" s="1237"/>
      <c r="C183" s="1218" t="s">
        <v>98</v>
      </c>
      <c r="D183" s="1180"/>
      <c r="E183" s="1180"/>
      <c r="F183" s="1180"/>
      <c r="G183" s="1180"/>
      <c r="H183" s="1227"/>
      <c r="I183" s="1576"/>
      <c r="J183" s="1045"/>
      <c r="K183" s="43" t="s">
        <v>87</v>
      </c>
      <c r="L183" s="44" t="s">
        <v>262</v>
      </c>
      <c r="M183" s="4"/>
      <c r="O183" s="37">
        <v>11</v>
      </c>
      <c r="P183" s="38" t="s">
        <v>259</v>
      </c>
    </row>
    <row r="184" spans="1:16" ht="39.950000000000003" customHeight="1" x14ac:dyDescent="0.2">
      <c r="A184" s="24"/>
      <c r="B184" s="1238"/>
      <c r="C184" s="1181" t="s">
        <v>263</v>
      </c>
      <c r="D184" s="1182"/>
      <c r="E184" s="1182"/>
      <c r="F184" s="1182"/>
      <c r="G184" s="1182"/>
      <c r="H184" s="1183"/>
      <c r="I184" s="1575"/>
      <c r="J184" s="916"/>
      <c r="K184" s="43" t="s">
        <v>87</v>
      </c>
      <c r="L184" s="44" t="s">
        <v>262</v>
      </c>
      <c r="M184" s="4"/>
      <c r="O184" s="37">
        <v>11</v>
      </c>
      <c r="P184" s="38" t="s">
        <v>259</v>
      </c>
    </row>
    <row r="185" spans="1:16" ht="30" customHeight="1" x14ac:dyDescent="0.2">
      <c r="A185" s="24"/>
      <c r="B185" s="941" t="s">
        <v>264</v>
      </c>
      <c r="C185" s="942"/>
      <c r="D185" s="942"/>
      <c r="E185" s="942"/>
      <c r="F185" s="942"/>
      <c r="G185" s="942"/>
      <c r="H185" s="942"/>
      <c r="I185" s="942"/>
      <c r="J185" s="943"/>
      <c r="K185" s="47"/>
      <c r="L185" s="24"/>
      <c r="M185" s="23"/>
      <c r="N185" s="46" t="s">
        <v>30</v>
      </c>
      <c r="O185" s="37">
        <v>11</v>
      </c>
      <c r="P185" s="157" t="s">
        <v>265</v>
      </c>
    </row>
    <row r="186" spans="1:16" ht="39.950000000000003" customHeight="1" x14ac:dyDescent="0.2">
      <c r="A186" s="24"/>
      <c r="B186" s="1231" t="s">
        <v>26</v>
      </c>
      <c r="C186" s="1203" t="s">
        <v>32</v>
      </c>
      <c r="D186" s="1204"/>
      <c r="E186" s="1204" t="s">
        <v>170</v>
      </c>
      <c r="F186" s="1204"/>
      <c r="G186" s="1204" t="s">
        <v>35</v>
      </c>
      <c r="H186" s="1205"/>
      <c r="I186" s="1110" t="s">
        <v>924</v>
      </c>
      <c r="J186" s="915">
        <v>0.9</v>
      </c>
      <c r="K186" s="43" t="s">
        <v>26</v>
      </c>
      <c r="L186" s="44" t="s">
        <v>266</v>
      </c>
      <c r="M186" s="23"/>
      <c r="O186" s="37">
        <v>11</v>
      </c>
      <c r="P186" s="157" t="s">
        <v>265</v>
      </c>
    </row>
    <row r="187" spans="1:16" ht="30" customHeight="1" x14ac:dyDescent="0.2">
      <c r="A187" s="24"/>
      <c r="B187" s="1052"/>
      <c r="C187" s="137" t="s">
        <v>29</v>
      </c>
      <c r="D187" s="134"/>
      <c r="E187" s="1180" t="s">
        <v>78</v>
      </c>
      <c r="F187" s="1180"/>
      <c r="G187" s="1192" t="s">
        <v>27</v>
      </c>
      <c r="H187" s="1215"/>
      <c r="I187" s="1111"/>
      <c r="J187" s="1045"/>
      <c r="K187" s="43" t="s">
        <v>26</v>
      </c>
      <c r="L187" s="44" t="s">
        <v>266</v>
      </c>
      <c r="M187" s="23"/>
      <c r="O187" s="37">
        <v>11</v>
      </c>
      <c r="P187" s="157" t="s">
        <v>265</v>
      </c>
    </row>
    <row r="188" spans="1:16" ht="39.950000000000003" customHeight="1" x14ac:dyDescent="0.2">
      <c r="A188" s="24"/>
      <c r="B188" s="1053"/>
      <c r="C188" s="1194" t="s">
        <v>38</v>
      </c>
      <c r="D188" s="1177"/>
      <c r="E188" s="1213" t="s">
        <v>31</v>
      </c>
      <c r="F188" s="1213"/>
      <c r="G188" s="862"/>
      <c r="H188" s="863"/>
      <c r="I188" s="1112"/>
      <c r="J188" s="916"/>
      <c r="K188" s="43" t="s">
        <v>26</v>
      </c>
      <c r="L188" s="44" t="s">
        <v>266</v>
      </c>
      <c r="M188" s="23"/>
      <c r="O188" s="37">
        <v>11</v>
      </c>
      <c r="P188" s="157" t="s">
        <v>265</v>
      </c>
    </row>
    <row r="189" spans="1:16" ht="39.950000000000003" customHeight="1" x14ac:dyDescent="0.2">
      <c r="A189" s="24"/>
      <c r="B189" s="1047" t="s">
        <v>40</v>
      </c>
      <c r="C189" s="1214" t="s">
        <v>42</v>
      </c>
      <c r="D189" s="1195"/>
      <c r="E189" s="1195" t="s">
        <v>45</v>
      </c>
      <c r="F189" s="1195"/>
      <c r="G189" s="1130" t="s">
        <v>56</v>
      </c>
      <c r="H189" s="1131"/>
      <c r="I189" s="1110" t="s">
        <v>924</v>
      </c>
      <c r="J189" s="915">
        <v>0.9</v>
      </c>
      <c r="K189" s="43" t="s">
        <v>40</v>
      </c>
      <c r="L189" s="44" t="s">
        <v>266</v>
      </c>
      <c r="M189" s="23"/>
      <c r="N189" s="46" t="s">
        <v>30</v>
      </c>
      <c r="O189" s="37">
        <v>11</v>
      </c>
      <c r="P189" s="157" t="s">
        <v>265</v>
      </c>
    </row>
    <row r="190" spans="1:16" ht="39.950000000000003" customHeight="1" x14ac:dyDescent="0.2">
      <c r="A190" s="24"/>
      <c r="B190" s="1109"/>
      <c r="C190" s="1211" t="s">
        <v>44</v>
      </c>
      <c r="D190" s="1190"/>
      <c r="E190" s="1190" t="s">
        <v>48</v>
      </c>
      <c r="F190" s="1190"/>
      <c r="G190" s="1190" t="s">
        <v>46</v>
      </c>
      <c r="H190" s="1212"/>
      <c r="I190" s="1111"/>
      <c r="J190" s="1045"/>
      <c r="K190" s="43" t="s">
        <v>40</v>
      </c>
      <c r="L190" s="44" t="s">
        <v>266</v>
      </c>
      <c r="M190" s="23"/>
      <c r="O190" s="37">
        <v>11</v>
      </c>
      <c r="P190" s="157" t="s">
        <v>265</v>
      </c>
    </row>
    <row r="191" spans="1:16" ht="30" customHeight="1" x14ac:dyDescent="0.2">
      <c r="A191" s="24"/>
      <c r="B191" s="1109"/>
      <c r="C191" s="1133" t="s">
        <v>47</v>
      </c>
      <c r="D191" s="1132"/>
      <c r="E191" s="1190" t="s">
        <v>267</v>
      </c>
      <c r="F191" s="1190"/>
      <c r="G191" s="1190" t="s">
        <v>49</v>
      </c>
      <c r="H191" s="1212"/>
      <c r="I191" s="1111"/>
      <c r="J191" s="1045"/>
      <c r="K191" s="43" t="s">
        <v>40</v>
      </c>
      <c r="L191" s="44" t="s">
        <v>266</v>
      </c>
      <c r="M191" s="23"/>
      <c r="O191" s="37">
        <v>11</v>
      </c>
      <c r="P191" s="157" t="s">
        <v>265</v>
      </c>
    </row>
    <row r="192" spans="1:16" ht="48.75" customHeight="1" x14ac:dyDescent="0.2">
      <c r="A192" s="24"/>
      <c r="B192" s="1109"/>
      <c r="C192" s="1133" t="s">
        <v>62</v>
      </c>
      <c r="D192" s="1132"/>
      <c r="E192" s="1132" t="s">
        <v>54</v>
      </c>
      <c r="F192" s="1132"/>
      <c r="G192" s="1132" t="s">
        <v>68</v>
      </c>
      <c r="H192" s="1134"/>
      <c r="I192" s="1111"/>
      <c r="J192" s="1045"/>
      <c r="K192" s="43" t="s">
        <v>40</v>
      </c>
      <c r="L192" s="44" t="s">
        <v>266</v>
      </c>
      <c r="M192" s="23"/>
      <c r="O192" s="37">
        <v>11</v>
      </c>
      <c r="P192" s="157" t="s">
        <v>265</v>
      </c>
    </row>
    <row r="193" spans="1:16" ht="30" customHeight="1" x14ac:dyDescent="0.2">
      <c r="A193" s="24"/>
      <c r="B193" s="1109"/>
      <c r="C193" s="1132" t="s">
        <v>64</v>
      </c>
      <c r="D193" s="1132"/>
      <c r="E193" s="1132" t="s">
        <v>58</v>
      </c>
      <c r="F193" s="1132"/>
      <c r="G193" s="1132" t="s">
        <v>55</v>
      </c>
      <c r="H193" s="1134"/>
      <c r="I193" s="1111"/>
      <c r="J193" s="1045"/>
      <c r="K193" s="43" t="s">
        <v>40</v>
      </c>
      <c r="L193" s="44" t="s">
        <v>266</v>
      </c>
      <c r="M193" s="23"/>
      <c r="O193" s="37">
        <v>11</v>
      </c>
      <c r="P193" s="157" t="s">
        <v>265</v>
      </c>
    </row>
    <row r="194" spans="1:16" ht="39.75" customHeight="1" x14ac:dyDescent="0.2">
      <c r="A194" s="49" t="s">
        <v>69</v>
      </c>
      <c r="B194" s="1048"/>
      <c r="C194" s="1206" t="s">
        <v>70</v>
      </c>
      <c r="D194" s="1207"/>
      <c r="E194" s="1207"/>
      <c r="F194" s="1207"/>
      <c r="G194" s="1207"/>
      <c r="H194" s="1222"/>
      <c r="I194" s="1112"/>
      <c r="J194" s="916"/>
      <c r="K194" s="43" t="s">
        <v>40</v>
      </c>
      <c r="L194" s="44" t="s">
        <v>266</v>
      </c>
      <c r="M194" s="79"/>
      <c r="N194" s="4"/>
      <c r="O194" s="37">
        <v>11</v>
      </c>
      <c r="P194" s="157" t="s">
        <v>265</v>
      </c>
    </row>
    <row r="195" spans="1:16" ht="39.950000000000003" customHeight="1" x14ac:dyDescent="0.2">
      <c r="A195" s="24"/>
      <c r="B195" s="1047" t="s">
        <v>71</v>
      </c>
      <c r="C195" s="1187" t="s">
        <v>72</v>
      </c>
      <c r="D195" s="1188"/>
      <c r="E195" s="1188" t="s">
        <v>74</v>
      </c>
      <c r="F195" s="1188"/>
      <c r="G195" s="1188" t="s">
        <v>80</v>
      </c>
      <c r="H195" s="1189"/>
      <c r="I195" s="1110" t="s">
        <v>924</v>
      </c>
      <c r="J195" s="915">
        <v>0.85</v>
      </c>
      <c r="K195" s="43" t="s">
        <v>71</v>
      </c>
      <c r="L195" s="44" t="s">
        <v>266</v>
      </c>
      <c r="M195" s="23"/>
      <c r="N195" s="46" t="s">
        <v>30</v>
      </c>
      <c r="O195" s="37">
        <v>11</v>
      </c>
      <c r="P195" s="157" t="s">
        <v>265</v>
      </c>
    </row>
    <row r="196" spans="1:16" ht="39.950000000000003" customHeight="1" x14ac:dyDescent="0.2">
      <c r="A196" s="24"/>
      <c r="B196" s="1109"/>
      <c r="C196" s="158" t="s">
        <v>75</v>
      </c>
      <c r="D196" s="24"/>
      <c r="E196" s="969" t="s">
        <v>81</v>
      </c>
      <c r="F196" s="969"/>
      <c r="G196" s="969" t="s">
        <v>82</v>
      </c>
      <c r="H196" s="1193"/>
      <c r="I196" s="1111"/>
      <c r="J196" s="1045"/>
      <c r="K196" s="43" t="s">
        <v>71</v>
      </c>
      <c r="L196" s="44" t="s">
        <v>266</v>
      </c>
      <c r="M196" s="23"/>
      <c r="N196" s="4"/>
      <c r="O196" s="37">
        <v>11</v>
      </c>
      <c r="P196" s="157" t="s">
        <v>265</v>
      </c>
    </row>
    <row r="197" spans="1:16" ht="39.950000000000003" customHeight="1" x14ac:dyDescent="0.2">
      <c r="A197" s="24"/>
      <c r="B197" s="1048"/>
      <c r="C197" s="1144" t="s">
        <v>77</v>
      </c>
      <c r="D197" s="1145"/>
      <c r="E197" s="1145" t="s">
        <v>76</v>
      </c>
      <c r="F197" s="1145"/>
      <c r="G197" s="969" t="s">
        <v>39</v>
      </c>
      <c r="H197" s="1193"/>
      <c r="I197" s="1112"/>
      <c r="J197" s="916"/>
      <c r="K197" s="43" t="s">
        <v>71</v>
      </c>
      <c r="L197" s="44" t="s">
        <v>266</v>
      </c>
      <c r="M197" s="23"/>
      <c r="N197" s="4"/>
      <c r="O197" s="37">
        <v>11</v>
      </c>
      <c r="P197" s="157" t="s">
        <v>265</v>
      </c>
    </row>
    <row r="198" spans="1:16" ht="39.950000000000003" customHeight="1" x14ac:dyDescent="0.2">
      <c r="A198" s="24"/>
      <c r="B198" s="60" t="s">
        <v>85</v>
      </c>
      <c r="C198" s="1214" t="s">
        <v>86</v>
      </c>
      <c r="D198" s="1195"/>
      <c r="E198" s="1195"/>
      <c r="F198" s="1195"/>
      <c r="G198" s="1195"/>
      <c r="H198" s="1226"/>
      <c r="I198" s="120" t="s">
        <v>924</v>
      </c>
      <c r="J198" s="121">
        <v>0.85</v>
      </c>
      <c r="K198" s="43" t="s">
        <v>85</v>
      </c>
      <c r="L198" s="44" t="s">
        <v>266</v>
      </c>
      <c r="M198" s="23"/>
      <c r="N198" s="46" t="s">
        <v>30</v>
      </c>
      <c r="O198" s="37">
        <v>11</v>
      </c>
      <c r="P198" s="157" t="s">
        <v>265</v>
      </c>
    </row>
    <row r="199" spans="1:16" ht="39.950000000000003" customHeight="1" x14ac:dyDescent="0.2">
      <c r="A199" s="24"/>
      <c r="B199" s="1236" t="s">
        <v>87</v>
      </c>
      <c r="C199" s="1214" t="s">
        <v>88</v>
      </c>
      <c r="D199" s="1195"/>
      <c r="E199" s="1195" t="s">
        <v>89</v>
      </c>
      <c r="F199" s="1195"/>
      <c r="G199" s="1195" t="s">
        <v>90</v>
      </c>
      <c r="H199" s="1226"/>
      <c r="I199" s="1574" t="s">
        <v>924</v>
      </c>
      <c r="J199" s="915">
        <v>0.85</v>
      </c>
      <c r="K199" s="43" t="s">
        <v>87</v>
      </c>
      <c r="L199" s="44" t="s">
        <v>266</v>
      </c>
      <c r="M199" s="23"/>
      <c r="N199" s="46" t="s">
        <v>30</v>
      </c>
      <c r="O199" s="37">
        <v>11</v>
      </c>
      <c r="P199" s="157" t="s">
        <v>265</v>
      </c>
    </row>
    <row r="200" spans="1:16" ht="39.950000000000003" customHeight="1" x14ac:dyDescent="0.2">
      <c r="A200" s="24"/>
      <c r="B200" s="1238"/>
      <c r="C200" s="1206" t="s">
        <v>92</v>
      </c>
      <c r="D200" s="1207"/>
      <c r="E200" s="1207" t="s">
        <v>93</v>
      </c>
      <c r="F200" s="1207"/>
      <c r="G200" s="131"/>
      <c r="H200" s="484"/>
      <c r="I200" s="1575"/>
      <c r="J200" s="916"/>
      <c r="K200" s="43" t="s">
        <v>87</v>
      </c>
      <c r="L200" s="44" t="s">
        <v>266</v>
      </c>
      <c r="M200" s="23"/>
      <c r="O200" s="37">
        <v>11</v>
      </c>
      <c r="P200" s="157" t="s">
        <v>265</v>
      </c>
    </row>
    <row r="201" spans="1:16" s="467" customFormat="1" ht="20.100000000000001" customHeight="1" x14ac:dyDescent="0.2">
      <c r="A201" s="80"/>
      <c r="B201" s="73"/>
      <c r="C201" s="485"/>
      <c r="D201" s="486"/>
      <c r="E201" s="486"/>
      <c r="F201" s="486"/>
      <c r="G201" s="486"/>
      <c r="H201" s="486"/>
      <c r="I201" s="487"/>
      <c r="J201" s="488"/>
    </row>
    <row r="202" spans="1:16" ht="30" customHeight="1" x14ac:dyDescent="0.2">
      <c r="A202" s="24"/>
      <c r="B202" s="1571" t="s">
        <v>309</v>
      </c>
      <c r="C202" s="1572"/>
      <c r="D202" s="1572"/>
      <c r="E202" s="1572"/>
      <c r="F202" s="1572"/>
      <c r="G202" s="1572"/>
      <c r="H202" s="1573"/>
      <c r="I202" s="34" t="s">
        <v>17</v>
      </c>
      <c r="J202" s="35" t="s">
        <v>18</v>
      </c>
      <c r="K202" s="36" t="s">
        <v>310</v>
      </c>
      <c r="L202" s="37">
        <v>12</v>
      </c>
      <c r="N202" s="46" t="s">
        <v>30</v>
      </c>
      <c r="O202" s="37">
        <v>12</v>
      </c>
    </row>
    <row r="203" spans="1:16" ht="182.25" customHeight="1" x14ac:dyDescent="0.2">
      <c r="A203" s="24"/>
      <c r="B203" s="901" t="s">
        <v>311</v>
      </c>
      <c r="C203" s="902"/>
      <c r="D203" s="902"/>
      <c r="E203" s="902"/>
      <c r="F203" s="902"/>
      <c r="G203" s="902"/>
      <c r="H203" s="902"/>
      <c r="I203" s="902"/>
      <c r="J203" s="903"/>
      <c r="K203" s="36" t="s">
        <v>310</v>
      </c>
      <c r="L203" s="37">
        <v>12</v>
      </c>
      <c r="O203" s="37">
        <v>12</v>
      </c>
    </row>
    <row r="204" spans="1:16" ht="64.5" customHeight="1" x14ac:dyDescent="0.2">
      <c r="A204" s="24"/>
      <c r="B204" s="96" t="s">
        <v>312</v>
      </c>
      <c r="C204" s="901" t="s">
        <v>827</v>
      </c>
      <c r="D204" s="902"/>
      <c r="E204" s="902"/>
      <c r="F204" s="902"/>
      <c r="G204" s="902"/>
      <c r="H204" s="903"/>
      <c r="I204" s="74">
        <v>0</v>
      </c>
      <c r="J204" s="75">
        <v>1</v>
      </c>
      <c r="K204" s="36" t="s">
        <v>310</v>
      </c>
      <c r="L204" s="37">
        <v>12</v>
      </c>
      <c r="O204" s="37">
        <v>12</v>
      </c>
    </row>
    <row r="205" spans="1:16" ht="396.75" customHeight="1" x14ac:dyDescent="0.2">
      <c r="A205" s="24"/>
      <c r="B205" s="60" t="s">
        <v>314</v>
      </c>
      <c r="C205" s="867" t="s">
        <v>828</v>
      </c>
      <c r="D205" s="868"/>
      <c r="E205" s="868"/>
      <c r="F205" s="868"/>
      <c r="G205" s="868"/>
      <c r="H205" s="869"/>
      <c r="I205" s="175">
        <v>0</v>
      </c>
      <c r="J205" s="42">
        <v>1</v>
      </c>
      <c r="K205" s="489" t="s">
        <v>310</v>
      </c>
      <c r="L205" s="37">
        <v>12</v>
      </c>
      <c r="N205" s="490" t="s">
        <v>30</v>
      </c>
      <c r="O205" s="37">
        <v>12</v>
      </c>
    </row>
    <row r="206" spans="1:16" ht="97.5" customHeight="1" x14ac:dyDescent="0.2">
      <c r="A206" s="24"/>
      <c r="B206" s="60" t="s">
        <v>316</v>
      </c>
      <c r="C206" s="867" t="s">
        <v>829</v>
      </c>
      <c r="D206" s="868"/>
      <c r="E206" s="868"/>
      <c r="F206" s="868"/>
      <c r="G206" s="868"/>
      <c r="H206" s="869"/>
      <c r="I206" s="61">
        <v>0</v>
      </c>
      <c r="J206" s="42">
        <v>1</v>
      </c>
      <c r="K206" s="489" t="s">
        <v>310</v>
      </c>
      <c r="L206" s="37">
        <v>12</v>
      </c>
      <c r="N206" s="490" t="s">
        <v>30</v>
      </c>
      <c r="O206" s="37">
        <v>12</v>
      </c>
    </row>
    <row r="207" spans="1:16" ht="20.100000000000001" customHeight="1" x14ac:dyDescent="0.2">
      <c r="A207" s="24"/>
      <c r="B207" s="162"/>
      <c r="C207" s="491"/>
      <c r="D207" s="491"/>
      <c r="E207" s="491"/>
      <c r="F207" s="491"/>
      <c r="G207" s="491"/>
      <c r="H207" s="491"/>
      <c r="I207" s="127"/>
      <c r="J207" s="128"/>
    </row>
    <row r="208" spans="1:16" s="45" customFormat="1" ht="30" customHeight="1" x14ac:dyDescent="0.2">
      <c r="B208" s="904" t="s">
        <v>318</v>
      </c>
      <c r="C208" s="905"/>
      <c r="D208" s="905"/>
      <c r="E208" s="905"/>
      <c r="F208" s="905"/>
      <c r="G208" s="905"/>
      <c r="H208" s="906"/>
      <c r="I208" s="88" t="s">
        <v>130</v>
      </c>
      <c r="J208" s="89" t="s">
        <v>18</v>
      </c>
      <c r="K208" s="36" t="s">
        <v>319</v>
      </c>
      <c r="L208" s="37">
        <v>13</v>
      </c>
      <c r="M208" s="181"/>
      <c r="N208" s="182" t="s">
        <v>30</v>
      </c>
      <c r="O208" s="183">
        <v>13</v>
      </c>
      <c r="P208" s="66"/>
    </row>
    <row r="209" spans="1:25" s="45" customFormat="1" ht="42" customHeight="1" x14ac:dyDescent="0.2">
      <c r="B209" s="949" t="s">
        <v>320</v>
      </c>
      <c r="C209" s="950"/>
      <c r="D209" s="950"/>
      <c r="E209" s="950"/>
      <c r="F209" s="950"/>
      <c r="G209" s="950"/>
      <c r="H209" s="950"/>
      <c r="I209" s="950"/>
      <c r="J209" s="951"/>
      <c r="K209" s="36" t="s">
        <v>319</v>
      </c>
      <c r="L209" s="37">
        <v>13</v>
      </c>
      <c r="M209" s="181"/>
      <c r="N209" s="67"/>
      <c r="O209" s="183">
        <v>13</v>
      </c>
      <c r="P209" s="66"/>
    </row>
    <row r="210" spans="1:25" s="45" customFormat="1" ht="32.25" customHeight="1" x14ac:dyDescent="0.2">
      <c r="B210" s="1172" t="s">
        <v>26</v>
      </c>
      <c r="C210" s="985" t="s">
        <v>32</v>
      </c>
      <c r="D210" s="986"/>
      <c r="E210" s="986" t="s">
        <v>200</v>
      </c>
      <c r="F210" s="986"/>
      <c r="G210" s="986" t="s">
        <v>29</v>
      </c>
      <c r="H210" s="987"/>
      <c r="I210" s="1138">
        <v>35</v>
      </c>
      <c r="J210" s="1141">
        <v>0.9</v>
      </c>
      <c r="K210" s="43" t="s">
        <v>26</v>
      </c>
      <c r="L210" s="36" t="s">
        <v>319</v>
      </c>
      <c r="M210" s="181"/>
      <c r="N210" s="182" t="s">
        <v>30</v>
      </c>
      <c r="O210" s="183">
        <v>13</v>
      </c>
      <c r="P210"/>
      <c r="U210" s="70"/>
      <c r="V210" s="184"/>
      <c r="W210" s="185"/>
      <c r="X210" s="186"/>
      <c r="Y210" s="69"/>
    </row>
    <row r="211" spans="1:25" s="45" customFormat="1" ht="31.5" customHeight="1" x14ac:dyDescent="0.2">
      <c r="B211" s="1173"/>
      <c r="C211" s="1144" t="s">
        <v>37</v>
      </c>
      <c r="D211" s="1145"/>
      <c r="E211" s="956" t="s">
        <v>27</v>
      </c>
      <c r="F211" s="956"/>
      <c r="G211" s="957" t="s">
        <v>36</v>
      </c>
      <c r="H211" s="958"/>
      <c r="I211" s="1139"/>
      <c r="J211" s="1142"/>
      <c r="K211" s="43" t="s">
        <v>26</v>
      </c>
      <c r="L211" s="36" t="s">
        <v>319</v>
      </c>
      <c r="M211" s="181"/>
      <c r="N211" s="4"/>
      <c r="O211" s="183">
        <v>13</v>
      </c>
      <c r="P211"/>
      <c r="U211" s="70"/>
      <c r="V211" s="70"/>
      <c r="W211" s="187"/>
      <c r="X211" s="69"/>
      <c r="Y211" s="69"/>
    </row>
    <row r="212" spans="1:25" s="45" customFormat="1" ht="31.5" customHeight="1" x14ac:dyDescent="0.2">
      <c r="B212" s="1174"/>
      <c r="C212" s="1147" t="s">
        <v>830</v>
      </c>
      <c r="D212" s="1148"/>
      <c r="E212" s="207"/>
      <c r="F212" s="207"/>
      <c r="G212" s="73"/>
      <c r="H212" s="492"/>
      <c r="I212" s="1140"/>
      <c r="J212" s="1143"/>
      <c r="K212" s="43"/>
      <c r="L212" s="36"/>
      <c r="M212" s="181"/>
      <c r="N212" s="4"/>
      <c r="O212" s="183"/>
      <c r="P212"/>
      <c r="U212" s="70"/>
      <c r="V212" s="70"/>
      <c r="W212" s="187"/>
      <c r="X212" s="69"/>
      <c r="Y212" s="69"/>
    </row>
    <row r="213" spans="1:25" s="45" customFormat="1" ht="30" customHeight="1" x14ac:dyDescent="0.2">
      <c r="B213" s="952" t="s">
        <v>40</v>
      </c>
      <c r="C213" s="985" t="s">
        <v>41</v>
      </c>
      <c r="D213" s="986"/>
      <c r="E213" s="1149" t="s">
        <v>42</v>
      </c>
      <c r="F213" s="1149"/>
      <c r="G213" s="986" t="s">
        <v>43</v>
      </c>
      <c r="H213" s="987"/>
      <c r="I213" s="1153">
        <v>35</v>
      </c>
      <c r="J213" s="1156">
        <v>0.9</v>
      </c>
      <c r="K213" s="43" t="s">
        <v>40</v>
      </c>
      <c r="L213" s="36" t="s">
        <v>319</v>
      </c>
      <c r="M213" s="181"/>
      <c r="N213" s="182" t="s">
        <v>30</v>
      </c>
      <c r="O213" s="183">
        <v>13</v>
      </c>
      <c r="P213"/>
      <c r="U213" s="70"/>
      <c r="V213" s="70"/>
      <c r="W213" s="187"/>
      <c r="X213" s="69"/>
      <c r="Y213" s="69"/>
    </row>
    <row r="214" spans="1:25" s="24" customFormat="1" ht="39.950000000000003" customHeight="1" x14ac:dyDescent="0.2">
      <c r="B214" s="953"/>
      <c r="C214" s="1144" t="s">
        <v>44</v>
      </c>
      <c r="D214" s="1145"/>
      <c r="E214" s="1145" t="s">
        <v>51</v>
      </c>
      <c r="F214" s="1145"/>
      <c r="G214" s="1145" t="s">
        <v>49</v>
      </c>
      <c r="H214" s="1146"/>
      <c r="I214" s="1154"/>
      <c r="J214" s="1157"/>
      <c r="K214" s="43" t="s">
        <v>40</v>
      </c>
      <c r="L214" s="36" t="s">
        <v>319</v>
      </c>
      <c r="M214" s="181"/>
      <c r="N214" s="4"/>
      <c r="O214" s="183">
        <v>13</v>
      </c>
      <c r="P214"/>
    </row>
    <row r="215" spans="1:25" s="24" customFormat="1" ht="30" customHeight="1" x14ac:dyDescent="0.2">
      <c r="B215" s="953"/>
      <c r="C215" s="965" t="s">
        <v>59</v>
      </c>
      <c r="D215" s="957"/>
      <c r="E215" s="1145" t="s">
        <v>48</v>
      </c>
      <c r="F215" s="1145"/>
      <c r="G215" s="957" t="s">
        <v>62</v>
      </c>
      <c r="H215" s="957"/>
      <c r="I215" s="1154"/>
      <c r="J215" s="1157"/>
      <c r="K215" s="43" t="s">
        <v>40</v>
      </c>
      <c r="L215" s="36" t="s">
        <v>319</v>
      </c>
      <c r="M215" s="181"/>
      <c r="N215" s="4"/>
      <c r="O215" s="183">
        <v>13</v>
      </c>
      <c r="P215"/>
    </row>
    <row r="216" spans="1:25" s="24" customFormat="1" ht="39.950000000000003" customHeight="1" x14ac:dyDescent="0.2">
      <c r="A216" s="18"/>
      <c r="B216" s="953"/>
      <c r="C216" s="965" t="s">
        <v>60</v>
      </c>
      <c r="D216" s="957"/>
      <c r="E216" s="1145" t="s">
        <v>54</v>
      </c>
      <c r="F216" s="1145"/>
      <c r="G216" s="957" t="s">
        <v>52</v>
      </c>
      <c r="H216" s="958"/>
      <c r="I216" s="1154"/>
      <c r="J216" s="1157"/>
      <c r="K216" s="43" t="s">
        <v>40</v>
      </c>
      <c r="L216" s="36" t="s">
        <v>319</v>
      </c>
      <c r="M216" s="181"/>
      <c r="N216" s="4"/>
      <c r="O216" s="183">
        <v>13</v>
      </c>
      <c r="P216"/>
    </row>
    <row r="217" spans="1:25" s="24" customFormat="1" ht="39.950000000000003" customHeight="1" x14ac:dyDescent="0.2">
      <c r="B217" s="953"/>
      <c r="C217" s="965" t="s">
        <v>45</v>
      </c>
      <c r="D217" s="957"/>
      <c r="E217" s="957" t="s">
        <v>248</v>
      </c>
      <c r="F217" s="957"/>
      <c r="G217" s="957" t="s">
        <v>321</v>
      </c>
      <c r="H217" s="958"/>
      <c r="I217" s="1154"/>
      <c r="J217" s="1157"/>
      <c r="K217" s="43" t="s">
        <v>40</v>
      </c>
      <c r="L217" s="36" t="s">
        <v>319</v>
      </c>
      <c r="M217" s="181"/>
      <c r="N217" s="4"/>
      <c r="O217" s="183">
        <v>13</v>
      </c>
      <c r="P217"/>
    </row>
    <row r="218" spans="1:25" s="24" customFormat="1" ht="39.950000000000003" customHeight="1" x14ac:dyDescent="0.2">
      <c r="B218" s="954"/>
      <c r="C218" s="1147" t="s">
        <v>322</v>
      </c>
      <c r="D218" s="1148"/>
      <c r="E218" s="1148"/>
      <c r="F218" s="1148"/>
      <c r="G218" s="1148"/>
      <c r="H218" s="1152"/>
      <c r="I218" s="1155"/>
      <c r="J218" s="1158"/>
      <c r="K218" s="43" t="s">
        <v>40</v>
      </c>
      <c r="L218" s="36" t="s">
        <v>319</v>
      </c>
      <c r="M218" s="181"/>
      <c r="N218" s="4"/>
      <c r="O218" s="183">
        <v>13</v>
      </c>
      <c r="P218"/>
    </row>
    <row r="219" spans="1:25" s="24" customFormat="1" ht="30" customHeight="1" x14ac:dyDescent="0.2">
      <c r="B219" s="952" t="s">
        <v>71</v>
      </c>
      <c r="C219" s="1150" t="s">
        <v>72</v>
      </c>
      <c r="D219" s="1149"/>
      <c r="E219" s="1149" t="s">
        <v>80</v>
      </c>
      <c r="F219" s="1149"/>
      <c r="G219" s="1149" t="s">
        <v>74</v>
      </c>
      <c r="H219" s="1151"/>
      <c r="I219" s="1138">
        <v>40</v>
      </c>
      <c r="J219" s="1141">
        <v>0.9</v>
      </c>
      <c r="K219" s="43" t="s">
        <v>71</v>
      </c>
      <c r="L219" s="36" t="s">
        <v>319</v>
      </c>
      <c r="M219" s="181"/>
      <c r="N219" s="182" t="s">
        <v>30</v>
      </c>
      <c r="O219" s="183">
        <v>13</v>
      </c>
      <c r="P219"/>
    </row>
    <row r="220" spans="1:25" s="24" customFormat="1" ht="30" customHeight="1" x14ac:dyDescent="0.2">
      <c r="B220" s="953"/>
      <c r="C220" s="1144" t="s">
        <v>75</v>
      </c>
      <c r="D220" s="1145"/>
      <c r="E220" s="1145" t="s">
        <v>82</v>
      </c>
      <c r="F220" s="1145"/>
      <c r="G220" s="1145" t="s">
        <v>73</v>
      </c>
      <c r="H220" s="1146"/>
      <c r="I220" s="1139"/>
      <c r="J220" s="1142"/>
      <c r="K220" s="43" t="s">
        <v>71</v>
      </c>
      <c r="L220" s="36" t="s">
        <v>319</v>
      </c>
      <c r="M220" s="181"/>
      <c r="N220" s="4"/>
      <c r="O220" s="183">
        <v>13</v>
      </c>
      <c r="P220"/>
    </row>
    <row r="221" spans="1:25" s="24" customFormat="1" ht="30" customHeight="1" x14ac:dyDescent="0.2">
      <c r="B221" s="953"/>
      <c r="C221" s="1144" t="s">
        <v>81</v>
      </c>
      <c r="D221" s="1145"/>
      <c r="E221" s="1145" t="s">
        <v>79</v>
      </c>
      <c r="F221" s="1145"/>
      <c r="G221" s="1145" t="s">
        <v>78</v>
      </c>
      <c r="H221" s="1146"/>
      <c r="I221" s="1139"/>
      <c r="J221" s="1142"/>
      <c r="K221" s="43" t="s">
        <v>71</v>
      </c>
      <c r="L221" s="36" t="s">
        <v>319</v>
      </c>
      <c r="M221" s="181"/>
      <c r="N221" s="4"/>
      <c r="O221" s="183">
        <v>13</v>
      </c>
      <c r="P221"/>
    </row>
    <row r="222" spans="1:25" s="24" customFormat="1" ht="30" customHeight="1" x14ac:dyDescent="0.2">
      <c r="B222" s="954"/>
      <c r="C222" s="971" t="s">
        <v>177</v>
      </c>
      <c r="D222" s="944"/>
      <c r="E222" s="944"/>
      <c r="F222" s="944"/>
      <c r="G222" s="944"/>
      <c r="H222" s="945"/>
      <c r="I222" s="1140"/>
      <c r="J222" s="1143"/>
      <c r="K222" s="43" t="s">
        <v>71</v>
      </c>
      <c r="L222" s="36" t="s">
        <v>319</v>
      </c>
      <c r="M222" s="181"/>
      <c r="N222" s="4"/>
      <c r="O222" s="183">
        <v>13</v>
      </c>
      <c r="P222"/>
    </row>
    <row r="223" spans="1:25" s="24" customFormat="1" ht="39.950000000000003" customHeight="1" x14ac:dyDescent="0.2">
      <c r="B223" s="40" t="s">
        <v>85</v>
      </c>
      <c r="C223" s="1144" t="s">
        <v>86</v>
      </c>
      <c r="D223" s="1145"/>
      <c r="E223" s="1149"/>
      <c r="F223" s="1149"/>
      <c r="G223" s="986"/>
      <c r="H223" s="987"/>
      <c r="I223" s="493">
        <v>40</v>
      </c>
      <c r="J223" s="189">
        <v>0.85</v>
      </c>
      <c r="K223" s="43" t="s">
        <v>85</v>
      </c>
      <c r="L223" s="36" t="s">
        <v>319</v>
      </c>
      <c r="M223" s="181"/>
      <c r="N223" s="182" t="s">
        <v>30</v>
      </c>
      <c r="O223" s="183">
        <v>13</v>
      </c>
      <c r="P223"/>
    </row>
    <row r="224" spans="1:25" s="24" customFormat="1" ht="30" customHeight="1" x14ac:dyDescent="0.2">
      <c r="B224" s="952" t="s">
        <v>87</v>
      </c>
      <c r="C224" s="1150" t="s">
        <v>92</v>
      </c>
      <c r="D224" s="1149"/>
      <c r="E224" s="1149" t="s">
        <v>89</v>
      </c>
      <c r="F224" s="1149"/>
      <c r="G224" s="1149" t="s">
        <v>90</v>
      </c>
      <c r="H224" s="1151"/>
      <c r="I224" s="1138">
        <v>45</v>
      </c>
      <c r="J224" s="1141">
        <v>0.85</v>
      </c>
      <c r="K224" s="43" t="s">
        <v>87</v>
      </c>
      <c r="L224" s="36" t="s">
        <v>319</v>
      </c>
      <c r="M224" s="181"/>
      <c r="N224" s="182" t="s">
        <v>30</v>
      </c>
      <c r="O224" s="183">
        <v>13</v>
      </c>
      <c r="P224"/>
    </row>
    <row r="225" spans="1:16" s="24" customFormat="1" ht="30" customHeight="1" x14ac:dyDescent="0.2">
      <c r="B225" s="953"/>
      <c r="C225" s="1144" t="s">
        <v>88</v>
      </c>
      <c r="D225" s="1145"/>
      <c r="E225" s="1145" t="s">
        <v>323</v>
      </c>
      <c r="F225" s="1145"/>
      <c r="G225" s="1145" t="s">
        <v>94</v>
      </c>
      <c r="H225" s="1146"/>
      <c r="I225" s="1139"/>
      <c r="J225" s="1142"/>
      <c r="K225" s="43" t="s">
        <v>87</v>
      </c>
      <c r="L225" s="36" t="s">
        <v>319</v>
      </c>
      <c r="M225" s="181"/>
      <c r="N225" s="4"/>
      <c r="O225" s="183">
        <v>13</v>
      </c>
      <c r="P225"/>
    </row>
    <row r="226" spans="1:16" s="24" customFormat="1" ht="30" customHeight="1" x14ac:dyDescent="0.2">
      <c r="B226" s="954"/>
      <c r="C226" s="1147" t="s">
        <v>95</v>
      </c>
      <c r="D226" s="1148"/>
      <c r="E226" s="190"/>
      <c r="F226" s="190"/>
      <c r="G226" s="190"/>
      <c r="H226" s="191"/>
      <c r="I226" s="1140"/>
      <c r="J226" s="1143"/>
      <c r="K226" s="43" t="s">
        <v>87</v>
      </c>
      <c r="L226" s="36" t="s">
        <v>319</v>
      </c>
      <c r="M226" s="181"/>
      <c r="N226" s="4"/>
      <c r="O226" s="183">
        <v>13</v>
      </c>
      <c r="P226"/>
    </row>
    <row r="227" spans="1:16" s="24" customFormat="1" ht="60" customHeight="1" x14ac:dyDescent="0.2">
      <c r="B227" s="96" t="s">
        <v>312</v>
      </c>
      <c r="C227" s="1034" t="s">
        <v>324</v>
      </c>
      <c r="D227" s="1034"/>
      <c r="E227" s="1034"/>
      <c r="F227" s="1034"/>
      <c r="G227" s="1034"/>
      <c r="H227" s="1035"/>
      <c r="I227" s="74">
        <v>0</v>
      </c>
      <c r="J227" s="75">
        <v>1</v>
      </c>
      <c r="K227" s="18"/>
      <c r="L227" s="4"/>
      <c r="M227" s="181"/>
      <c r="N227" s="182" t="s">
        <v>30</v>
      </c>
      <c r="O227" s="67"/>
      <c r="P227" s="18"/>
    </row>
    <row r="228" spans="1:16" s="24" customFormat="1" ht="30" customHeight="1" x14ac:dyDescent="0.2">
      <c r="B228" s="901" t="s">
        <v>325</v>
      </c>
      <c r="C228" s="902"/>
      <c r="D228" s="902"/>
      <c r="E228" s="902"/>
      <c r="F228" s="902"/>
      <c r="G228" s="902"/>
      <c r="H228" s="902"/>
      <c r="I228" s="902"/>
      <c r="J228" s="903"/>
      <c r="K228" s="18"/>
      <c r="L228" s="18"/>
      <c r="M228" s="181"/>
      <c r="N228" s="4"/>
      <c r="O228" s="67"/>
      <c r="P228" s="18"/>
    </row>
    <row r="229" spans="1:16" ht="20.100000000000001" customHeight="1" x14ac:dyDescent="0.2">
      <c r="A229" s="24"/>
      <c r="B229" s="62"/>
      <c r="C229" s="192"/>
      <c r="D229" s="192"/>
      <c r="E229" s="192"/>
      <c r="F229" s="192"/>
      <c r="G229" s="192"/>
      <c r="H229" s="192"/>
      <c r="I229" s="64"/>
      <c r="J229" s="65"/>
    </row>
    <row r="230" spans="1:16" ht="30" customHeight="1" x14ac:dyDescent="0.2">
      <c r="B230" s="1135" t="s">
        <v>326</v>
      </c>
      <c r="C230" s="1136"/>
      <c r="D230" s="1136"/>
      <c r="E230" s="1136"/>
      <c r="F230" s="1136"/>
      <c r="G230" s="1136"/>
      <c r="H230" s="1137"/>
      <c r="I230" s="34" t="s">
        <v>17</v>
      </c>
      <c r="J230" s="193" t="s">
        <v>18</v>
      </c>
      <c r="K230" s="194" t="s">
        <v>327</v>
      </c>
      <c r="L230" s="195">
        <v>14</v>
      </c>
      <c r="N230" s="46" t="s">
        <v>30</v>
      </c>
      <c r="O230" s="195">
        <v>14</v>
      </c>
    </row>
    <row r="231" spans="1:16" ht="39.950000000000003" customHeight="1" x14ac:dyDescent="0.2">
      <c r="B231" s="96" t="s">
        <v>328</v>
      </c>
      <c r="C231" s="901" t="s">
        <v>831</v>
      </c>
      <c r="D231" s="902"/>
      <c r="E231" s="902"/>
      <c r="F231" s="902"/>
      <c r="G231" s="902"/>
      <c r="H231" s="903"/>
      <c r="I231" s="74">
        <v>0</v>
      </c>
      <c r="J231" s="75">
        <v>1</v>
      </c>
      <c r="K231" s="194" t="s">
        <v>327</v>
      </c>
      <c r="L231" s="195">
        <v>14</v>
      </c>
      <c r="O231" s="195">
        <v>14</v>
      </c>
    </row>
    <row r="232" spans="1:16" ht="20.100000000000001" customHeight="1" x14ac:dyDescent="0.2">
      <c r="B232" s="62"/>
      <c r="C232" s="192"/>
      <c r="D232" s="192"/>
      <c r="E232" s="192"/>
      <c r="F232" s="192"/>
      <c r="G232" s="192"/>
      <c r="H232" s="192"/>
      <c r="I232" s="64"/>
      <c r="J232" s="65"/>
      <c r="K232" s="1"/>
    </row>
    <row r="233" spans="1:16" ht="30" customHeight="1" x14ac:dyDescent="0.2">
      <c r="B233" s="904" t="s">
        <v>330</v>
      </c>
      <c r="C233" s="905"/>
      <c r="D233" s="905"/>
      <c r="E233" s="905"/>
      <c r="F233" s="905"/>
      <c r="G233" s="905"/>
      <c r="H233" s="906"/>
      <c r="I233" s="34" t="s">
        <v>17</v>
      </c>
      <c r="J233" s="35" t="s">
        <v>18</v>
      </c>
      <c r="K233" s="197" t="s">
        <v>331</v>
      </c>
      <c r="L233" s="195">
        <v>15</v>
      </c>
      <c r="N233" s="46" t="s">
        <v>30</v>
      </c>
      <c r="O233" s="195">
        <v>15</v>
      </c>
    </row>
    <row r="234" spans="1:16" ht="30" customHeight="1" x14ac:dyDescent="0.2">
      <c r="B234" s="924" t="s">
        <v>332</v>
      </c>
      <c r="C234" s="925"/>
      <c r="D234" s="925"/>
      <c r="E234" s="925"/>
      <c r="F234" s="925"/>
      <c r="G234" s="925"/>
      <c r="H234" s="925"/>
      <c r="I234" s="925"/>
      <c r="J234" s="926"/>
      <c r="K234" s="197" t="s">
        <v>331</v>
      </c>
      <c r="L234" s="195">
        <v>15</v>
      </c>
      <c r="O234" s="195">
        <v>15</v>
      </c>
    </row>
    <row r="235" spans="1:16" ht="99.95" customHeight="1" x14ac:dyDescent="0.2">
      <c r="B235" s="60" t="s">
        <v>333</v>
      </c>
      <c r="C235" s="867" t="s">
        <v>334</v>
      </c>
      <c r="D235" s="868"/>
      <c r="E235" s="868"/>
      <c r="F235" s="868"/>
      <c r="G235" s="868"/>
      <c r="H235" s="869"/>
      <c r="I235" s="61">
        <v>0</v>
      </c>
      <c r="J235" s="42">
        <v>1</v>
      </c>
      <c r="K235" s="197" t="s">
        <v>331</v>
      </c>
      <c r="L235" s="195">
        <v>15</v>
      </c>
      <c r="O235" s="195">
        <v>15</v>
      </c>
    </row>
    <row r="236" spans="1:16" ht="39.950000000000003" customHeight="1" x14ac:dyDescent="0.2">
      <c r="A236" s="24"/>
      <c r="B236" s="1047" t="s">
        <v>335</v>
      </c>
      <c r="C236" s="985" t="s">
        <v>336</v>
      </c>
      <c r="D236" s="986"/>
      <c r="E236" s="986"/>
      <c r="F236" s="986"/>
      <c r="G236" s="986"/>
      <c r="H236" s="987"/>
      <c r="I236" s="1110">
        <v>0</v>
      </c>
      <c r="J236" s="915">
        <v>1</v>
      </c>
      <c r="K236" s="197" t="s">
        <v>331</v>
      </c>
      <c r="L236" s="195">
        <v>15</v>
      </c>
      <c r="N236" s="46" t="s">
        <v>30</v>
      </c>
      <c r="O236" s="195">
        <v>15</v>
      </c>
    </row>
    <row r="237" spans="1:16" ht="30" customHeight="1" x14ac:dyDescent="0.2">
      <c r="A237" s="24"/>
      <c r="B237" s="1109"/>
      <c r="C237" s="965" t="s">
        <v>337</v>
      </c>
      <c r="D237" s="957"/>
      <c r="E237" s="957" t="s">
        <v>338</v>
      </c>
      <c r="F237" s="957"/>
      <c r="G237" s="957" t="s">
        <v>239</v>
      </c>
      <c r="H237" s="957"/>
      <c r="I237" s="1111"/>
      <c r="J237" s="1045"/>
      <c r="K237" s="197" t="s">
        <v>331</v>
      </c>
      <c r="L237" s="195">
        <v>15</v>
      </c>
      <c r="O237" s="195">
        <v>15</v>
      </c>
    </row>
    <row r="238" spans="1:16" ht="30" customHeight="1" x14ac:dyDescent="0.2">
      <c r="A238" s="24"/>
      <c r="B238" s="1048"/>
      <c r="C238" s="971" t="s">
        <v>339</v>
      </c>
      <c r="D238" s="944"/>
      <c r="E238" s="944"/>
      <c r="F238" s="944"/>
      <c r="G238" s="944"/>
      <c r="H238" s="945"/>
      <c r="I238" s="1112"/>
      <c r="J238" s="916"/>
      <c r="K238" s="197" t="s">
        <v>331</v>
      </c>
      <c r="L238" s="195">
        <v>15</v>
      </c>
      <c r="O238" s="195">
        <v>15</v>
      </c>
    </row>
    <row r="239" spans="1:16" ht="39.950000000000003" customHeight="1" x14ac:dyDescent="0.2">
      <c r="A239" s="24"/>
      <c r="B239" s="1047" t="s">
        <v>340</v>
      </c>
      <c r="C239" s="1568" t="s">
        <v>341</v>
      </c>
      <c r="D239" s="1569"/>
      <c r="E239" s="1569"/>
      <c r="F239" s="1569"/>
      <c r="G239" s="1569"/>
      <c r="H239" s="1570"/>
      <c r="I239" s="1110">
        <v>0</v>
      </c>
      <c r="J239" s="915">
        <v>1</v>
      </c>
      <c r="K239" s="197" t="s">
        <v>331</v>
      </c>
      <c r="L239" s="195">
        <v>15</v>
      </c>
      <c r="N239" s="46" t="s">
        <v>30</v>
      </c>
      <c r="O239" s="195">
        <v>15</v>
      </c>
    </row>
    <row r="240" spans="1:16" ht="39.950000000000003" customHeight="1" x14ac:dyDescent="0.2">
      <c r="A240" s="24"/>
      <c r="B240" s="1109"/>
      <c r="C240" s="1132" t="s">
        <v>342</v>
      </c>
      <c r="D240" s="1132"/>
      <c r="E240" s="957" t="s">
        <v>42</v>
      </c>
      <c r="F240" s="957"/>
      <c r="G240" s="1145" t="s">
        <v>92</v>
      </c>
      <c r="H240" s="1146"/>
      <c r="I240" s="1111"/>
      <c r="J240" s="1045"/>
      <c r="K240" s="197" t="s">
        <v>331</v>
      </c>
      <c r="L240" s="195">
        <v>15</v>
      </c>
      <c r="O240" s="195">
        <v>15</v>
      </c>
    </row>
    <row r="241" spans="1:15" ht="39.950000000000003" customHeight="1" x14ac:dyDescent="0.2">
      <c r="A241" s="24"/>
      <c r="B241" s="1109"/>
      <c r="C241" s="965" t="s">
        <v>134</v>
      </c>
      <c r="D241" s="957"/>
      <c r="E241" s="1132"/>
      <c r="F241" s="1132"/>
      <c r="G241" s="1190"/>
      <c r="H241" s="1212"/>
      <c r="I241" s="1111"/>
      <c r="J241" s="1045"/>
      <c r="K241" s="197" t="s">
        <v>331</v>
      </c>
      <c r="L241" s="195">
        <v>15</v>
      </c>
      <c r="O241" s="195">
        <v>15</v>
      </c>
    </row>
    <row r="242" spans="1:15" ht="30" customHeight="1" x14ac:dyDescent="0.2">
      <c r="A242" s="24"/>
      <c r="B242" s="1048"/>
      <c r="C242" s="971" t="s">
        <v>339</v>
      </c>
      <c r="D242" s="944"/>
      <c r="E242" s="944"/>
      <c r="F242" s="944"/>
      <c r="G242" s="944"/>
      <c r="H242" s="945"/>
      <c r="I242" s="1112"/>
      <c r="J242" s="916"/>
      <c r="K242" s="197" t="s">
        <v>331</v>
      </c>
      <c r="L242" s="195">
        <v>15</v>
      </c>
      <c r="O242" s="195">
        <v>15</v>
      </c>
    </row>
    <row r="243" spans="1:15" ht="30" customHeight="1" x14ac:dyDescent="0.2">
      <c r="A243" s="24"/>
      <c r="B243" s="1279" t="s">
        <v>343</v>
      </c>
      <c r="C243" s="1123" t="s">
        <v>134</v>
      </c>
      <c r="D243" s="1124"/>
      <c r="E243" s="1124" t="s">
        <v>92</v>
      </c>
      <c r="F243" s="1124"/>
      <c r="G243" s="1566" t="s">
        <v>146</v>
      </c>
      <c r="H243" s="1567"/>
      <c r="I243" s="1228">
        <v>0</v>
      </c>
      <c r="J243" s="962">
        <v>1</v>
      </c>
      <c r="K243" s="197" t="s">
        <v>331</v>
      </c>
      <c r="L243" s="195">
        <v>15</v>
      </c>
      <c r="M243" s="3"/>
      <c r="N243" s="46" t="s">
        <v>30</v>
      </c>
      <c r="O243" s="195">
        <v>15</v>
      </c>
    </row>
    <row r="244" spans="1:15" ht="30" customHeight="1" x14ac:dyDescent="0.2">
      <c r="A244" s="24"/>
      <c r="B244" s="1284"/>
      <c r="C244" s="965" t="s">
        <v>344</v>
      </c>
      <c r="D244" s="957"/>
      <c r="E244" s="957" t="s">
        <v>149</v>
      </c>
      <c r="F244" s="957"/>
      <c r="G244" s="1108" t="s">
        <v>345</v>
      </c>
      <c r="H244" s="1565"/>
      <c r="I244" s="1229"/>
      <c r="J244" s="963"/>
      <c r="K244" s="197" t="s">
        <v>331</v>
      </c>
      <c r="L244" s="195">
        <v>15</v>
      </c>
      <c r="M244" s="3"/>
      <c r="N244" s="4"/>
      <c r="O244" s="195">
        <v>15</v>
      </c>
    </row>
    <row r="245" spans="1:15" ht="30" customHeight="1" x14ac:dyDescent="0.2">
      <c r="A245" s="24"/>
      <c r="B245" s="1284"/>
      <c r="C245" s="965" t="s">
        <v>148</v>
      </c>
      <c r="D245" s="957"/>
      <c r="E245" s="957" t="s">
        <v>150</v>
      </c>
      <c r="F245" s="957"/>
      <c r="G245" s="47"/>
      <c r="H245" s="123"/>
      <c r="I245" s="1229"/>
      <c r="J245" s="963"/>
      <c r="K245" s="197" t="s">
        <v>331</v>
      </c>
      <c r="L245" s="195">
        <v>15</v>
      </c>
      <c r="M245" s="3"/>
      <c r="N245" s="4"/>
      <c r="O245" s="195">
        <v>15</v>
      </c>
    </row>
    <row r="246" spans="1:15" ht="30" customHeight="1" x14ac:dyDescent="0.2">
      <c r="A246" s="24"/>
      <c r="B246" s="1280"/>
      <c r="C246" s="1116" t="s">
        <v>339</v>
      </c>
      <c r="D246" s="1034"/>
      <c r="E246" s="1034"/>
      <c r="F246" s="1034"/>
      <c r="G246" s="1034"/>
      <c r="H246" s="1035"/>
      <c r="I246" s="1230"/>
      <c r="J246" s="964"/>
      <c r="K246" s="197" t="s">
        <v>331</v>
      </c>
      <c r="L246" s="195">
        <v>15</v>
      </c>
      <c r="M246" s="3"/>
      <c r="N246" s="4"/>
      <c r="O246" s="195">
        <v>15</v>
      </c>
    </row>
    <row r="247" spans="1:15" ht="30" customHeight="1" x14ac:dyDescent="0.2">
      <c r="A247" s="24"/>
      <c r="B247" s="494" t="s">
        <v>346</v>
      </c>
      <c r="C247" s="901" t="s">
        <v>347</v>
      </c>
      <c r="D247" s="902"/>
      <c r="E247" s="902"/>
      <c r="F247" s="902"/>
      <c r="G247" s="902"/>
      <c r="H247" s="903"/>
      <c r="I247" s="495">
        <v>0</v>
      </c>
      <c r="J247" s="146">
        <v>1</v>
      </c>
      <c r="K247" s="197" t="s">
        <v>331</v>
      </c>
      <c r="L247" s="195">
        <v>15</v>
      </c>
      <c r="N247" s="46" t="s">
        <v>30</v>
      </c>
      <c r="O247" s="195">
        <v>15</v>
      </c>
    </row>
    <row r="248" spans="1:15" ht="39.950000000000003" customHeight="1" x14ac:dyDescent="0.2">
      <c r="A248" s="24"/>
      <c r="B248" s="232" t="s">
        <v>348</v>
      </c>
      <c r="C248" s="901" t="s">
        <v>832</v>
      </c>
      <c r="D248" s="902"/>
      <c r="E248" s="902" t="s">
        <v>239</v>
      </c>
      <c r="F248" s="902"/>
      <c r="G248" s="902"/>
      <c r="H248" s="903"/>
      <c r="I248" s="61">
        <v>0</v>
      </c>
      <c r="J248" s="42">
        <v>1</v>
      </c>
      <c r="K248" s="197" t="s">
        <v>331</v>
      </c>
      <c r="L248" s="195">
        <v>15</v>
      </c>
      <c r="N248" s="46" t="s">
        <v>30</v>
      </c>
      <c r="O248" s="195">
        <v>15</v>
      </c>
    </row>
    <row r="249" spans="1:15" ht="90" customHeight="1" x14ac:dyDescent="0.2">
      <c r="A249" s="24"/>
      <c r="B249" s="60" t="s">
        <v>350</v>
      </c>
      <c r="C249" s="901" t="s">
        <v>351</v>
      </c>
      <c r="D249" s="902"/>
      <c r="E249" s="902"/>
      <c r="F249" s="902"/>
      <c r="G249" s="902"/>
      <c r="H249" s="903"/>
      <c r="I249" s="61">
        <v>0</v>
      </c>
      <c r="J249" s="42">
        <v>1</v>
      </c>
      <c r="K249" s="197" t="s">
        <v>331</v>
      </c>
      <c r="L249" s="195">
        <v>15</v>
      </c>
      <c r="N249" s="46" t="s">
        <v>30</v>
      </c>
      <c r="O249" s="195">
        <v>15</v>
      </c>
    </row>
    <row r="250" spans="1:15" ht="54" customHeight="1" x14ac:dyDescent="0.2">
      <c r="A250" s="24"/>
      <c r="B250" s="1047" t="s">
        <v>352</v>
      </c>
      <c r="C250" s="867" t="s">
        <v>353</v>
      </c>
      <c r="D250" s="868"/>
      <c r="E250" s="868"/>
      <c r="F250" s="868"/>
      <c r="G250" s="868"/>
      <c r="H250" s="869"/>
      <c r="I250" s="1110">
        <v>0</v>
      </c>
      <c r="J250" s="915">
        <v>1</v>
      </c>
      <c r="K250" s="197" t="s">
        <v>331</v>
      </c>
      <c r="L250" s="195">
        <v>15</v>
      </c>
      <c r="N250" s="46" t="s">
        <v>30</v>
      </c>
      <c r="O250" s="195">
        <v>15</v>
      </c>
    </row>
    <row r="251" spans="1:15" ht="64.5" customHeight="1" x14ac:dyDescent="0.2">
      <c r="A251" s="24"/>
      <c r="B251" s="1109"/>
      <c r="C251" s="867" t="s">
        <v>354</v>
      </c>
      <c r="D251" s="868"/>
      <c r="E251" s="868"/>
      <c r="F251" s="868"/>
      <c r="G251" s="868"/>
      <c r="H251" s="869"/>
      <c r="I251" s="1111"/>
      <c r="J251" s="1045"/>
      <c r="K251" s="197" t="s">
        <v>331</v>
      </c>
      <c r="L251" s="195">
        <v>15</v>
      </c>
      <c r="N251" s="4"/>
      <c r="O251" s="195">
        <v>15</v>
      </c>
    </row>
    <row r="252" spans="1:15" ht="54.75" customHeight="1" x14ac:dyDescent="0.2">
      <c r="A252" s="24"/>
      <c r="B252" s="1109"/>
      <c r="C252" s="867" t="s">
        <v>355</v>
      </c>
      <c r="D252" s="868"/>
      <c r="E252" s="868"/>
      <c r="F252" s="868"/>
      <c r="G252" s="868"/>
      <c r="H252" s="869"/>
      <c r="I252" s="1111"/>
      <c r="J252" s="1045"/>
      <c r="K252" s="197" t="s">
        <v>331</v>
      </c>
      <c r="L252" s="195">
        <v>15</v>
      </c>
      <c r="N252" s="4"/>
      <c r="O252" s="195">
        <v>15</v>
      </c>
    </row>
    <row r="253" spans="1:15" ht="33" customHeight="1" x14ac:dyDescent="0.2">
      <c r="A253" s="24"/>
      <c r="B253" s="1109"/>
      <c r="C253" s="1113" t="s">
        <v>356</v>
      </c>
      <c r="D253" s="1114"/>
      <c r="E253" s="1114"/>
      <c r="F253" s="1114"/>
      <c r="G253" s="1114"/>
      <c r="H253" s="1115"/>
      <c r="I253" s="1111"/>
      <c r="J253" s="1045"/>
      <c r="K253" s="197" t="s">
        <v>331</v>
      </c>
      <c r="L253" s="195">
        <v>15</v>
      </c>
      <c r="N253" s="4"/>
      <c r="O253" s="195">
        <v>15</v>
      </c>
    </row>
    <row r="254" spans="1:15" ht="33.75" customHeight="1" x14ac:dyDescent="0.2">
      <c r="A254" s="24"/>
      <c r="B254" s="1109"/>
      <c r="C254" s="867" t="s">
        <v>357</v>
      </c>
      <c r="D254" s="868"/>
      <c r="E254" s="868"/>
      <c r="F254" s="868"/>
      <c r="G254" s="868"/>
      <c r="H254" s="869"/>
      <c r="I254" s="1112"/>
      <c r="J254" s="916"/>
      <c r="K254" s="197" t="s">
        <v>331</v>
      </c>
      <c r="L254" s="195">
        <v>15</v>
      </c>
      <c r="N254" s="4"/>
      <c r="O254" s="195">
        <v>15</v>
      </c>
    </row>
    <row r="255" spans="1:15" ht="47.25" customHeight="1" x14ac:dyDescent="0.2">
      <c r="A255" s="24"/>
      <c r="B255" s="1048"/>
      <c r="C255" s="867" t="s">
        <v>358</v>
      </c>
      <c r="D255" s="868"/>
      <c r="E255" s="868"/>
      <c r="F255" s="868"/>
      <c r="G255" s="868"/>
      <c r="H255" s="869"/>
      <c r="I255" s="198" t="s">
        <v>256</v>
      </c>
      <c r="J255" s="199" t="s">
        <v>256</v>
      </c>
      <c r="K255" s="197" t="s">
        <v>331</v>
      </c>
      <c r="L255" s="195">
        <v>15</v>
      </c>
      <c r="N255" s="4"/>
      <c r="O255" s="195">
        <v>15</v>
      </c>
    </row>
    <row r="256" spans="1:15" ht="39.950000000000003" customHeight="1" x14ac:dyDescent="0.2">
      <c r="A256" s="24"/>
      <c r="B256" s="60" t="s">
        <v>359</v>
      </c>
      <c r="C256" s="867" t="s">
        <v>360</v>
      </c>
      <c r="D256" s="868"/>
      <c r="E256" s="868"/>
      <c r="F256" s="868"/>
      <c r="G256" s="868"/>
      <c r="H256" s="869"/>
      <c r="I256" s="61">
        <v>0</v>
      </c>
      <c r="J256" s="42">
        <v>1</v>
      </c>
      <c r="K256" s="197" t="s">
        <v>331</v>
      </c>
      <c r="L256" s="195">
        <v>15</v>
      </c>
      <c r="N256" s="46" t="s">
        <v>30</v>
      </c>
      <c r="O256" s="195">
        <v>15</v>
      </c>
    </row>
    <row r="257" spans="1:25" ht="42" customHeight="1" x14ac:dyDescent="0.2">
      <c r="A257" s="24"/>
      <c r="B257" s="867" t="s">
        <v>361</v>
      </c>
      <c r="C257" s="868"/>
      <c r="D257" s="868"/>
      <c r="E257" s="868"/>
      <c r="F257" s="868"/>
      <c r="G257" s="868"/>
      <c r="H257" s="868"/>
      <c r="I257" s="868"/>
      <c r="J257" s="869"/>
      <c r="K257" s="197" t="s">
        <v>331</v>
      </c>
      <c r="L257" s="195">
        <v>15</v>
      </c>
      <c r="N257" s="46" t="s">
        <v>30</v>
      </c>
      <c r="O257" s="195">
        <v>15</v>
      </c>
    </row>
    <row r="258" spans="1:25" ht="20.100000000000001" customHeight="1" x14ac:dyDescent="0.2">
      <c r="A258" s="24"/>
      <c r="B258" s="192"/>
      <c r="C258" s="192"/>
      <c r="D258" s="192"/>
      <c r="E258" s="192"/>
      <c r="F258" s="192"/>
      <c r="G258" s="192"/>
      <c r="H258" s="192"/>
      <c r="I258" s="192"/>
      <c r="J258" s="200"/>
      <c r="K258" s="197"/>
      <c r="L258" s="195"/>
      <c r="N258" s="46"/>
      <c r="O258" s="195"/>
    </row>
    <row r="259" spans="1:25" s="45" customFormat="1" ht="30" customHeight="1" x14ac:dyDescent="0.2">
      <c r="B259" s="1135" t="s">
        <v>362</v>
      </c>
      <c r="C259" s="1136"/>
      <c r="D259" s="1136"/>
      <c r="E259" s="1136"/>
      <c r="F259" s="1136"/>
      <c r="G259" s="1136"/>
      <c r="H259" s="1137"/>
      <c r="I259" s="94" t="s">
        <v>130</v>
      </c>
      <c r="J259" s="35" t="s">
        <v>18</v>
      </c>
      <c r="K259" s="197" t="s">
        <v>331</v>
      </c>
      <c r="L259" s="195">
        <v>15</v>
      </c>
      <c r="M259" s="181"/>
      <c r="N259" s="46" t="s">
        <v>30</v>
      </c>
      <c r="O259" s="195">
        <v>15</v>
      </c>
    </row>
    <row r="260" spans="1:25" s="45" customFormat="1" ht="78" customHeight="1" x14ac:dyDescent="0.2">
      <c r="B260" s="867" t="s">
        <v>363</v>
      </c>
      <c r="C260" s="868"/>
      <c r="D260" s="868"/>
      <c r="E260" s="868"/>
      <c r="F260" s="868"/>
      <c r="G260" s="868"/>
      <c r="H260" s="868"/>
      <c r="I260" s="868"/>
      <c r="J260" s="869"/>
      <c r="K260" s="197" t="s">
        <v>331</v>
      </c>
      <c r="L260" s="195">
        <v>15</v>
      </c>
      <c r="M260" s="181"/>
      <c r="N260" s="67"/>
      <c r="O260" s="195">
        <v>15</v>
      </c>
    </row>
    <row r="261" spans="1:25" s="45" customFormat="1" ht="39" customHeight="1" x14ac:dyDescent="0.2">
      <c r="B261" s="1047" t="s">
        <v>364</v>
      </c>
      <c r="C261" s="867" t="s">
        <v>365</v>
      </c>
      <c r="D261" s="868"/>
      <c r="E261" s="868"/>
      <c r="F261" s="868"/>
      <c r="G261" s="868"/>
      <c r="H261" s="869"/>
      <c r="I261" s="1110">
        <v>0</v>
      </c>
      <c r="J261" s="915">
        <v>1</v>
      </c>
      <c r="K261" s="197" t="s">
        <v>331</v>
      </c>
      <c r="L261" s="195">
        <v>15</v>
      </c>
      <c r="M261" s="181"/>
      <c r="N261" s="67"/>
      <c r="O261" s="195">
        <v>15</v>
      </c>
    </row>
    <row r="262" spans="1:25" s="45" customFormat="1" ht="39" customHeight="1" x14ac:dyDescent="0.2">
      <c r="B262" s="1109"/>
      <c r="C262" s="867" t="s">
        <v>366</v>
      </c>
      <c r="D262" s="868"/>
      <c r="E262" s="868"/>
      <c r="F262" s="868"/>
      <c r="G262" s="868"/>
      <c r="H262" s="869"/>
      <c r="I262" s="1111"/>
      <c r="J262" s="1045"/>
      <c r="K262" s="197" t="s">
        <v>331</v>
      </c>
      <c r="L262" s="195">
        <v>15</v>
      </c>
      <c r="M262" s="181"/>
      <c r="N262" s="67"/>
      <c r="O262" s="195">
        <v>15</v>
      </c>
    </row>
    <row r="263" spans="1:25" s="45" customFormat="1" ht="39" customHeight="1" x14ac:dyDescent="0.2">
      <c r="B263" s="1048"/>
      <c r="C263" s="867" t="s">
        <v>367</v>
      </c>
      <c r="D263" s="868"/>
      <c r="E263" s="868"/>
      <c r="F263" s="868"/>
      <c r="G263" s="868"/>
      <c r="H263" s="869"/>
      <c r="I263" s="1112"/>
      <c r="J263" s="916"/>
      <c r="K263" s="197" t="s">
        <v>331</v>
      </c>
      <c r="L263" s="195">
        <v>15</v>
      </c>
      <c r="M263" s="181"/>
      <c r="N263" s="67"/>
      <c r="O263" s="195">
        <v>15</v>
      </c>
    </row>
    <row r="264" spans="1:25" s="45" customFormat="1" ht="84.95" customHeight="1" x14ac:dyDescent="0.2">
      <c r="B264" s="867" t="s">
        <v>368</v>
      </c>
      <c r="C264" s="868"/>
      <c r="D264" s="868"/>
      <c r="E264" s="868"/>
      <c r="F264" s="868"/>
      <c r="G264" s="868"/>
      <c r="H264" s="868"/>
      <c r="I264" s="868"/>
      <c r="J264" s="869"/>
      <c r="K264" s="197" t="s">
        <v>331</v>
      </c>
      <c r="L264" s="195">
        <v>15</v>
      </c>
      <c r="M264" s="181"/>
      <c r="N264" s="67"/>
      <c r="O264" s="195">
        <v>15</v>
      </c>
    </row>
    <row r="265" spans="1:25" ht="20.100000000000001" customHeight="1" x14ac:dyDescent="0.2">
      <c r="A265" s="24"/>
      <c r="B265" s="62"/>
      <c r="C265" s="192"/>
      <c r="D265" s="192"/>
      <c r="E265" s="192"/>
      <c r="F265" s="192"/>
      <c r="G265" s="192"/>
      <c r="H265" s="192"/>
      <c r="I265" s="64"/>
      <c r="J265" s="65"/>
    </row>
    <row r="266" spans="1:25" s="45" customFormat="1" ht="30" customHeight="1" x14ac:dyDescent="0.2">
      <c r="B266" s="1087" t="s">
        <v>369</v>
      </c>
      <c r="C266" s="1088"/>
      <c r="D266" s="1088"/>
      <c r="E266" s="1088"/>
      <c r="F266" s="1088"/>
      <c r="G266" s="1088"/>
      <c r="H266" s="1390"/>
      <c r="I266" s="201" t="s">
        <v>130</v>
      </c>
      <c r="J266" s="35" t="s">
        <v>18</v>
      </c>
      <c r="K266" s="36" t="s">
        <v>370</v>
      </c>
      <c r="L266" s="37">
        <v>44</v>
      </c>
      <c r="M266" s="68"/>
      <c r="N266" s="182" t="s">
        <v>30</v>
      </c>
      <c r="O266" s="37">
        <v>44</v>
      </c>
      <c r="P266" s="66"/>
    </row>
    <row r="267" spans="1:25" s="45" customFormat="1" ht="61.5" customHeight="1" x14ac:dyDescent="0.2">
      <c r="B267" s="1105" t="s">
        <v>833</v>
      </c>
      <c r="C267" s="1106"/>
      <c r="D267" s="1106"/>
      <c r="E267" s="1106"/>
      <c r="F267" s="1106"/>
      <c r="G267" s="1106"/>
      <c r="H267" s="1106"/>
      <c r="I267" s="1106"/>
      <c r="J267" s="1107"/>
      <c r="K267" s="36" t="s">
        <v>370</v>
      </c>
      <c r="L267" s="37">
        <v>44</v>
      </c>
      <c r="M267" s="181"/>
      <c r="N267" s="67"/>
      <c r="O267" s="37">
        <v>44</v>
      </c>
      <c r="U267" s="70"/>
      <c r="V267" s="70"/>
      <c r="W267" s="187"/>
      <c r="X267" s="69"/>
      <c r="Y267" s="69"/>
    </row>
    <row r="268" spans="1:25" s="45" customFormat="1" ht="30" customHeight="1" x14ac:dyDescent="0.2">
      <c r="B268" s="976" t="s">
        <v>372</v>
      </c>
      <c r="C268" s="977"/>
      <c r="D268" s="977"/>
      <c r="E268" s="977"/>
      <c r="F268" s="977"/>
      <c r="G268" s="977"/>
      <c r="H268" s="977"/>
      <c r="I268" s="977"/>
      <c r="J268" s="978"/>
      <c r="K268" s="36" t="s">
        <v>370</v>
      </c>
      <c r="L268" s="37">
        <v>44</v>
      </c>
      <c r="M268" s="181"/>
      <c r="N268" s="67"/>
      <c r="O268" s="37">
        <v>44</v>
      </c>
      <c r="U268" s="70"/>
      <c r="V268" s="71"/>
      <c r="W268" s="71"/>
      <c r="X268" s="72"/>
      <c r="Y268" s="69"/>
    </row>
    <row r="269" spans="1:25" s="45" customFormat="1" ht="30" customHeight="1" x14ac:dyDescent="0.2">
      <c r="B269" s="202" t="s">
        <v>373</v>
      </c>
      <c r="C269" s="1103" t="s">
        <v>374</v>
      </c>
      <c r="D269" s="1104"/>
      <c r="E269" s="865" t="s">
        <v>34</v>
      </c>
      <c r="F269" s="865"/>
      <c r="G269" s="203"/>
      <c r="H269" s="204"/>
      <c r="I269" s="205">
        <v>30</v>
      </c>
      <c r="J269" s="75">
        <v>0.9</v>
      </c>
      <c r="K269" s="36" t="s">
        <v>370</v>
      </c>
      <c r="L269" s="37">
        <v>44</v>
      </c>
      <c r="M269" s="181"/>
      <c r="N269" s="67"/>
      <c r="O269" s="37">
        <v>44</v>
      </c>
      <c r="U269" s="70"/>
      <c r="V269" s="496"/>
      <c r="W269" s="497"/>
      <c r="X269" s="498"/>
      <c r="Y269" s="69"/>
    </row>
    <row r="270" spans="1:25" s="45" customFormat="1" ht="30" customHeight="1" x14ac:dyDescent="0.2">
      <c r="B270" s="202" t="s">
        <v>375</v>
      </c>
      <c r="C270" s="1103" t="s">
        <v>376</v>
      </c>
      <c r="D270" s="1104"/>
      <c r="E270" s="1104" t="s">
        <v>29</v>
      </c>
      <c r="F270" s="1104"/>
      <c r="G270" s="203"/>
      <c r="H270" s="204"/>
      <c r="I270" s="205">
        <v>50</v>
      </c>
      <c r="J270" s="75">
        <v>0.6</v>
      </c>
      <c r="K270" s="36" t="s">
        <v>370</v>
      </c>
      <c r="L270" s="37">
        <v>44</v>
      </c>
      <c r="M270" s="181"/>
      <c r="N270" s="67"/>
      <c r="O270" s="37">
        <v>44</v>
      </c>
      <c r="U270" s="70"/>
      <c r="V270" s="496"/>
      <c r="W270" s="497"/>
      <c r="X270" s="499"/>
      <c r="Y270" s="69"/>
    </row>
    <row r="271" spans="1:25" s="45" customFormat="1" ht="30" customHeight="1" x14ac:dyDescent="0.2">
      <c r="B271" s="952" t="s">
        <v>377</v>
      </c>
      <c r="C271" s="927" t="s">
        <v>378</v>
      </c>
      <c r="D271" s="928"/>
      <c r="E271" s="986" t="s">
        <v>42</v>
      </c>
      <c r="F271" s="986"/>
      <c r="G271" s="986" t="s">
        <v>63</v>
      </c>
      <c r="H271" s="987"/>
      <c r="I271" s="1083">
        <v>50</v>
      </c>
      <c r="J271" s="962">
        <v>0.6</v>
      </c>
      <c r="K271" s="36" t="s">
        <v>370</v>
      </c>
      <c r="L271" s="37">
        <v>44</v>
      </c>
      <c r="M271" s="181"/>
      <c r="N271" s="67"/>
      <c r="O271" s="37">
        <v>44</v>
      </c>
      <c r="U271" s="70"/>
      <c r="V271" s="496"/>
      <c r="W271" s="500"/>
      <c r="X271" s="240"/>
      <c r="Y271" s="69"/>
    </row>
    <row r="272" spans="1:25" s="45" customFormat="1" ht="30" customHeight="1" x14ac:dyDescent="0.2">
      <c r="B272" s="953"/>
      <c r="C272" s="965" t="s">
        <v>379</v>
      </c>
      <c r="D272" s="957"/>
      <c r="E272" s="957" t="s">
        <v>380</v>
      </c>
      <c r="F272" s="957"/>
      <c r="G272" s="957" t="s">
        <v>56</v>
      </c>
      <c r="H272" s="958"/>
      <c r="I272" s="1084"/>
      <c r="J272" s="963"/>
      <c r="K272" s="36" t="s">
        <v>370</v>
      </c>
      <c r="L272" s="37">
        <v>44</v>
      </c>
      <c r="M272" s="181"/>
      <c r="N272" s="67"/>
      <c r="O272" s="37">
        <v>44</v>
      </c>
      <c r="U272" s="70"/>
      <c r="V272" s="184"/>
      <c r="W272" s="501"/>
      <c r="X272" s="243"/>
      <c r="Y272" s="69"/>
    </row>
    <row r="273" spans="2:25" s="45" customFormat="1" ht="30" customHeight="1" x14ac:dyDescent="0.2">
      <c r="B273" s="953"/>
      <c r="C273" s="206" t="s">
        <v>43</v>
      </c>
      <c r="D273" s="207"/>
      <c r="E273" s="957" t="s">
        <v>381</v>
      </c>
      <c r="F273" s="957"/>
      <c r="G273" s="957" t="s">
        <v>287</v>
      </c>
      <c r="H273" s="958"/>
      <c r="I273" s="1084"/>
      <c r="J273" s="963"/>
      <c r="K273" s="36" t="s">
        <v>370</v>
      </c>
      <c r="L273" s="37">
        <v>44</v>
      </c>
      <c r="M273" s="181"/>
      <c r="N273" s="67"/>
      <c r="O273" s="37">
        <v>44</v>
      </c>
      <c r="U273" s="70"/>
      <c r="V273" s="184"/>
      <c r="W273" s="501"/>
      <c r="X273" s="243"/>
      <c r="Y273" s="69"/>
    </row>
    <row r="274" spans="2:25" s="45" customFormat="1" ht="30" customHeight="1" x14ac:dyDescent="0.2">
      <c r="B274" s="115" t="s">
        <v>382</v>
      </c>
      <c r="C274" s="1103" t="s">
        <v>383</v>
      </c>
      <c r="D274" s="1104"/>
      <c r="E274" s="1104"/>
      <c r="F274" s="1104"/>
      <c r="G274" s="1104"/>
      <c r="H274" s="1386"/>
      <c r="I274" s="208">
        <v>60</v>
      </c>
      <c r="J274" s="75">
        <v>0.6</v>
      </c>
      <c r="K274" s="36" t="s">
        <v>370</v>
      </c>
      <c r="L274" s="37">
        <v>44</v>
      </c>
      <c r="M274" s="181"/>
      <c r="N274" s="67"/>
      <c r="O274" s="37">
        <v>44</v>
      </c>
      <c r="U274" s="70"/>
      <c r="V274" s="184"/>
      <c r="W274" s="501"/>
      <c r="X274" s="243"/>
      <c r="Y274" s="69"/>
    </row>
    <row r="275" spans="2:25" s="45" customFormat="1" ht="30" customHeight="1" x14ac:dyDescent="0.2">
      <c r="B275" s="976" t="s">
        <v>384</v>
      </c>
      <c r="C275" s="977"/>
      <c r="D275" s="977"/>
      <c r="E275" s="977"/>
      <c r="F275" s="977"/>
      <c r="G275" s="977"/>
      <c r="H275" s="977"/>
      <c r="I275" s="977"/>
      <c r="J275" s="978"/>
      <c r="K275" s="36" t="s">
        <v>370</v>
      </c>
      <c r="L275" s="37">
        <v>44</v>
      </c>
      <c r="M275" s="181"/>
      <c r="N275" s="182" t="s">
        <v>30</v>
      </c>
      <c r="O275" s="37">
        <v>44</v>
      </c>
      <c r="U275" s="70"/>
      <c r="V275" s="184"/>
      <c r="W275" s="501"/>
      <c r="X275" s="243"/>
      <c r="Y275" s="69"/>
    </row>
    <row r="276" spans="2:25" s="45" customFormat="1" ht="30" customHeight="1" x14ac:dyDescent="0.2">
      <c r="B276" s="1081" t="s">
        <v>373</v>
      </c>
      <c r="C276" s="1067" t="s">
        <v>385</v>
      </c>
      <c r="D276" s="1068"/>
      <c r="E276" s="1068"/>
      <c r="F276" s="1068"/>
      <c r="G276" s="1068"/>
      <c r="H276" s="1069"/>
      <c r="I276" s="205">
        <v>0</v>
      </c>
      <c r="J276" s="75">
        <v>1</v>
      </c>
      <c r="K276" s="36" t="s">
        <v>370</v>
      </c>
      <c r="L276" s="37">
        <v>44</v>
      </c>
      <c r="M276" s="181"/>
      <c r="N276" s="67"/>
      <c r="O276" s="37">
        <v>44</v>
      </c>
      <c r="U276" s="70"/>
      <c r="V276" s="70"/>
      <c r="W276" s="187"/>
      <c r="X276" s="69"/>
      <c r="Y276" s="69"/>
    </row>
    <row r="277" spans="2:25" s="45" customFormat="1" ht="30" customHeight="1" x14ac:dyDescent="0.2">
      <c r="B277" s="1099"/>
      <c r="C277" s="1067" t="s">
        <v>386</v>
      </c>
      <c r="D277" s="1068"/>
      <c r="E277" s="1068"/>
      <c r="F277" s="1068"/>
      <c r="G277" s="1068"/>
      <c r="H277" s="1069"/>
      <c r="I277" s="205">
        <v>0</v>
      </c>
      <c r="J277" s="75">
        <v>0.7</v>
      </c>
      <c r="K277" s="36" t="s">
        <v>370</v>
      </c>
      <c r="L277" s="37">
        <v>44</v>
      </c>
      <c r="M277" s="181"/>
      <c r="N277" s="67"/>
      <c r="O277" s="37">
        <v>44</v>
      </c>
      <c r="U277" s="70"/>
      <c r="V277" s="70"/>
      <c r="W277" s="187"/>
      <c r="X277" s="69"/>
      <c r="Y277" s="69"/>
    </row>
    <row r="278" spans="2:25" s="45" customFormat="1" ht="30" customHeight="1" x14ac:dyDescent="0.2">
      <c r="B278" s="209" t="s">
        <v>375</v>
      </c>
      <c r="C278" s="1103" t="s">
        <v>376</v>
      </c>
      <c r="D278" s="1104"/>
      <c r="E278" s="1104" t="s">
        <v>29</v>
      </c>
      <c r="F278" s="1104"/>
      <c r="G278" s="210"/>
      <c r="H278" s="211"/>
      <c r="I278" s="212">
        <v>0</v>
      </c>
      <c r="J278" s="75">
        <v>0.5</v>
      </c>
      <c r="K278" s="36" t="s">
        <v>370</v>
      </c>
      <c r="L278" s="37">
        <v>44</v>
      </c>
      <c r="M278" s="181"/>
      <c r="N278" s="67"/>
      <c r="O278" s="37">
        <v>44</v>
      </c>
      <c r="U278" s="70"/>
      <c r="V278" s="70"/>
      <c r="W278" s="187"/>
      <c r="X278" s="69"/>
      <c r="Y278" s="69"/>
    </row>
    <row r="279" spans="2:25" s="45" customFormat="1" ht="30" customHeight="1" x14ac:dyDescent="0.2">
      <c r="B279" s="202" t="s">
        <v>387</v>
      </c>
      <c r="C279" s="1067" t="s">
        <v>388</v>
      </c>
      <c r="D279" s="1068"/>
      <c r="E279" s="1068"/>
      <c r="F279" s="1068"/>
      <c r="G279" s="1068"/>
      <c r="H279" s="1069"/>
      <c r="I279" s="205">
        <v>0</v>
      </c>
      <c r="J279" s="75">
        <v>0.7</v>
      </c>
      <c r="K279" s="36" t="s">
        <v>370</v>
      </c>
      <c r="L279" s="37">
        <v>44</v>
      </c>
      <c r="M279" s="181"/>
      <c r="N279" s="67"/>
      <c r="O279" s="37">
        <v>44</v>
      </c>
      <c r="U279" s="70"/>
      <c r="V279" s="70"/>
      <c r="W279" s="187"/>
      <c r="X279" s="69"/>
      <c r="Y279" s="69"/>
    </row>
    <row r="280" spans="2:25" s="45" customFormat="1" ht="30" customHeight="1" x14ac:dyDescent="0.2">
      <c r="B280" s="202" t="s">
        <v>382</v>
      </c>
      <c r="C280" s="1103" t="s">
        <v>383</v>
      </c>
      <c r="D280" s="1104"/>
      <c r="E280" s="1104"/>
      <c r="F280" s="1104"/>
      <c r="G280" s="1104"/>
      <c r="H280" s="1386"/>
      <c r="I280" s="205">
        <v>0</v>
      </c>
      <c r="J280" s="75">
        <v>0.5</v>
      </c>
      <c r="K280" s="36" t="s">
        <v>370</v>
      </c>
      <c r="L280" s="37">
        <v>44</v>
      </c>
      <c r="M280" s="181"/>
      <c r="N280" s="67"/>
      <c r="O280" s="37">
        <v>44</v>
      </c>
      <c r="U280" s="70"/>
      <c r="V280" s="70"/>
      <c r="W280" s="187"/>
      <c r="X280" s="69"/>
      <c r="Y280" s="69"/>
    </row>
    <row r="281" spans="2:25" s="45" customFormat="1" ht="36.75" customHeight="1" x14ac:dyDescent="0.2">
      <c r="B281" s="1089" t="s">
        <v>389</v>
      </c>
      <c r="C281" s="1090"/>
      <c r="D281" s="1090"/>
      <c r="E281" s="1090"/>
      <c r="F281" s="1090"/>
      <c r="G281" s="1090"/>
      <c r="H281" s="1091"/>
      <c r="I281" s="205">
        <v>0</v>
      </c>
      <c r="J281" s="75">
        <v>0.5</v>
      </c>
      <c r="K281" s="36" t="s">
        <v>370</v>
      </c>
      <c r="L281" s="37">
        <v>44</v>
      </c>
      <c r="M281" s="181"/>
      <c r="N281" s="67"/>
      <c r="O281" s="37">
        <v>44</v>
      </c>
      <c r="U281" s="70"/>
      <c r="V281" s="70"/>
      <c r="W281" s="187"/>
      <c r="X281" s="69"/>
      <c r="Y281" s="69"/>
    </row>
    <row r="282" spans="2:25" s="45" customFormat="1" ht="29.25" customHeight="1" x14ac:dyDescent="0.2">
      <c r="B282" s="949" t="s">
        <v>390</v>
      </c>
      <c r="C282" s="950"/>
      <c r="D282" s="950"/>
      <c r="E282" s="950"/>
      <c r="F282" s="950"/>
      <c r="G282" s="950"/>
      <c r="H282" s="950"/>
      <c r="I282" s="950"/>
      <c r="J282" s="951"/>
      <c r="K282" s="36" t="s">
        <v>370</v>
      </c>
      <c r="L282" s="37">
        <v>44</v>
      </c>
      <c r="M282" s="181"/>
      <c r="N282" s="182" t="s">
        <v>30</v>
      </c>
      <c r="O282" s="37">
        <v>44</v>
      </c>
      <c r="U282" s="70"/>
      <c r="V282" s="70"/>
      <c r="W282" s="187"/>
      <c r="X282" s="69"/>
      <c r="Y282" s="69"/>
    </row>
    <row r="283" spans="2:25" s="45" customFormat="1" ht="30" customHeight="1" x14ac:dyDescent="0.2">
      <c r="B283" s="202" t="s">
        <v>373</v>
      </c>
      <c r="C283" s="1097" t="s">
        <v>376</v>
      </c>
      <c r="D283" s="1098"/>
      <c r="E283" s="1098"/>
      <c r="F283" s="1098" t="s">
        <v>29</v>
      </c>
      <c r="G283" s="1098"/>
      <c r="H283" s="1564"/>
      <c r="I283" s="205">
        <v>400</v>
      </c>
      <c r="J283" s="75">
        <v>0.6</v>
      </c>
      <c r="K283" s="36" t="s">
        <v>370</v>
      </c>
      <c r="L283" s="37">
        <v>44</v>
      </c>
      <c r="M283" s="181"/>
      <c r="N283" s="67"/>
      <c r="O283" s="37">
        <v>44</v>
      </c>
      <c r="U283" s="70"/>
      <c r="V283" s="70"/>
      <c r="W283" s="187"/>
      <c r="X283" s="69"/>
      <c r="Y283" s="69"/>
    </row>
    <row r="284" spans="2:25" s="45" customFormat="1" ht="30" customHeight="1" x14ac:dyDescent="0.2">
      <c r="B284" s="202" t="s">
        <v>375</v>
      </c>
      <c r="C284" s="1103" t="s">
        <v>383</v>
      </c>
      <c r="D284" s="1104"/>
      <c r="E284" s="1104"/>
      <c r="F284" s="1104"/>
      <c r="G284" s="1104"/>
      <c r="H284" s="1386"/>
      <c r="I284" s="205">
        <v>500</v>
      </c>
      <c r="J284" s="75">
        <v>0.5</v>
      </c>
      <c r="K284" s="36" t="s">
        <v>370</v>
      </c>
      <c r="L284" s="37">
        <v>44</v>
      </c>
      <c r="M284" s="181"/>
      <c r="N284" s="67"/>
      <c r="O284" s="37">
        <v>44</v>
      </c>
      <c r="U284" s="70"/>
      <c r="V284" s="70"/>
      <c r="W284" s="187"/>
      <c r="X284" s="69"/>
      <c r="Y284" s="69"/>
    </row>
    <row r="285" spans="2:25" s="45" customFormat="1" ht="30" customHeight="1" x14ac:dyDescent="0.2">
      <c r="B285" s="982" t="s">
        <v>377</v>
      </c>
      <c r="C285" s="927" t="s">
        <v>378</v>
      </c>
      <c r="D285" s="928"/>
      <c r="E285" s="986" t="s">
        <v>42</v>
      </c>
      <c r="F285" s="986"/>
      <c r="G285" s="986" t="s">
        <v>63</v>
      </c>
      <c r="H285" s="987"/>
      <c r="I285" s="1093">
        <v>400</v>
      </c>
      <c r="J285" s="1092">
        <v>0.6</v>
      </c>
      <c r="K285" s="36" t="s">
        <v>370</v>
      </c>
      <c r="L285" s="37">
        <v>44</v>
      </c>
      <c r="M285" s="181"/>
      <c r="N285" s="67"/>
      <c r="O285" s="37">
        <v>44</v>
      </c>
      <c r="U285" s="70"/>
      <c r="V285" s="70"/>
      <c r="W285" s="187"/>
      <c r="X285" s="69"/>
      <c r="Y285" s="69"/>
    </row>
    <row r="286" spans="2:25" s="45" customFormat="1" ht="30" customHeight="1" x14ac:dyDescent="0.2">
      <c r="B286" s="983"/>
      <c r="C286" s="965" t="s">
        <v>379</v>
      </c>
      <c r="D286" s="957"/>
      <c r="E286" s="957" t="s">
        <v>380</v>
      </c>
      <c r="F286" s="957"/>
      <c r="G286" s="957" t="s">
        <v>56</v>
      </c>
      <c r="H286" s="958"/>
      <c r="I286" s="1093"/>
      <c r="J286" s="1092"/>
      <c r="K286" s="36" t="s">
        <v>370</v>
      </c>
      <c r="L286" s="37">
        <v>44</v>
      </c>
      <c r="M286" s="181"/>
      <c r="N286" s="67"/>
      <c r="O286" s="37">
        <v>44</v>
      </c>
      <c r="U286" s="70"/>
      <c r="V286" s="70"/>
      <c r="W286" s="187"/>
      <c r="X286" s="69"/>
      <c r="Y286" s="69"/>
    </row>
    <row r="287" spans="2:25" s="45" customFormat="1" ht="30" customHeight="1" x14ac:dyDescent="0.2">
      <c r="B287" s="983"/>
      <c r="C287" s="971" t="s">
        <v>287</v>
      </c>
      <c r="D287" s="944"/>
      <c r="E287" s="944" t="s">
        <v>381</v>
      </c>
      <c r="F287" s="944"/>
      <c r="G287" s="944"/>
      <c r="H287" s="945"/>
      <c r="I287" s="1093"/>
      <c r="J287" s="1092"/>
      <c r="K287" s="36" t="s">
        <v>370</v>
      </c>
      <c r="L287" s="37">
        <v>44</v>
      </c>
      <c r="M287" s="181"/>
      <c r="N287" s="67"/>
      <c r="O287" s="37">
        <v>44</v>
      </c>
      <c r="U287" s="70"/>
      <c r="V287" s="70"/>
      <c r="W287" s="187"/>
      <c r="X287" s="69"/>
      <c r="Y287" s="69"/>
    </row>
    <row r="288" spans="2:25" s="45" customFormat="1" ht="30" customHeight="1" x14ac:dyDescent="0.2">
      <c r="B288" s="202" t="s">
        <v>382</v>
      </c>
      <c r="C288" s="1103" t="s">
        <v>383</v>
      </c>
      <c r="D288" s="1104"/>
      <c r="E288" s="1104"/>
      <c r="F288" s="1104"/>
      <c r="G288" s="1104"/>
      <c r="H288" s="1386"/>
      <c r="I288" s="205">
        <v>500</v>
      </c>
      <c r="J288" s="75">
        <v>0.5</v>
      </c>
      <c r="K288" s="36" t="s">
        <v>370</v>
      </c>
      <c r="L288" s="37">
        <v>44</v>
      </c>
      <c r="M288" s="181"/>
      <c r="N288" s="67"/>
      <c r="O288" s="37">
        <v>44</v>
      </c>
      <c r="U288" s="70"/>
      <c r="V288" s="70"/>
      <c r="W288" s="187"/>
      <c r="X288" s="69"/>
      <c r="Y288" s="69"/>
    </row>
    <row r="289" spans="1:31" ht="20.100000000000001" customHeight="1" x14ac:dyDescent="0.2">
      <c r="A289" s="24"/>
      <c r="B289" s="192"/>
      <c r="C289" s="192"/>
      <c r="D289" s="192"/>
      <c r="E289" s="192"/>
      <c r="F289" s="192"/>
      <c r="G289" s="192"/>
      <c r="H289" s="192"/>
      <c r="I289" s="192"/>
      <c r="J289" s="200"/>
      <c r="K289" s="502"/>
      <c r="L289" s="343"/>
      <c r="M289" s="28"/>
      <c r="N289" s="28"/>
      <c r="O289" s="343"/>
      <c r="P289" s="24"/>
      <c r="U289" s="24"/>
      <c r="V289" s="24"/>
      <c r="W289" s="24"/>
      <c r="X289" s="24"/>
      <c r="Y289" s="24"/>
      <c r="Z289" s="24"/>
      <c r="AA289" s="24"/>
      <c r="AB289" s="24"/>
      <c r="AC289" s="24"/>
      <c r="AD289" s="24"/>
      <c r="AE289" s="24"/>
    </row>
    <row r="290" spans="1:31" s="45" customFormat="1" ht="30" customHeight="1" x14ac:dyDescent="0.2">
      <c r="B290" s="1087" t="s">
        <v>391</v>
      </c>
      <c r="C290" s="1088"/>
      <c r="D290" s="1088"/>
      <c r="E290" s="1088"/>
      <c r="F290" s="1088"/>
      <c r="G290" s="1088"/>
      <c r="H290" s="1390"/>
      <c r="I290" s="201" t="s">
        <v>130</v>
      </c>
      <c r="J290" s="35" t="s">
        <v>18</v>
      </c>
      <c r="K290" s="213" t="s">
        <v>392</v>
      </c>
      <c r="L290" s="37">
        <v>46</v>
      </c>
      <c r="M290" s="68"/>
      <c r="N290" s="182" t="s">
        <v>30</v>
      </c>
      <c r="O290" s="37">
        <v>46</v>
      </c>
      <c r="P290" s="66"/>
    </row>
    <row r="291" spans="1:31" s="45" customFormat="1" ht="60.75" customHeight="1" x14ac:dyDescent="0.2">
      <c r="B291" s="1089" t="s">
        <v>834</v>
      </c>
      <c r="C291" s="1090"/>
      <c r="D291" s="1090"/>
      <c r="E291" s="1090"/>
      <c r="F291" s="1090"/>
      <c r="G291" s="1090"/>
      <c r="H291" s="1090"/>
      <c r="I291" s="1090"/>
      <c r="J291" s="1091"/>
      <c r="K291" s="213" t="s">
        <v>392</v>
      </c>
      <c r="L291" s="37">
        <v>46</v>
      </c>
      <c r="M291" s="68"/>
      <c r="N291" s="182"/>
      <c r="O291" s="37">
        <v>46</v>
      </c>
      <c r="P291" s="66"/>
      <c r="U291" s="70"/>
      <c r="V291" s="70"/>
      <c r="W291" s="187"/>
      <c r="X291" s="69"/>
      <c r="Y291" s="69"/>
    </row>
    <row r="292" spans="1:31" s="45" customFormat="1" ht="30" customHeight="1" x14ac:dyDescent="0.2">
      <c r="B292" s="1073" t="s">
        <v>394</v>
      </c>
      <c r="C292" s="1074"/>
      <c r="D292" s="1074"/>
      <c r="E292" s="1074"/>
      <c r="F292" s="1074"/>
      <c r="G292" s="1074"/>
      <c r="H292" s="1074"/>
      <c r="I292" s="1074"/>
      <c r="J292" s="1075"/>
      <c r="K292" s="213" t="s">
        <v>392</v>
      </c>
      <c r="L292" s="37">
        <v>46</v>
      </c>
      <c r="M292" s="68"/>
      <c r="N292" s="182"/>
      <c r="O292" s="37">
        <v>46</v>
      </c>
      <c r="P292" s="66"/>
      <c r="U292" s="70"/>
      <c r="V292" s="70"/>
      <c r="W292" s="187"/>
      <c r="X292" s="69"/>
      <c r="Y292" s="69"/>
    </row>
    <row r="293" spans="1:31" s="45" customFormat="1" ht="30" customHeight="1" x14ac:dyDescent="0.2">
      <c r="B293" s="209" t="s">
        <v>395</v>
      </c>
      <c r="C293" s="1076" t="s">
        <v>74</v>
      </c>
      <c r="D293" s="1077"/>
      <c r="E293" s="1077" t="s">
        <v>80</v>
      </c>
      <c r="F293" s="1077"/>
      <c r="G293" s="1077"/>
      <c r="H293" s="1078"/>
      <c r="I293" s="214">
        <v>60</v>
      </c>
      <c r="J293" s="109">
        <v>0.6</v>
      </c>
      <c r="K293" s="213" t="s">
        <v>392</v>
      </c>
      <c r="L293" s="37">
        <v>46</v>
      </c>
      <c r="M293" s="68"/>
      <c r="N293" s="182"/>
      <c r="O293" s="37">
        <v>46</v>
      </c>
      <c r="P293" s="66"/>
      <c r="U293" s="70"/>
      <c r="V293" s="71"/>
      <c r="W293" s="71"/>
      <c r="X293" s="72"/>
      <c r="Y293" s="69"/>
    </row>
    <row r="294" spans="1:31" s="45" customFormat="1" ht="30" customHeight="1" x14ac:dyDescent="0.2">
      <c r="B294" s="952" t="s">
        <v>396</v>
      </c>
      <c r="C294" s="927" t="s">
        <v>378</v>
      </c>
      <c r="D294" s="928"/>
      <c r="E294" s="986" t="s">
        <v>42</v>
      </c>
      <c r="F294" s="986"/>
      <c r="G294" s="986" t="s">
        <v>63</v>
      </c>
      <c r="H294" s="987"/>
      <c r="I294" s="1083">
        <v>60</v>
      </c>
      <c r="J294" s="962">
        <v>0.6</v>
      </c>
      <c r="K294" s="213" t="s">
        <v>392</v>
      </c>
      <c r="L294" s="37">
        <v>46</v>
      </c>
      <c r="M294" s="68"/>
      <c r="N294" s="182"/>
      <c r="O294" s="37">
        <v>46</v>
      </c>
      <c r="P294" s="66"/>
      <c r="U294" s="70"/>
      <c r="V294" s="240"/>
      <c r="W294" s="1562"/>
      <c r="X294" s="1563"/>
      <c r="Y294" s="69"/>
    </row>
    <row r="295" spans="1:31" s="45" customFormat="1" ht="30" customHeight="1" x14ac:dyDescent="0.2">
      <c r="B295" s="953"/>
      <c r="C295" s="965" t="s">
        <v>379</v>
      </c>
      <c r="D295" s="957"/>
      <c r="E295" s="957" t="s">
        <v>380</v>
      </c>
      <c r="F295" s="957"/>
      <c r="G295" s="957" t="s">
        <v>287</v>
      </c>
      <c r="H295" s="958"/>
      <c r="I295" s="1084"/>
      <c r="J295" s="963"/>
      <c r="K295" s="213" t="s">
        <v>392</v>
      </c>
      <c r="L295" s="37">
        <v>46</v>
      </c>
      <c r="M295" s="68"/>
      <c r="N295" s="182"/>
      <c r="O295" s="37">
        <v>46</v>
      </c>
      <c r="P295" s="66"/>
      <c r="U295" s="70"/>
      <c r="V295" s="240"/>
      <c r="W295" s="1562"/>
      <c r="X295" s="1563"/>
      <c r="Y295" s="69"/>
    </row>
    <row r="296" spans="1:31" s="45" customFormat="1" ht="30" customHeight="1" x14ac:dyDescent="0.2">
      <c r="B296" s="954"/>
      <c r="C296" s="215" t="s">
        <v>43</v>
      </c>
      <c r="D296" s="216"/>
      <c r="E296" s="944" t="s">
        <v>381</v>
      </c>
      <c r="F296" s="944"/>
      <c r="G296" s="944"/>
      <c r="H296" s="945"/>
      <c r="I296" s="1085"/>
      <c r="J296" s="964"/>
      <c r="K296" s="213" t="s">
        <v>392</v>
      </c>
      <c r="L296" s="37">
        <v>46</v>
      </c>
      <c r="M296" s="68"/>
      <c r="N296" s="182"/>
      <c r="O296" s="37">
        <v>46</v>
      </c>
      <c r="P296" s="66"/>
      <c r="U296" s="70"/>
      <c r="V296" s="240"/>
      <c r="W296" s="497"/>
      <c r="X296" s="498"/>
      <c r="Y296" s="69"/>
    </row>
    <row r="297" spans="1:31" s="45" customFormat="1" ht="30" customHeight="1" x14ac:dyDescent="0.2">
      <c r="B297" s="1073" t="s">
        <v>397</v>
      </c>
      <c r="C297" s="1074"/>
      <c r="D297" s="1074"/>
      <c r="E297" s="1074"/>
      <c r="F297" s="1074"/>
      <c r="G297" s="1074"/>
      <c r="H297" s="1074"/>
      <c r="I297" s="1074"/>
      <c r="J297" s="1075"/>
      <c r="K297" s="213" t="s">
        <v>392</v>
      </c>
      <c r="L297" s="37">
        <v>46</v>
      </c>
      <c r="M297" s="68"/>
      <c r="N297" s="182" t="s">
        <v>30</v>
      </c>
      <c r="O297" s="37">
        <v>46</v>
      </c>
      <c r="P297" s="66"/>
      <c r="U297" s="70"/>
      <c r="V297" s="240"/>
      <c r="W297" s="497"/>
      <c r="X297" s="498"/>
      <c r="Y297" s="69"/>
    </row>
    <row r="298" spans="1:31" s="45" customFormat="1" ht="30" customHeight="1" x14ac:dyDescent="0.2">
      <c r="B298" s="202" t="s">
        <v>398</v>
      </c>
      <c r="C298" s="1076" t="s">
        <v>74</v>
      </c>
      <c r="D298" s="1077"/>
      <c r="E298" s="1077" t="s">
        <v>399</v>
      </c>
      <c r="F298" s="1077"/>
      <c r="G298" s="1077"/>
      <c r="H298" s="1078"/>
      <c r="I298" s="217">
        <v>75</v>
      </c>
      <c r="J298" s="75">
        <v>1</v>
      </c>
      <c r="K298" s="213" t="s">
        <v>392</v>
      </c>
      <c r="L298" s="37">
        <v>46</v>
      </c>
      <c r="M298" s="68"/>
      <c r="N298" s="182"/>
      <c r="O298" s="37">
        <v>46</v>
      </c>
      <c r="P298" s="66"/>
      <c r="U298" s="70"/>
      <c r="V298" s="240"/>
      <c r="W298" s="497"/>
      <c r="X298" s="498"/>
      <c r="Y298" s="69"/>
    </row>
    <row r="299" spans="1:31" s="45" customFormat="1" ht="30" customHeight="1" x14ac:dyDescent="0.2">
      <c r="B299" s="1081" t="s">
        <v>400</v>
      </c>
      <c r="C299" s="928" t="s">
        <v>378</v>
      </c>
      <c r="D299" s="928"/>
      <c r="E299" s="986" t="s">
        <v>42</v>
      </c>
      <c r="F299" s="986"/>
      <c r="G299" s="986" t="s">
        <v>63</v>
      </c>
      <c r="H299" s="986"/>
      <c r="I299" s="1083">
        <v>75</v>
      </c>
      <c r="J299" s="962">
        <v>1</v>
      </c>
      <c r="K299" s="213" t="s">
        <v>392</v>
      </c>
      <c r="L299" s="37">
        <v>46</v>
      </c>
      <c r="M299" s="68"/>
      <c r="N299" s="182"/>
      <c r="O299" s="37">
        <v>46</v>
      </c>
      <c r="P299" s="66"/>
      <c r="U299" s="70"/>
      <c r="V299" s="70"/>
      <c r="W299" s="187"/>
      <c r="X299" s="69"/>
      <c r="Y299" s="69"/>
    </row>
    <row r="300" spans="1:31" s="45" customFormat="1" ht="30" customHeight="1" x14ac:dyDescent="0.2">
      <c r="B300" s="1082"/>
      <c r="C300" s="957" t="s">
        <v>379</v>
      </c>
      <c r="D300" s="957"/>
      <c r="E300" s="957" t="s">
        <v>380</v>
      </c>
      <c r="F300" s="957"/>
      <c r="G300" s="957" t="s">
        <v>401</v>
      </c>
      <c r="H300" s="957"/>
      <c r="I300" s="1084"/>
      <c r="J300" s="963"/>
      <c r="K300" s="213" t="s">
        <v>392</v>
      </c>
      <c r="L300" s="37">
        <v>46</v>
      </c>
      <c r="M300" s="68"/>
      <c r="N300" s="182"/>
      <c r="O300" s="37">
        <v>46</v>
      </c>
      <c r="P300" s="66"/>
      <c r="U300" s="70"/>
      <c r="V300" s="70"/>
      <c r="W300" s="187"/>
      <c r="X300" s="69"/>
      <c r="Y300" s="69"/>
    </row>
    <row r="301" spans="1:31" s="45" customFormat="1" ht="30" customHeight="1" x14ac:dyDescent="0.2">
      <c r="A301" s="66"/>
      <c r="B301" s="1082"/>
      <c r="C301" s="207" t="s">
        <v>43</v>
      </c>
      <c r="D301" s="207"/>
      <c r="E301" s="957" t="s">
        <v>381</v>
      </c>
      <c r="F301" s="957"/>
      <c r="G301" s="957" t="s">
        <v>287</v>
      </c>
      <c r="H301" s="957"/>
      <c r="I301" s="1084"/>
      <c r="J301" s="963"/>
      <c r="K301" s="213" t="s">
        <v>392</v>
      </c>
      <c r="L301" s="37">
        <v>46</v>
      </c>
      <c r="M301" s="68"/>
      <c r="N301" s="182"/>
      <c r="O301" s="37">
        <v>46</v>
      </c>
      <c r="P301" s="66"/>
      <c r="U301" s="70"/>
      <c r="V301" s="70"/>
      <c r="W301" s="187"/>
      <c r="X301" s="69"/>
      <c r="Y301" s="69"/>
    </row>
    <row r="302" spans="1:31" s="45" customFormat="1" ht="30" customHeight="1" x14ac:dyDescent="0.2">
      <c r="A302" s="66"/>
      <c r="B302" s="1082"/>
      <c r="C302" s="957" t="s">
        <v>402</v>
      </c>
      <c r="D302" s="957"/>
      <c r="E302" s="957" t="s">
        <v>403</v>
      </c>
      <c r="F302" s="957"/>
      <c r="G302" s="957" t="s">
        <v>66</v>
      </c>
      <c r="H302" s="958"/>
      <c r="I302" s="1084"/>
      <c r="J302" s="963"/>
      <c r="K302" s="213" t="s">
        <v>392</v>
      </c>
      <c r="L302" s="37">
        <v>46</v>
      </c>
      <c r="M302" s="68"/>
      <c r="N302" s="182"/>
      <c r="O302" s="37">
        <v>46</v>
      </c>
      <c r="P302" s="66"/>
      <c r="U302" s="70"/>
      <c r="V302" s="70"/>
      <c r="W302" s="187"/>
      <c r="X302" s="69"/>
      <c r="Y302" s="69"/>
    </row>
    <row r="303" spans="1:31" s="45" customFormat="1" ht="30" customHeight="1" x14ac:dyDescent="0.2">
      <c r="B303" s="976" t="s">
        <v>404</v>
      </c>
      <c r="C303" s="977"/>
      <c r="D303" s="977"/>
      <c r="E303" s="977"/>
      <c r="F303" s="977"/>
      <c r="G303" s="977"/>
      <c r="H303" s="977"/>
      <c r="I303" s="977"/>
      <c r="J303" s="978"/>
      <c r="K303" s="213" t="s">
        <v>392</v>
      </c>
      <c r="L303" s="37">
        <v>46</v>
      </c>
      <c r="M303" s="68"/>
      <c r="N303" s="182" t="s">
        <v>30</v>
      </c>
      <c r="O303" s="37">
        <v>46</v>
      </c>
      <c r="P303" s="66"/>
      <c r="U303" s="70"/>
      <c r="V303" s="240"/>
      <c r="W303" s="497"/>
      <c r="X303" s="498"/>
      <c r="Y303" s="69"/>
    </row>
    <row r="304" spans="1:31" s="45" customFormat="1" ht="30" customHeight="1" x14ac:dyDescent="0.2">
      <c r="B304" s="60" t="s">
        <v>405</v>
      </c>
      <c r="C304" s="218" t="s">
        <v>406</v>
      </c>
      <c r="D304" s="219"/>
      <c r="E304" s="219" t="s">
        <v>407</v>
      </c>
      <c r="F304" s="220"/>
      <c r="G304" s="219"/>
      <c r="H304" s="221"/>
      <c r="I304" s="74">
        <v>0</v>
      </c>
      <c r="J304" s="75">
        <v>0.7</v>
      </c>
      <c r="K304" s="213" t="s">
        <v>392</v>
      </c>
      <c r="L304" s="37">
        <v>46</v>
      </c>
      <c r="M304" s="68"/>
      <c r="N304" s="182"/>
      <c r="O304" s="37">
        <v>46</v>
      </c>
      <c r="P304" s="66"/>
      <c r="U304" s="70"/>
      <c r="V304" s="240"/>
      <c r="W304" s="497"/>
      <c r="X304" s="498"/>
      <c r="Y304" s="69"/>
    </row>
    <row r="305" spans="1:31" s="45" customFormat="1" ht="30" customHeight="1" x14ac:dyDescent="0.2">
      <c r="B305" s="1073" t="s">
        <v>408</v>
      </c>
      <c r="C305" s="1074"/>
      <c r="D305" s="1074"/>
      <c r="E305" s="1074"/>
      <c r="F305" s="1074"/>
      <c r="G305" s="1074"/>
      <c r="H305" s="1074"/>
      <c r="I305" s="1074"/>
      <c r="J305" s="1075"/>
      <c r="K305" s="213" t="s">
        <v>392</v>
      </c>
      <c r="L305" s="37">
        <v>46</v>
      </c>
      <c r="M305" s="68"/>
      <c r="N305" s="182" t="s">
        <v>30</v>
      </c>
      <c r="O305" s="37">
        <v>46</v>
      </c>
      <c r="P305" s="66"/>
      <c r="U305" s="70"/>
      <c r="V305" s="240"/>
      <c r="W305" s="497"/>
      <c r="X305" s="498"/>
      <c r="Y305" s="69"/>
    </row>
    <row r="306" spans="1:31" s="45" customFormat="1" ht="45.75" customHeight="1" x14ac:dyDescent="0.2">
      <c r="B306" s="222" t="s">
        <v>395</v>
      </c>
      <c r="C306" s="1076" t="s">
        <v>74</v>
      </c>
      <c r="D306" s="1077"/>
      <c r="E306" s="1077" t="s">
        <v>80</v>
      </c>
      <c r="F306" s="1077"/>
      <c r="G306" s="1077"/>
      <c r="H306" s="1078"/>
      <c r="I306" s="223" t="s">
        <v>410</v>
      </c>
      <c r="J306" s="224">
        <v>0.6</v>
      </c>
      <c r="K306" s="213" t="s">
        <v>392</v>
      </c>
      <c r="L306" s="37">
        <v>46</v>
      </c>
      <c r="M306" s="68"/>
      <c r="N306" s="68"/>
      <c r="O306" s="37">
        <v>46</v>
      </c>
      <c r="P306" s="66"/>
      <c r="U306" s="70"/>
      <c r="V306" s="240"/>
      <c r="W306" s="497"/>
      <c r="X306" s="498"/>
      <c r="Y306" s="69"/>
    </row>
    <row r="307" spans="1:31" s="45" customFormat="1" ht="30" customHeight="1" x14ac:dyDescent="0.2">
      <c r="B307" s="952" t="s">
        <v>396</v>
      </c>
      <c r="C307" s="928" t="s">
        <v>378</v>
      </c>
      <c r="D307" s="928"/>
      <c r="E307" s="986" t="s">
        <v>42</v>
      </c>
      <c r="F307" s="986"/>
      <c r="G307" s="986" t="s">
        <v>63</v>
      </c>
      <c r="H307" s="986"/>
      <c r="I307" s="1079" t="s">
        <v>410</v>
      </c>
      <c r="J307" s="1071">
        <v>0.6</v>
      </c>
      <c r="K307" s="213" t="s">
        <v>392</v>
      </c>
      <c r="L307" s="37">
        <v>46</v>
      </c>
      <c r="M307" s="68"/>
      <c r="N307" s="68"/>
      <c r="O307" s="37">
        <v>46</v>
      </c>
      <c r="P307" s="66"/>
      <c r="U307" s="70"/>
      <c r="V307" s="240"/>
      <c r="W307" s="497"/>
      <c r="X307" s="498"/>
      <c r="Y307" s="69"/>
    </row>
    <row r="308" spans="1:31" s="45" customFormat="1" ht="30" customHeight="1" x14ac:dyDescent="0.2">
      <c r="B308" s="953"/>
      <c r="C308" s="957" t="s">
        <v>379</v>
      </c>
      <c r="D308" s="957"/>
      <c r="E308" s="957" t="s">
        <v>380</v>
      </c>
      <c r="F308" s="957"/>
      <c r="G308" s="957" t="s">
        <v>403</v>
      </c>
      <c r="H308" s="957"/>
      <c r="I308" s="1080"/>
      <c r="J308" s="1072"/>
      <c r="K308" s="213" t="s">
        <v>392</v>
      </c>
      <c r="L308" s="37">
        <v>46</v>
      </c>
      <c r="M308" s="68"/>
      <c r="N308" s="68"/>
      <c r="O308" s="37">
        <v>46</v>
      </c>
      <c r="P308" s="66"/>
      <c r="U308" s="70"/>
      <c r="V308" s="184"/>
      <c r="W308" s="239"/>
      <c r="X308" s="186"/>
      <c r="Y308" s="69"/>
    </row>
    <row r="309" spans="1:31" s="45" customFormat="1" ht="30" customHeight="1" x14ac:dyDescent="0.2">
      <c r="B309" s="953"/>
      <c r="C309" s="965" t="s">
        <v>402</v>
      </c>
      <c r="D309" s="957"/>
      <c r="E309" s="957" t="s">
        <v>381</v>
      </c>
      <c r="F309" s="957"/>
      <c r="G309" s="957" t="s">
        <v>287</v>
      </c>
      <c r="H309" s="957"/>
      <c r="I309" s="1080"/>
      <c r="J309" s="1072"/>
      <c r="K309" s="213" t="s">
        <v>392</v>
      </c>
      <c r="L309" s="37">
        <v>46</v>
      </c>
      <c r="M309" s="68"/>
      <c r="N309" s="68"/>
      <c r="O309" s="37">
        <v>46</v>
      </c>
      <c r="P309" s="66"/>
      <c r="U309" s="70"/>
      <c r="V309" s="184"/>
      <c r="W309" s="501"/>
      <c r="X309" s="186"/>
      <c r="Y309" s="69"/>
    </row>
    <row r="310" spans="1:31" s="45" customFormat="1" ht="30" customHeight="1" x14ac:dyDescent="0.2">
      <c r="B310" s="1067" t="s">
        <v>411</v>
      </c>
      <c r="C310" s="1068"/>
      <c r="D310" s="1068"/>
      <c r="E310" s="1068"/>
      <c r="F310" s="1068"/>
      <c r="G310" s="1068"/>
      <c r="H310" s="1068"/>
      <c r="I310" s="1068"/>
      <c r="J310" s="1069"/>
      <c r="K310" s="213" t="s">
        <v>392</v>
      </c>
      <c r="L310" s="37">
        <v>46</v>
      </c>
      <c r="M310" s="68"/>
      <c r="N310" s="68"/>
      <c r="O310" s="37">
        <v>46</v>
      </c>
      <c r="P310" s="66"/>
      <c r="U310" s="70"/>
      <c r="V310" s="184"/>
      <c r="W310" s="239"/>
      <c r="X310" s="186"/>
      <c r="Y310" s="69"/>
    </row>
    <row r="311" spans="1:31" ht="20.100000000000001" customHeight="1" x14ac:dyDescent="0.2">
      <c r="A311" s="24"/>
      <c r="B311" s="62"/>
      <c r="C311" s="192"/>
      <c r="D311" s="192"/>
      <c r="E311" s="192"/>
      <c r="F311" s="192"/>
      <c r="G311" s="192"/>
      <c r="H311" s="192"/>
      <c r="I311" s="64"/>
      <c r="J311" s="65"/>
      <c r="N311" s="68"/>
      <c r="U311" s="24"/>
      <c r="V311" s="24"/>
      <c r="W311" s="24"/>
      <c r="X311" s="24"/>
      <c r="Y311" s="24"/>
      <c r="Z311" s="24"/>
      <c r="AA311" s="24"/>
      <c r="AB311" s="24"/>
      <c r="AC311" s="24"/>
      <c r="AD311" s="24"/>
      <c r="AE311" s="24"/>
    </row>
    <row r="312" spans="1:31" s="24" customFormat="1" ht="30" customHeight="1" x14ac:dyDescent="0.2">
      <c r="B312" s="1135" t="s">
        <v>412</v>
      </c>
      <c r="C312" s="1136"/>
      <c r="D312" s="1136"/>
      <c r="E312" s="1136"/>
      <c r="F312" s="1136"/>
      <c r="G312" s="1136"/>
      <c r="H312" s="1137"/>
      <c r="I312" s="94" t="s">
        <v>152</v>
      </c>
      <c r="J312" s="35" t="s">
        <v>18</v>
      </c>
      <c r="K312" s="36" t="s">
        <v>413</v>
      </c>
      <c r="L312" s="37">
        <v>16</v>
      </c>
      <c r="M312" s="225"/>
      <c r="N312" s="46" t="s">
        <v>30</v>
      </c>
      <c r="O312" s="37">
        <v>16</v>
      </c>
      <c r="P312" s="18"/>
    </row>
    <row r="313" spans="1:31" s="45" customFormat="1" ht="30" customHeight="1" x14ac:dyDescent="0.2">
      <c r="B313" s="924" t="s">
        <v>414</v>
      </c>
      <c r="C313" s="925"/>
      <c r="D313" s="925"/>
      <c r="E313" s="925"/>
      <c r="F313" s="925"/>
      <c r="G313" s="925"/>
      <c r="H313" s="925"/>
      <c r="I313" s="925"/>
      <c r="J313" s="926"/>
      <c r="K313" s="226" t="s">
        <v>413</v>
      </c>
      <c r="L313" s="183">
        <v>16</v>
      </c>
      <c r="M313" s="68"/>
      <c r="N313" s="67"/>
      <c r="O313" s="183">
        <v>16</v>
      </c>
      <c r="P313" s="66"/>
      <c r="U313" s="70"/>
      <c r="V313" s="184"/>
      <c r="W313" s="185"/>
      <c r="X313" s="186"/>
      <c r="Y313" s="69"/>
    </row>
    <row r="314" spans="1:31" s="45" customFormat="1" ht="30" customHeight="1" x14ac:dyDescent="0.2">
      <c r="A314" s="66"/>
      <c r="B314" s="454" t="s">
        <v>415</v>
      </c>
      <c r="C314" s="1057" t="s">
        <v>416</v>
      </c>
      <c r="D314" s="1058"/>
      <c r="E314" s="1058"/>
      <c r="F314" s="1058"/>
      <c r="G314" s="1058"/>
      <c r="H314" s="1059"/>
      <c r="I314" s="154">
        <v>50</v>
      </c>
      <c r="J314" s="121">
        <v>1</v>
      </c>
      <c r="K314" s="226" t="s">
        <v>413</v>
      </c>
      <c r="L314" s="183">
        <v>16</v>
      </c>
      <c r="M314" s="68"/>
      <c r="N314" s="67"/>
      <c r="O314" s="183">
        <v>16</v>
      </c>
      <c r="P314" s="66"/>
      <c r="U314" s="70"/>
      <c r="V314" s="70"/>
      <c r="W314" s="187"/>
      <c r="X314" s="69"/>
      <c r="Y314" s="69"/>
    </row>
    <row r="315" spans="1:31" s="45" customFormat="1" ht="30" customHeight="1" x14ac:dyDescent="0.2">
      <c r="B315" s="924" t="s">
        <v>417</v>
      </c>
      <c r="C315" s="925"/>
      <c r="D315" s="925"/>
      <c r="E315" s="925"/>
      <c r="F315" s="925"/>
      <c r="G315" s="925"/>
      <c r="H315" s="925"/>
      <c r="I315" s="925"/>
      <c r="J315" s="926"/>
      <c r="K315" s="226" t="s">
        <v>413</v>
      </c>
      <c r="L315" s="183">
        <v>16</v>
      </c>
      <c r="M315" s="68"/>
      <c r="N315" s="182" t="s">
        <v>30</v>
      </c>
      <c r="O315" s="183">
        <v>16</v>
      </c>
      <c r="P315" s="66"/>
      <c r="U315" s="70"/>
      <c r="V315" s="70"/>
      <c r="W315" s="187"/>
      <c r="X315" s="69"/>
      <c r="Y315" s="69"/>
    </row>
    <row r="316" spans="1:31" s="45" customFormat="1" ht="30" customHeight="1" x14ac:dyDescent="0.2">
      <c r="B316" s="227" t="s">
        <v>418</v>
      </c>
      <c r="C316" s="228" t="s">
        <v>419</v>
      </c>
      <c r="D316" s="229"/>
      <c r="E316" s="229"/>
      <c r="F316" s="229"/>
      <c r="G316" s="229"/>
      <c r="H316" s="230"/>
      <c r="I316" s="61">
        <v>50</v>
      </c>
      <c r="J316" s="42">
        <v>1</v>
      </c>
      <c r="K316" s="226" t="s">
        <v>413</v>
      </c>
      <c r="L316" s="183">
        <v>16</v>
      </c>
      <c r="M316" s="68"/>
      <c r="N316" s="67"/>
      <c r="O316" s="183">
        <v>16</v>
      </c>
      <c r="P316" s="66"/>
      <c r="U316" s="70"/>
      <c r="V316" s="70"/>
      <c r="W316" s="187"/>
      <c r="X316" s="69"/>
      <c r="Y316" s="69"/>
    </row>
    <row r="317" spans="1:31" s="45" customFormat="1" ht="30" customHeight="1" x14ac:dyDescent="0.2">
      <c r="B317" s="231" t="s">
        <v>420</v>
      </c>
      <c r="C317" s="1057" t="s">
        <v>416</v>
      </c>
      <c r="D317" s="1058"/>
      <c r="E317" s="1058"/>
      <c r="F317" s="1058"/>
      <c r="G317" s="1058"/>
      <c r="H317" s="1059"/>
      <c r="I317" s="61">
        <v>75</v>
      </c>
      <c r="J317" s="42">
        <v>1</v>
      </c>
      <c r="K317" s="226" t="s">
        <v>413</v>
      </c>
      <c r="L317" s="183">
        <v>16</v>
      </c>
      <c r="M317" s="68"/>
      <c r="N317" s="67"/>
      <c r="O317" s="183">
        <v>16</v>
      </c>
      <c r="P317" s="66"/>
      <c r="U317" s="70"/>
      <c r="V317" s="70"/>
      <c r="W317" s="187"/>
      <c r="X317" s="69"/>
      <c r="Y317" s="69"/>
    </row>
    <row r="318" spans="1:31" s="45" customFormat="1" ht="30" customHeight="1" x14ac:dyDescent="0.2">
      <c r="B318" s="231" t="s">
        <v>421</v>
      </c>
      <c r="C318" s="1023" t="s">
        <v>422</v>
      </c>
      <c r="D318" s="1024"/>
      <c r="E318" s="1024"/>
      <c r="F318" s="1024"/>
      <c r="G318" s="1024"/>
      <c r="H318" s="1025"/>
      <c r="I318" s="116">
        <v>40</v>
      </c>
      <c r="J318" s="42">
        <v>1</v>
      </c>
      <c r="K318" s="226" t="s">
        <v>413</v>
      </c>
      <c r="L318" s="183">
        <v>16</v>
      </c>
      <c r="M318" s="68"/>
      <c r="N318" s="67"/>
      <c r="O318" s="183">
        <v>16</v>
      </c>
      <c r="P318" s="66"/>
      <c r="U318" s="70"/>
      <c r="V318" s="70"/>
      <c r="W318" s="187"/>
      <c r="X318" s="69"/>
      <c r="Y318" s="69"/>
    </row>
    <row r="319" spans="1:31" s="45" customFormat="1" ht="30" customHeight="1" x14ac:dyDescent="0.2">
      <c r="B319" s="924" t="s">
        <v>423</v>
      </c>
      <c r="C319" s="925"/>
      <c r="D319" s="925"/>
      <c r="E319" s="925"/>
      <c r="F319" s="925"/>
      <c r="G319" s="925"/>
      <c r="H319" s="925"/>
      <c r="I319" s="925"/>
      <c r="J319" s="926"/>
      <c r="K319" s="226" t="s">
        <v>413</v>
      </c>
      <c r="L319" s="183">
        <v>16</v>
      </c>
      <c r="M319" s="68"/>
      <c r="N319" s="182" t="s">
        <v>30</v>
      </c>
      <c r="O319" s="183">
        <v>16</v>
      </c>
      <c r="P319" s="66"/>
      <c r="U319" s="70"/>
      <c r="V319" s="70"/>
      <c r="W319" s="187"/>
      <c r="X319" s="69"/>
      <c r="Y319" s="69"/>
    </row>
    <row r="320" spans="1:31" s="45" customFormat="1" ht="30" customHeight="1" x14ac:dyDescent="0.2">
      <c r="B320" s="227" t="s">
        <v>418</v>
      </c>
      <c r="C320" s="1057" t="s">
        <v>419</v>
      </c>
      <c r="D320" s="1058"/>
      <c r="E320" s="1058"/>
      <c r="F320" s="1058"/>
      <c r="G320" s="1058"/>
      <c r="H320" s="1059"/>
      <c r="I320" s="61">
        <v>70</v>
      </c>
      <c r="J320" s="199">
        <v>1</v>
      </c>
      <c r="K320" s="226" t="s">
        <v>413</v>
      </c>
      <c r="L320" s="183">
        <v>16</v>
      </c>
      <c r="M320" s="68"/>
      <c r="N320" s="67"/>
      <c r="O320" s="183">
        <v>16</v>
      </c>
      <c r="P320" s="66"/>
      <c r="U320" s="70"/>
      <c r="V320" s="70"/>
      <c r="W320" s="187"/>
      <c r="X320" s="69"/>
      <c r="Y320" s="69"/>
    </row>
    <row r="321" spans="1:25" s="45" customFormat="1" ht="30" customHeight="1" x14ac:dyDescent="0.2">
      <c r="B321" s="232" t="s">
        <v>420</v>
      </c>
      <c r="C321" s="1057" t="s">
        <v>416</v>
      </c>
      <c r="D321" s="1058"/>
      <c r="E321" s="1058"/>
      <c r="F321" s="1058"/>
      <c r="G321" s="1058"/>
      <c r="H321" s="1059"/>
      <c r="I321" s="61">
        <v>75</v>
      </c>
      <c r="J321" s="199">
        <v>1</v>
      </c>
      <c r="K321" s="226" t="s">
        <v>413</v>
      </c>
      <c r="L321" s="183">
        <v>16</v>
      </c>
      <c r="M321" s="68"/>
      <c r="N321" s="67"/>
      <c r="O321" s="183">
        <v>16</v>
      </c>
      <c r="P321" s="66"/>
      <c r="U321" s="70"/>
      <c r="V321" s="70"/>
      <c r="W321" s="187"/>
      <c r="X321" s="69"/>
      <c r="Y321" s="69"/>
    </row>
    <row r="322" spans="1:25" s="45" customFormat="1" ht="30" customHeight="1" x14ac:dyDescent="0.2">
      <c r="B322" s="1054" t="s">
        <v>424</v>
      </c>
      <c r="C322" s="1055"/>
      <c r="D322" s="1055"/>
      <c r="E322" s="1055"/>
      <c r="F322" s="1055"/>
      <c r="G322" s="1055"/>
      <c r="H322" s="1055"/>
      <c r="I322" s="1055"/>
      <c r="J322" s="1056"/>
      <c r="K322" s="226" t="s">
        <v>413</v>
      </c>
      <c r="L322" s="183">
        <v>16</v>
      </c>
      <c r="M322" s="68"/>
      <c r="N322" s="182" t="s">
        <v>30</v>
      </c>
      <c r="O322" s="183">
        <v>16</v>
      </c>
      <c r="P322" s="66"/>
      <c r="U322" s="70"/>
      <c r="V322" s="70"/>
      <c r="W322" s="187"/>
      <c r="X322" s="69"/>
      <c r="Y322" s="69"/>
    </row>
    <row r="323" spans="1:25" s="45" customFormat="1" ht="30" customHeight="1" x14ac:dyDescent="0.2">
      <c r="B323" s="232" t="s">
        <v>418</v>
      </c>
      <c r="C323" s="1057" t="s">
        <v>419</v>
      </c>
      <c r="D323" s="1058"/>
      <c r="E323" s="1058"/>
      <c r="F323" s="1058"/>
      <c r="G323" s="1058"/>
      <c r="H323" s="1059"/>
      <c r="I323" s="116">
        <v>50</v>
      </c>
      <c r="J323" s="199">
        <v>1</v>
      </c>
      <c r="K323" s="226" t="s">
        <v>413</v>
      </c>
      <c r="L323" s="183">
        <v>16</v>
      </c>
      <c r="M323" s="68"/>
      <c r="N323" s="67"/>
      <c r="O323" s="183">
        <v>16</v>
      </c>
      <c r="P323" s="66"/>
      <c r="U323" s="70"/>
      <c r="V323" s="70"/>
      <c r="W323" s="187"/>
      <c r="X323" s="69"/>
      <c r="Y323" s="69"/>
    </row>
    <row r="324" spans="1:25" s="45" customFormat="1" ht="30" customHeight="1" x14ac:dyDescent="0.2">
      <c r="B324" s="232" t="s">
        <v>425</v>
      </c>
      <c r="C324" s="1057" t="s">
        <v>416</v>
      </c>
      <c r="D324" s="1058"/>
      <c r="E324" s="1058"/>
      <c r="F324" s="1058"/>
      <c r="G324" s="1058"/>
      <c r="H324" s="1059"/>
      <c r="I324" s="61">
        <v>75</v>
      </c>
      <c r="J324" s="199">
        <v>1</v>
      </c>
      <c r="K324" s="226" t="s">
        <v>413</v>
      </c>
      <c r="L324" s="183">
        <v>16</v>
      </c>
      <c r="M324" s="68"/>
      <c r="N324" s="67"/>
      <c r="O324" s="183">
        <v>16</v>
      </c>
      <c r="P324" s="66"/>
      <c r="U324" s="70"/>
      <c r="V324" s="70"/>
      <c r="W324" s="187"/>
      <c r="X324" s="69"/>
      <c r="Y324" s="69"/>
    </row>
    <row r="325" spans="1:25" s="45" customFormat="1" ht="30" customHeight="1" x14ac:dyDescent="0.2">
      <c r="A325" s="66"/>
      <c r="B325" s="232" t="s">
        <v>426</v>
      </c>
      <c r="C325" s="867" t="s">
        <v>427</v>
      </c>
      <c r="D325" s="868"/>
      <c r="E325" s="868"/>
      <c r="F325" s="868"/>
      <c r="G325" s="868"/>
      <c r="H325" s="869"/>
      <c r="I325" s="116">
        <v>70</v>
      </c>
      <c r="J325" s="199">
        <v>1</v>
      </c>
      <c r="K325" s="226" t="s">
        <v>413</v>
      </c>
      <c r="L325" s="183">
        <v>16</v>
      </c>
      <c r="M325" s="68"/>
      <c r="N325" s="67"/>
      <c r="O325" s="183">
        <v>16</v>
      </c>
      <c r="P325" s="66"/>
      <c r="U325" s="70"/>
      <c r="V325" s="70"/>
      <c r="W325" s="187"/>
      <c r="X325" s="69"/>
      <c r="Y325" s="69"/>
    </row>
    <row r="326" spans="1:25" s="45" customFormat="1" ht="30" customHeight="1" x14ac:dyDescent="0.2">
      <c r="A326" s="66"/>
      <c r="B326" s="1060" t="s">
        <v>428</v>
      </c>
      <c r="C326" s="1061"/>
      <c r="D326" s="1061"/>
      <c r="E326" s="1061"/>
      <c r="F326" s="1061"/>
      <c r="G326" s="1061"/>
      <c r="H326" s="1061"/>
      <c r="I326" s="1061"/>
      <c r="J326" s="1062"/>
      <c r="K326" s="226" t="s">
        <v>413</v>
      </c>
      <c r="L326" s="183">
        <v>16</v>
      </c>
      <c r="M326" s="68"/>
      <c r="N326" s="182" t="s">
        <v>30</v>
      </c>
      <c r="O326" s="183">
        <v>16</v>
      </c>
      <c r="P326" s="66"/>
      <c r="U326" s="70"/>
      <c r="V326" s="70"/>
      <c r="W326" s="187"/>
      <c r="X326" s="69"/>
      <c r="Y326" s="69"/>
    </row>
    <row r="327" spans="1:25" s="45" customFormat="1" ht="30" customHeight="1" x14ac:dyDescent="0.2">
      <c r="A327" s="66"/>
      <c r="B327" s="227" t="s">
        <v>418</v>
      </c>
      <c r="C327" s="1057" t="s">
        <v>419</v>
      </c>
      <c r="D327" s="1058"/>
      <c r="E327" s="1058"/>
      <c r="F327" s="1058"/>
      <c r="G327" s="1058"/>
      <c r="H327" s="1059"/>
      <c r="I327" s="61">
        <v>40</v>
      </c>
      <c r="J327" s="199">
        <v>1</v>
      </c>
      <c r="K327" s="226" t="s">
        <v>413</v>
      </c>
      <c r="L327" s="183">
        <v>16</v>
      </c>
      <c r="M327" s="68"/>
      <c r="N327" s="67"/>
      <c r="O327" s="183">
        <v>16</v>
      </c>
      <c r="P327" s="66"/>
      <c r="U327" s="70"/>
      <c r="V327" s="70"/>
      <c r="W327" s="187"/>
      <c r="X327" s="69"/>
      <c r="Y327" s="69"/>
    </row>
    <row r="328" spans="1:25" s="45" customFormat="1" ht="30" customHeight="1" x14ac:dyDescent="0.2">
      <c r="A328" s="66"/>
      <c r="B328" s="232" t="s">
        <v>420</v>
      </c>
      <c r="C328" s="1057" t="s">
        <v>416</v>
      </c>
      <c r="D328" s="1058"/>
      <c r="E328" s="1058"/>
      <c r="F328" s="1058"/>
      <c r="G328" s="1058"/>
      <c r="H328" s="1059"/>
      <c r="I328" s="61">
        <v>150</v>
      </c>
      <c r="J328" s="199">
        <v>1</v>
      </c>
      <c r="K328" s="226" t="s">
        <v>413</v>
      </c>
      <c r="L328" s="183">
        <v>16</v>
      </c>
      <c r="M328" s="68"/>
      <c r="N328" s="67"/>
      <c r="O328" s="183">
        <v>16</v>
      </c>
      <c r="P328" s="66"/>
      <c r="U328" s="70"/>
      <c r="V328" s="70"/>
      <c r="W328" s="187"/>
      <c r="X328" s="69"/>
      <c r="Y328" s="69"/>
    </row>
    <row r="329" spans="1:25" s="45" customFormat="1" ht="30" customHeight="1" x14ac:dyDescent="0.2">
      <c r="A329" s="66"/>
      <c r="B329" s="136" t="s">
        <v>429</v>
      </c>
      <c r="C329" s="901" t="s">
        <v>422</v>
      </c>
      <c r="D329" s="902"/>
      <c r="E329" s="902"/>
      <c r="F329" s="902"/>
      <c r="G329" s="902"/>
      <c r="H329" s="903"/>
      <c r="I329" s="74">
        <v>40</v>
      </c>
      <c r="J329" s="199">
        <v>1</v>
      </c>
      <c r="K329" s="226" t="s">
        <v>413</v>
      </c>
      <c r="L329" s="183">
        <v>16</v>
      </c>
      <c r="M329" s="68"/>
      <c r="N329" s="67"/>
      <c r="O329" s="183">
        <v>16</v>
      </c>
      <c r="P329" s="66"/>
      <c r="U329" s="70"/>
      <c r="V329" s="70"/>
      <c r="W329" s="187"/>
      <c r="X329" s="69"/>
      <c r="Y329" s="69"/>
    </row>
    <row r="330" spans="1:25" s="45" customFormat="1" ht="30" customHeight="1" x14ac:dyDescent="0.2">
      <c r="A330" s="66"/>
      <c r="B330" s="1054" t="s">
        <v>430</v>
      </c>
      <c r="C330" s="1055"/>
      <c r="D330" s="1055"/>
      <c r="E330" s="1055"/>
      <c r="F330" s="1055"/>
      <c r="G330" s="1055"/>
      <c r="H330" s="1055"/>
      <c r="I330" s="1055"/>
      <c r="J330" s="1056"/>
      <c r="K330" s="226" t="s">
        <v>413</v>
      </c>
      <c r="L330" s="183">
        <v>16</v>
      </c>
      <c r="M330" s="68"/>
      <c r="N330" s="182" t="s">
        <v>30</v>
      </c>
      <c r="O330" s="183">
        <v>16</v>
      </c>
      <c r="P330" s="66"/>
      <c r="U330" s="70"/>
      <c r="V330" s="70"/>
      <c r="W330" s="187"/>
      <c r="X330" s="69"/>
      <c r="Y330" s="69"/>
    </row>
    <row r="331" spans="1:25" s="45" customFormat="1" ht="30" customHeight="1" x14ac:dyDescent="0.2">
      <c r="A331" s="66"/>
      <c r="B331" s="227" t="s">
        <v>418</v>
      </c>
      <c r="C331" s="1057" t="s">
        <v>419</v>
      </c>
      <c r="D331" s="1058"/>
      <c r="E331" s="1058"/>
      <c r="F331" s="1058"/>
      <c r="G331" s="1058"/>
      <c r="H331" s="1059"/>
      <c r="I331" s="61">
        <v>50</v>
      </c>
      <c r="J331" s="42">
        <v>1</v>
      </c>
      <c r="K331" s="226" t="s">
        <v>413</v>
      </c>
      <c r="L331" s="183">
        <v>16</v>
      </c>
      <c r="M331" s="68"/>
      <c r="N331" s="67"/>
      <c r="O331" s="183">
        <v>16</v>
      </c>
      <c r="P331" s="66"/>
      <c r="U331" s="70"/>
      <c r="V331" s="70"/>
      <c r="W331" s="187"/>
      <c r="X331" s="69"/>
      <c r="Y331" s="69"/>
    </row>
    <row r="332" spans="1:25" s="45" customFormat="1" ht="30" customHeight="1" x14ac:dyDescent="0.2">
      <c r="A332" s="66"/>
      <c r="B332" s="232" t="s">
        <v>420</v>
      </c>
      <c r="C332" s="1057" t="s">
        <v>416</v>
      </c>
      <c r="D332" s="1058"/>
      <c r="E332" s="1058"/>
      <c r="F332" s="1058"/>
      <c r="G332" s="1058"/>
      <c r="H332" s="1059"/>
      <c r="I332" s="61">
        <v>100</v>
      </c>
      <c r="J332" s="42">
        <v>1</v>
      </c>
      <c r="K332" s="226" t="s">
        <v>413</v>
      </c>
      <c r="L332" s="183">
        <v>16</v>
      </c>
      <c r="M332" s="68"/>
      <c r="N332" s="67"/>
      <c r="O332" s="183">
        <v>16</v>
      </c>
      <c r="P332" s="66"/>
      <c r="U332" s="70"/>
      <c r="V332" s="70"/>
      <c r="W332" s="187"/>
      <c r="X332" s="69"/>
      <c r="Y332" s="69"/>
    </row>
    <row r="333" spans="1:25" s="45" customFormat="1" ht="30" customHeight="1" x14ac:dyDescent="0.2">
      <c r="A333" s="66"/>
      <c r="B333" s="941" t="s">
        <v>431</v>
      </c>
      <c r="C333" s="942"/>
      <c r="D333" s="942"/>
      <c r="E333" s="942"/>
      <c r="F333" s="942"/>
      <c r="G333" s="942"/>
      <c r="H333" s="942"/>
      <c r="I333" s="942"/>
      <c r="J333" s="943"/>
      <c r="K333" s="226" t="s">
        <v>413</v>
      </c>
      <c r="L333" s="183">
        <v>16</v>
      </c>
      <c r="M333" s="68"/>
      <c r="N333" s="182" t="s">
        <v>30</v>
      </c>
      <c r="O333" s="183">
        <v>16</v>
      </c>
      <c r="P333" s="66"/>
      <c r="U333" s="70"/>
      <c r="V333" s="70"/>
      <c r="W333" s="187"/>
      <c r="X333" s="69"/>
      <c r="Y333" s="69"/>
    </row>
    <row r="334" spans="1:25" s="45" customFormat="1" ht="30" customHeight="1" x14ac:dyDescent="0.2">
      <c r="A334" s="66"/>
      <c r="B334" s="1049" t="s">
        <v>432</v>
      </c>
      <c r="C334" s="867" t="s">
        <v>433</v>
      </c>
      <c r="D334" s="868"/>
      <c r="E334" s="868"/>
      <c r="F334" s="868"/>
      <c r="G334" s="868"/>
      <c r="H334" s="869"/>
      <c r="I334" s="61">
        <v>50</v>
      </c>
      <c r="J334" s="42">
        <v>1</v>
      </c>
      <c r="K334" s="226" t="s">
        <v>413</v>
      </c>
      <c r="L334" s="183">
        <v>16</v>
      </c>
      <c r="M334" s="68"/>
      <c r="N334" s="67"/>
      <c r="O334" s="183">
        <v>16</v>
      </c>
      <c r="P334" s="66"/>
      <c r="U334" s="70"/>
      <c r="V334" s="70"/>
      <c r="W334" s="187"/>
      <c r="X334" s="69"/>
      <c r="Y334" s="69"/>
    </row>
    <row r="335" spans="1:25" s="45" customFormat="1" ht="30" customHeight="1" x14ac:dyDescent="0.2">
      <c r="A335" s="66"/>
      <c r="B335" s="879"/>
      <c r="C335" s="867" t="s">
        <v>434</v>
      </c>
      <c r="D335" s="868"/>
      <c r="E335" s="868"/>
      <c r="F335" s="868"/>
      <c r="G335" s="868"/>
      <c r="H335" s="869"/>
      <c r="I335" s="61">
        <v>50</v>
      </c>
      <c r="J335" s="42">
        <v>1</v>
      </c>
      <c r="K335" s="226" t="s">
        <v>413</v>
      </c>
      <c r="L335" s="183">
        <v>16</v>
      </c>
      <c r="M335" s="68"/>
      <c r="N335" s="67"/>
      <c r="O335" s="183">
        <v>16</v>
      </c>
      <c r="P335" s="66"/>
      <c r="U335" s="70"/>
      <c r="V335" s="70"/>
      <c r="W335" s="187"/>
      <c r="X335" s="69"/>
      <c r="Y335" s="69"/>
    </row>
    <row r="336" spans="1:25" s="45" customFormat="1" ht="30" customHeight="1" x14ac:dyDescent="0.2">
      <c r="A336" s="66"/>
      <c r="B336" s="879"/>
      <c r="C336" s="867" t="s">
        <v>435</v>
      </c>
      <c r="D336" s="868"/>
      <c r="E336" s="868"/>
      <c r="F336" s="868"/>
      <c r="G336" s="868"/>
      <c r="H336" s="869"/>
      <c r="I336" s="61">
        <v>50</v>
      </c>
      <c r="J336" s="42">
        <v>1</v>
      </c>
      <c r="K336" s="226" t="s">
        <v>413</v>
      </c>
      <c r="L336" s="183">
        <v>16</v>
      </c>
      <c r="M336" s="68"/>
      <c r="N336" s="67"/>
      <c r="O336" s="183">
        <v>16</v>
      </c>
      <c r="P336" s="66"/>
      <c r="U336" s="70"/>
      <c r="V336" s="70"/>
      <c r="W336" s="187"/>
      <c r="X336" s="69"/>
      <c r="Y336" s="69"/>
    </row>
    <row r="337" spans="1:25" s="45" customFormat="1" ht="30" customHeight="1" x14ac:dyDescent="0.2">
      <c r="A337" s="66"/>
      <c r="B337" s="879"/>
      <c r="C337" s="867" t="s">
        <v>436</v>
      </c>
      <c r="D337" s="868"/>
      <c r="E337" s="868"/>
      <c r="F337" s="868"/>
      <c r="G337" s="868"/>
      <c r="H337" s="869"/>
      <c r="I337" s="61">
        <v>50</v>
      </c>
      <c r="J337" s="42">
        <v>1</v>
      </c>
      <c r="K337" s="226" t="s">
        <v>413</v>
      </c>
      <c r="L337" s="183">
        <v>16</v>
      </c>
      <c r="M337" s="68"/>
      <c r="N337" s="67"/>
      <c r="O337" s="183">
        <v>16</v>
      </c>
      <c r="P337" s="66"/>
      <c r="U337" s="70"/>
      <c r="V337" s="70"/>
      <c r="W337" s="187"/>
      <c r="X337" s="69"/>
      <c r="Y337" s="69"/>
    </row>
    <row r="338" spans="1:25" s="45" customFormat="1" ht="30" customHeight="1" x14ac:dyDescent="0.2">
      <c r="A338" s="66"/>
      <c r="B338" s="879"/>
      <c r="C338" s="867" t="s">
        <v>437</v>
      </c>
      <c r="D338" s="868"/>
      <c r="E338" s="868"/>
      <c r="F338" s="868"/>
      <c r="G338" s="868"/>
      <c r="H338" s="869"/>
      <c r="I338" s="61">
        <v>50</v>
      </c>
      <c r="J338" s="42">
        <v>1</v>
      </c>
      <c r="K338" s="226" t="s">
        <v>413</v>
      </c>
      <c r="L338" s="183">
        <v>16</v>
      </c>
      <c r="M338" s="68"/>
      <c r="N338" s="67"/>
      <c r="O338" s="183">
        <v>16</v>
      </c>
      <c r="P338" s="66"/>
      <c r="U338" s="70"/>
      <c r="V338" s="70"/>
      <c r="W338" s="187"/>
      <c r="X338" s="69"/>
      <c r="Y338" s="69"/>
    </row>
    <row r="339" spans="1:25" s="45" customFormat="1" ht="30" customHeight="1" x14ac:dyDescent="0.2">
      <c r="A339" s="66"/>
      <c r="B339" s="879"/>
      <c r="C339" s="867" t="s">
        <v>438</v>
      </c>
      <c r="D339" s="868"/>
      <c r="E339" s="868"/>
      <c r="F339" s="868"/>
      <c r="G339" s="868"/>
      <c r="H339" s="869"/>
      <c r="I339" s="61">
        <v>50</v>
      </c>
      <c r="J339" s="42">
        <v>1</v>
      </c>
      <c r="K339" s="226" t="s">
        <v>413</v>
      </c>
      <c r="L339" s="183">
        <v>16</v>
      </c>
      <c r="M339" s="68"/>
      <c r="N339" s="67"/>
      <c r="O339" s="183">
        <v>16</v>
      </c>
      <c r="P339" s="66"/>
      <c r="U339" s="70"/>
      <c r="V339" s="70"/>
      <c r="W339" s="187"/>
      <c r="X339" s="69"/>
      <c r="Y339" s="69"/>
    </row>
    <row r="340" spans="1:25" s="45" customFormat="1" ht="30" customHeight="1" x14ac:dyDescent="0.2">
      <c r="A340" s="66"/>
      <c r="B340" s="879"/>
      <c r="C340" s="867" t="s">
        <v>439</v>
      </c>
      <c r="D340" s="868"/>
      <c r="E340" s="868"/>
      <c r="F340" s="868"/>
      <c r="G340" s="868"/>
      <c r="H340" s="869"/>
      <c r="I340" s="61">
        <v>50</v>
      </c>
      <c r="J340" s="42">
        <v>1</v>
      </c>
      <c r="K340" s="226" t="s">
        <v>413</v>
      </c>
      <c r="L340" s="183">
        <v>16</v>
      </c>
      <c r="M340" s="68"/>
      <c r="N340" s="67"/>
      <c r="O340" s="183">
        <v>16</v>
      </c>
      <c r="P340" s="66"/>
      <c r="U340" s="70"/>
      <c r="V340" s="70"/>
      <c r="W340" s="187"/>
      <c r="X340" s="69"/>
      <c r="Y340" s="69"/>
    </row>
    <row r="341" spans="1:25" s="45" customFormat="1" ht="30" customHeight="1" x14ac:dyDescent="0.2">
      <c r="A341" s="66"/>
      <c r="B341" s="1047" t="s">
        <v>440</v>
      </c>
      <c r="C341" s="867" t="s">
        <v>441</v>
      </c>
      <c r="D341" s="868"/>
      <c r="E341" s="868"/>
      <c r="F341" s="868"/>
      <c r="G341" s="868"/>
      <c r="H341" s="869"/>
      <c r="I341" s="61">
        <v>500</v>
      </c>
      <c r="J341" s="42">
        <v>1</v>
      </c>
      <c r="K341" s="226" t="s">
        <v>413</v>
      </c>
      <c r="L341" s="183">
        <v>16</v>
      </c>
      <c r="M341" s="68"/>
      <c r="N341" s="182" t="s">
        <v>30</v>
      </c>
      <c r="O341" s="183">
        <v>16</v>
      </c>
      <c r="P341" s="66"/>
      <c r="U341" s="70"/>
      <c r="V341" s="70"/>
      <c r="W341" s="187"/>
      <c r="X341" s="69"/>
      <c r="Y341" s="69"/>
    </row>
    <row r="342" spans="1:25" s="45" customFormat="1" ht="30" customHeight="1" x14ac:dyDescent="0.2">
      <c r="A342" s="66"/>
      <c r="B342" s="1052"/>
      <c r="C342" s="867" t="s">
        <v>438</v>
      </c>
      <c r="D342" s="868"/>
      <c r="E342" s="868"/>
      <c r="F342" s="868"/>
      <c r="G342" s="868"/>
      <c r="H342" s="869"/>
      <c r="I342" s="61">
        <v>100</v>
      </c>
      <c r="J342" s="42">
        <v>1</v>
      </c>
      <c r="K342" s="226" t="s">
        <v>413</v>
      </c>
      <c r="L342" s="183">
        <v>16</v>
      </c>
      <c r="M342" s="68"/>
      <c r="N342" s="67"/>
      <c r="O342" s="183">
        <v>16</v>
      </c>
      <c r="P342" s="66"/>
      <c r="U342" s="70"/>
      <c r="V342" s="70"/>
      <c r="W342" s="187"/>
      <c r="X342" s="69"/>
      <c r="Y342" s="69"/>
    </row>
    <row r="343" spans="1:25" s="45" customFormat="1" ht="30" customHeight="1" x14ac:dyDescent="0.2">
      <c r="A343" s="66"/>
      <c r="B343" s="1053"/>
      <c r="C343" s="867" t="s">
        <v>442</v>
      </c>
      <c r="D343" s="868"/>
      <c r="E343" s="868"/>
      <c r="F343" s="868"/>
      <c r="G343" s="868"/>
      <c r="H343" s="869"/>
      <c r="I343" s="61">
        <v>75</v>
      </c>
      <c r="J343" s="42">
        <v>1</v>
      </c>
      <c r="K343" s="226" t="s">
        <v>413</v>
      </c>
      <c r="L343" s="183">
        <v>16</v>
      </c>
      <c r="M343" s="68"/>
      <c r="N343" s="67"/>
      <c r="O343" s="183">
        <v>16</v>
      </c>
      <c r="P343" s="66"/>
      <c r="U343" s="70"/>
      <c r="V343" s="70"/>
      <c r="W343" s="187"/>
      <c r="X343" s="69"/>
      <c r="Y343" s="69"/>
    </row>
    <row r="344" spans="1:25" s="45" customFormat="1" ht="39.950000000000003" customHeight="1" x14ac:dyDescent="0.2">
      <c r="A344" s="66"/>
      <c r="B344" s="941" t="s">
        <v>443</v>
      </c>
      <c r="C344" s="942"/>
      <c r="D344" s="942"/>
      <c r="E344" s="942"/>
      <c r="F344" s="942"/>
      <c r="G344" s="942"/>
      <c r="H344" s="942"/>
      <c r="I344" s="942"/>
      <c r="J344" s="943"/>
      <c r="K344" s="226" t="s">
        <v>413</v>
      </c>
      <c r="L344" s="183">
        <v>16</v>
      </c>
      <c r="M344" s="68"/>
      <c r="N344" s="182" t="s">
        <v>30</v>
      </c>
      <c r="O344" s="183">
        <v>16</v>
      </c>
      <c r="P344" s="66"/>
      <c r="U344" s="70"/>
      <c r="V344" s="70"/>
      <c r="W344" s="187"/>
      <c r="X344" s="69"/>
      <c r="Y344" s="69"/>
    </row>
    <row r="345" spans="1:25" s="45" customFormat="1" ht="30" customHeight="1" x14ac:dyDescent="0.2">
      <c r="A345" s="66"/>
      <c r="B345" s="1049" t="s">
        <v>432</v>
      </c>
      <c r="C345" s="867" t="s">
        <v>433</v>
      </c>
      <c r="D345" s="868"/>
      <c r="E345" s="868"/>
      <c r="F345" s="868"/>
      <c r="G345" s="868"/>
      <c r="H345" s="869"/>
      <c r="I345" s="61">
        <v>50</v>
      </c>
      <c r="J345" s="42">
        <v>1</v>
      </c>
      <c r="K345" s="226" t="s">
        <v>413</v>
      </c>
      <c r="L345" s="183">
        <v>16</v>
      </c>
      <c r="M345" s="68"/>
      <c r="N345" s="67"/>
      <c r="O345" s="183">
        <v>16</v>
      </c>
      <c r="P345" s="66"/>
      <c r="U345" s="70"/>
      <c r="V345" s="70"/>
      <c r="W345" s="187"/>
      <c r="X345" s="69"/>
      <c r="Y345" s="69"/>
    </row>
    <row r="346" spans="1:25" s="45" customFormat="1" ht="30" customHeight="1" x14ac:dyDescent="0.2">
      <c r="A346" s="66"/>
      <c r="B346" s="879"/>
      <c r="C346" s="867" t="s">
        <v>434</v>
      </c>
      <c r="D346" s="868"/>
      <c r="E346" s="868"/>
      <c r="F346" s="868"/>
      <c r="G346" s="868"/>
      <c r="H346" s="869"/>
      <c r="I346" s="61">
        <v>50</v>
      </c>
      <c r="J346" s="42">
        <v>1</v>
      </c>
      <c r="K346" s="226" t="s">
        <v>413</v>
      </c>
      <c r="L346" s="183">
        <v>16</v>
      </c>
      <c r="M346" s="68"/>
      <c r="N346" s="67"/>
      <c r="O346" s="183">
        <v>16</v>
      </c>
      <c r="P346" s="66"/>
      <c r="U346" s="70"/>
      <c r="V346" s="70"/>
      <c r="W346" s="187"/>
      <c r="X346" s="69"/>
      <c r="Y346" s="69"/>
    </row>
    <row r="347" spans="1:25" s="45" customFormat="1" ht="30" customHeight="1" x14ac:dyDescent="0.2">
      <c r="A347" s="66"/>
      <c r="B347" s="879"/>
      <c r="C347" s="867" t="s">
        <v>444</v>
      </c>
      <c r="D347" s="868"/>
      <c r="E347" s="868"/>
      <c r="F347" s="868"/>
      <c r="G347" s="868"/>
      <c r="H347" s="869"/>
      <c r="I347" s="61">
        <v>50</v>
      </c>
      <c r="J347" s="42">
        <v>1</v>
      </c>
      <c r="K347" s="226" t="s">
        <v>413</v>
      </c>
      <c r="L347" s="183">
        <v>16</v>
      </c>
      <c r="M347" s="68"/>
      <c r="N347" s="67"/>
      <c r="O347" s="183">
        <v>16</v>
      </c>
      <c r="P347" s="66"/>
      <c r="U347" s="70"/>
      <c r="V347" s="70"/>
      <c r="W347" s="187"/>
      <c r="X347" s="69"/>
      <c r="Y347" s="69"/>
    </row>
    <row r="348" spans="1:25" s="45" customFormat="1" ht="30" customHeight="1" x14ac:dyDescent="0.2">
      <c r="A348" s="66"/>
      <c r="B348" s="879"/>
      <c r="C348" s="867" t="s">
        <v>436</v>
      </c>
      <c r="D348" s="868"/>
      <c r="E348" s="868"/>
      <c r="F348" s="868"/>
      <c r="G348" s="868"/>
      <c r="H348" s="869"/>
      <c r="I348" s="61">
        <v>50</v>
      </c>
      <c r="J348" s="42">
        <v>1</v>
      </c>
      <c r="K348" s="226" t="s">
        <v>413</v>
      </c>
      <c r="L348" s="183">
        <v>16</v>
      </c>
      <c r="M348" s="68"/>
      <c r="O348" s="183">
        <v>16</v>
      </c>
      <c r="P348" s="66"/>
      <c r="U348" s="70"/>
      <c r="V348" s="70"/>
      <c r="W348" s="187"/>
      <c r="X348" s="69"/>
      <c r="Y348" s="69"/>
    </row>
    <row r="349" spans="1:25" s="45" customFormat="1" ht="30" customHeight="1" x14ac:dyDescent="0.2">
      <c r="A349" s="66"/>
      <c r="B349" s="879"/>
      <c r="C349" s="1057" t="s">
        <v>439</v>
      </c>
      <c r="D349" s="1058"/>
      <c r="E349" s="1058"/>
      <c r="F349" s="1058"/>
      <c r="G349" s="1058"/>
      <c r="H349" s="1059"/>
      <c r="I349" s="61">
        <v>50</v>
      </c>
      <c r="J349" s="42">
        <v>1</v>
      </c>
      <c r="K349" s="226" t="s">
        <v>413</v>
      </c>
      <c r="L349" s="183">
        <v>16</v>
      </c>
      <c r="M349" s="68"/>
      <c r="N349" s="67"/>
      <c r="O349" s="183">
        <v>16</v>
      </c>
      <c r="P349" s="66"/>
      <c r="U349" s="70"/>
      <c r="V349" s="70"/>
      <c r="W349" s="187"/>
      <c r="X349" s="69"/>
      <c r="Y349" s="69"/>
    </row>
    <row r="350" spans="1:25" s="45" customFormat="1" ht="30" customHeight="1" x14ac:dyDescent="0.2">
      <c r="A350" s="66"/>
      <c r="B350" s="1047" t="s">
        <v>440</v>
      </c>
      <c r="C350" s="867" t="s">
        <v>438</v>
      </c>
      <c r="D350" s="868"/>
      <c r="E350" s="868"/>
      <c r="F350" s="868"/>
      <c r="G350" s="868"/>
      <c r="H350" s="869"/>
      <c r="I350" s="61">
        <v>100</v>
      </c>
      <c r="J350" s="42">
        <v>1</v>
      </c>
      <c r="K350" s="226" t="s">
        <v>413</v>
      </c>
      <c r="L350" s="183">
        <v>16</v>
      </c>
      <c r="M350" s="68"/>
      <c r="N350" s="182" t="s">
        <v>30</v>
      </c>
      <c r="O350" s="183">
        <v>16</v>
      </c>
      <c r="P350" s="66"/>
      <c r="U350" s="70"/>
      <c r="V350" s="70"/>
      <c r="W350" s="187"/>
      <c r="X350" s="69"/>
      <c r="Y350" s="69"/>
    </row>
    <row r="351" spans="1:25" s="45" customFormat="1" ht="30" customHeight="1" x14ac:dyDescent="0.2">
      <c r="A351" s="66"/>
      <c r="B351" s="1048"/>
      <c r="C351" s="867" t="s">
        <v>439</v>
      </c>
      <c r="D351" s="868"/>
      <c r="E351" s="868"/>
      <c r="F351" s="868"/>
      <c r="G351" s="868"/>
      <c r="H351" s="869"/>
      <c r="I351" s="61">
        <v>75</v>
      </c>
      <c r="J351" s="42">
        <v>1</v>
      </c>
      <c r="K351" s="226" t="s">
        <v>413</v>
      </c>
      <c r="L351" s="183">
        <v>16</v>
      </c>
      <c r="M351" s="68"/>
      <c r="N351" s="67"/>
      <c r="O351" s="183">
        <v>16</v>
      </c>
      <c r="P351" s="66"/>
      <c r="U351" s="70"/>
      <c r="V351" s="70"/>
      <c r="W351" s="187"/>
      <c r="X351" s="69"/>
      <c r="Y351" s="69"/>
    </row>
    <row r="352" spans="1:25" s="45" customFormat="1" ht="52.5" customHeight="1" x14ac:dyDescent="0.2">
      <c r="A352" s="66"/>
      <c r="B352" s="867" t="s">
        <v>445</v>
      </c>
      <c r="C352" s="868"/>
      <c r="D352" s="868"/>
      <c r="E352" s="868"/>
      <c r="F352" s="868"/>
      <c r="G352" s="868"/>
      <c r="H352" s="868"/>
      <c r="I352" s="868"/>
      <c r="J352" s="869"/>
      <c r="K352" s="226" t="s">
        <v>413</v>
      </c>
      <c r="L352" s="183">
        <v>16</v>
      </c>
      <c r="M352" s="68"/>
      <c r="N352" s="182" t="s">
        <v>30</v>
      </c>
      <c r="O352" s="183">
        <v>16</v>
      </c>
      <c r="P352" s="66"/>
      <c r="U352" s="70"/>
      <c r="V352" s="70"/>
      <c r="W352" s="187"/>
      <c r="X352" s="69"/>
      <c r="Y352" s="69"/>
    </row>
    <row r="353" spans="1:28" ht="20.100000000000001" customHeight="1" x14ac:dyDescent="0.2">
      <c r="B353" s="62"/>
      <c r="C353" s="192"/>
      <c r="D353" s="192"/>
      <c r="E353" s="192"/>
      <c r="F353" s="192"/>
      <c r="G353" s="192"/>
      <c r="H353" s="192"/>
      <c r="I353" s="64"/>
      <c r="J353" s="65"/>
    </row>
    <row r="354" spans="1:28" ht="30" customHeight="1" x14ac:dyDescent="0.2">
      <c r="A354" s="24"/>
      <c r="B354" s="904" t="s">
        <v>446</v>
      </c>
      <c r="C354" s="905"/>
      <c r="D354" s="905"/>
      <c r="E354" s="905"/>
      <c r="F354" s="905"/>
      <c r="G354" s="905"/>
      <c r="H354" s="906"/>
      <c r="I354" s="34" t="s">
        <v>17</v>
      </c>
      <c r="J354" s="35" t="s">
        <v>18</v>
      </c>
      <c r="K354" s="36" t="s">
        <v>447</v>
      </c>
      <c r="L354" s="37">
        <v>17</v>
      </c>
      <c r="N354" s="46" t="s">
        <v>30</v>
      </c>
      <c r="O354" s="37">
        <v>17</v>
      </c>
    </row>
    <row r="355" spans="1:28" ht="30" customHeight="1" x14ac:dyDescent="0.2">
      <c r="A355" s="24"/>
      <c r="B355" s="924" t="s">
        <v>448</v>
      </c>
      <c r="C355" s="925"/>
      <c r="D355" s="925"/>
      <c r="E355" s="925"/>
      <c r="F355" s="925"/>
      <c r="G355" s="925"/>
      <c r="H355" s="925"/>
      <c r="I355" s="925"/>
      <c r="J355" s="926"/>
      <c r="K355" s="36" t="s">
        <v>447</v>
      </c>
      <c r="L355" s="37">
        <v>17</v>
      </c>
      <c r="O355" s="37">
        <v>17</v>
      </c>
    </row>
    <row r="356" spans="1:28" ht="39.950000000000003" customHeight="1" x14ac:dyDescent="0.2">
      <c r="A356" s="24"/>
      <c r="B356" s="60" t="s">
        <v>449</v>
      </c>
      <c r="C356" s="901" t="s">
        <v>450</v>
      </c>
      <c r="D356" s="902"/>
      <c r="E356" s="902"/>
      <c r="F356" s="902"/>
      <c r="G356" s="902"/>
      <c r="H356" s="903"/>
      <c r="I356" s="61">
        <v>0</v>
      </c>
      <c r="J356" s="42">
        <v>1</v>
      </c>
      <c r="K356" s="36" t="s">
        <v>447</v>
      </c>
      <c r="L356" s="37">
        <v>17</v>
      </c>
      <c r="O356" s="37">
        <v>17</v>
      </c>
    </row>
    <row r="357" spans="1:28" s="24" customFormat="1" ht="39.950000000000003" customHeight="1" x14ac:dyDescent="0.2">
      <c r="B357" s="60" t="s">
        <v>451</v>
      </c>
      <c r="C357" s="1036" t="s">
        <v>452</v>
      </c>
      <c r="D357" s="1037"/>
      <c r="E357" s="1037"/>
      <c r="F357" s="1037"/>
      <c r="G357" s="1037"/>
      <c r="H357" s="1038"/>
      <c r="I357" s="61">
        <v>0</v>
      </c>
      <c r="J357" s="42">
        <v>1</v>
      </c>
      <c r="K357" s="36" t="s">
        <v>447</v>
      </c>
      <c r="L357" s="37">
        <v>17</v>
      </c>
      <c r="M357" s="4"/>
      <c r="N357" s="18"/>
      <c r="O357" s="37">
        <v>17</v>
      </c>
      <c r="P357" s="18"/>
    </row>
    <row r="358" spans="1:28" ht="20.100000000000001" customHeight="1" x14ac:dyDescent="0.2">
      <c r="A358" s="24"/>
      <c r="B358" s="62"/>
      <c r="C358" s="192"/>
      <c r="D358" s="192"/>
      <c r="E358" s="192"/>
      <c r="F358" s="192"/>
      <c r="G358" s="192"/>
      <c r="H358" s="192"/>
      <c r="I358" s="64"/>
      <c r="J358" s="65"/>
    </row>
    <row r="359" spans="1:28" s="24" customFormat="1" ht="30" customHeight="1" x14ac:dyDescent="0.2">
      <c r="B359" s="904" t="s">
        <v>453</v>
      </c>
      <c r="C359" s="905"/>
      <c r="D359" s="905"/>
      <c r="E359" s="905"/>
      <c r="F359" s="905"/>
      <c r="G359" s="905"/>
      <c r="H359" s="906"/>
      <c r="I359" s="34" t="s">
        <v>17</v>
      </c>
      <c r="J359" s="35" t="s">
        <v>18</v>
      </c>
      <c r="K359" s="197" t="s">
        <v>454</v>
      </c>
      <c r="L359" s="195">
        <v>18</v>
      </c>
      <c r="M359" s="3"/>
      <c r="N359" s="46" t="s">
        <v>30</v>
      </c>
      <c r="O359" s="195">
        <v>18</v>
      </c>
      <c r="P359" s="18"/>
    </row>
    <row r="360" spans="1:28" s="24" customFormat="1" ht="30" customHeight="1" x14ac:dyDescent="0.2">
      <c r="B360" s="867" t="s">
        <v>455</v>
      </c>
      <c r="C360" s="1058"/>
      <c r="D360" s="1058"/>
      <c r="E360" s="1058"/>
      <c r="F360" s="1058"/>
      <c r="G360" s="1058"/>
      <c r="H360" s="1058"/>
      <c r="I360" s="1058"/>
      <c r="J360" s="1059"/>
      <c r="K360" s="197" t="s">
        <v>454</v>
      </c>
      <c r="L360" s="195">
        <v>18</v>
      </c>
      <c r="M360" s="3"/>
      <c r="N360" s="4"/>
      <c r="O360" s="195">
        <v>18</v>
      </c>
      <c r="P360" s="18"/>
    </row>
    <row r="361" spans="1:28" s="45" customFormat="1" ht="30" customHeight="1" x14ac:dyDescent="0.2">
      <c r="A361" s="66"/>
      <c r="B361" s="1004" t="s">
        <v>456</v>
      </c>
      <c r="C361" s="1040" t="s">
        <v>457</v>
      </c>
      <c r="D361" s="1041"/>
      <c r="E361" s="235" t="s">
        <v>458</v>
      </c>
      <c r="F361" s="235"/>
      <c r="G361" s="235" t="s">
        <v>92</v>
      </c>
      <c r="H361" s="236"/>
      <c r="I361" s="1042">
        <v>0</v>
      </c>
      <c r="J361" s="915">
        <v>1</v>
      </c>
      <c r="K361" s="237" t="s">
        <v>454</v>
      </c>
      <c r="L361" s="238">
        <v>18</v>
      </c>
      <c r="M361" s="68"/>
      <c r="N361" s="67"/>
      <c r="O361" s="238">
        <v>18</v>
      </c>
      <c r="P361" s="66"/>
      <c r="U361" s="70"/>
      <c r="V361" s="24"/>
      <c r="W361" s="239"/>
      <c r="X361" s="186"/>
      <c r="Y361" s="69"/>
    </row>
    <row r="362" spans="1:28" s="45" customFormat="1" ht="30" customHeight="1" x14ac:dyDescent="0.2">
      <c r="A362" s="66"/>
      <c r="B362" s="1039"/>
      <c r="C362" s="1046" t="s">
        <v>459</v>
      </c>
      <c r="D362" s="1022"/>
      <c r="E362" s="1030" t="s">
        <v>27</v>
      </c>
      <c r="F362" s="1030"/>
      <c r="G362" s="1022" t="s">
        <v>460</v>
      </c>
      <c r="H362" s="1028"/>
      <c r="I362" s="1043"/>
      <c r="J362" s="1045"/>
      <c r="K362" s="237" t="s">
        <v>454</v>
      </c>
      <c r="L362" s="238">
        <v>18</v>
      </c>
      <c r="M362" s="68"/>
      <c r="N362" s="67"/>
      <c r="O362" s="238">
        <v>18</v>
      </c>
      <c r="P362" s="66"/>
      <c r="U362" s="70"/>
      <c r="V362" s="240"/>
      <c r="W362" s="239"/>
      <c r="X362" s="186"/>
      <c r="Y362" s="69"/>
    </row>
    <row r="363" spans="1:28" s="45" customFormat="1" ht="30" customHeight="1" x14ac:dyDescent="0.2">
      <c r="B363" s="1039"/>
      <c r="C363" s="1029" t="s">
        <v>72</v>
      </c>
      <c r="D363" s="1030"/>
      <c r="E363" s="1022" t="s">
        <v>461</v>
      </c>
      <c r="F363" s="1022"/>
      <c r="G363" s="1022" t="s">
        <v>462</v>
      </c>
      <c r="H363" s="1028"/>
      <c r="I363" s="1043"/>
      <c r="J363" s="1045"/>
      <c r="K363" s="237" t="s">
        <v>454</v>
      </c>
      <c r="L363" s="238">
        <v>18</v>
      </c>
      <c r="M363" s="68"/>
      <c r="N363" s="67"/>
      <c r="O363" s="238">
        <v>18</v>
      </c>
      <c r="P363" s="66"/>
      <c r="U363" s="70"/>
      <c r="V363" s="1031"/>
      <c r="W363" s="241"/>
      <c r="X363" s="242"/>
      <c r="Y363" s="69"/>
    </row>
    <row r="364" spans="1:28" s="45" customFormat="1" ht="30" customHeight="1" x14ac:dyDescent="0.2">
      <c r="B364" s="1005"/>
      <c r="C364" s="1032" t="s">
        <v>323</v>
      </c>
      <c r="D364" s="1033"/>
      <c r="E364" s="1034" t="s">
        <v>88</v>
      </c>
      <c r="F364" s="1034"/>
      <c r="G364" s="1034" t="s">
        <v>80</v>
      </c>
      <c r="H364" s="1035"/>
      <c r="I364" s="1044"/>
      <c r="J364" s="916"/>
      <c r="K364" s="237" t="s">
        <v>454</v>
      </c>
      <c r="L364" s="238">
        <v>18</v>
      </c>
      <c r="M364" s="68"/>
      <c r="N364" s="67"/>
      <c r="O364" s="238">
        <v>18</v>
      </c>
      <c r="P364" s="66"/>
      <c r="U364" s="70"/>
      <c r="V364" s="1031"/>
      <c r="W364" s="239"/>
      <c r="X364" s="243"/>
      <c r="Y364" s="69"/>
    </row>
    <row r="365" spans="1:28" s="45" customFormat="1" ht="30" customHeight="1" x14ac:dyDescent="0.2">
      <c r="B365" s="60" t="s">
        <v>463</v>
      </c>
      <c r="C365" s="901" t="s">
        <v>464</v>
      </c>
      <c r="D365" s="902"/>
      <c r="E365" s="902"/>
      <c r="F365" s="902"/>
      <c r="G365" s="902"/>
      <c r="H365" s="903"/>
      <c r="I365" s="175">
        <v>0</v>
      </c>
      <c r="J365" s="42">
        <v>1</v>
      </c>
      <c r="K365" s="237" t="s">
        <v>454</v>
      </c>
      <c r="L365" s="238">
        <v>18</v>
      </c>
      <c r="M365" s="68"/>
      <c r="N365" s="67"/>
      <c r="O365" s="238">
        <v>18</v>
      </c>
      <c r="P365" s="66"/>
      <c r="U365" s="70"/>
      <c r="V365" s="240"/>
      <c r="W365" s="239"/>
      <c r="X365" s="243"/>
      <c r="Y365" s="69"/>
    </row>
    <row r="366" spans="1:28" ht="20.100000000000001" customHeight="1" x14ac:dyDescent="0.2">
      <c r="A366" s="24"/>
      <c r="B366" s="62"/>
      <c r="C366" s="192"/>
      <c r="D366" s="192"/>
      <c r="E366" s="192"/>
      <c r="F366" s="192"/>
      <c r="G366" s="192"/>
      <c r="H366" s="192"/>
      <c r="I366" s="64"/>
      <c r="J366" s="65"/>
      <c r="U366" s="24"/>
      <c r="V366" s="24"/>
      <c r="W366" s="24"/>
      <c r="X366" s="24"/>
      <c r="Y366" s="24"/>
      <c r="Z366" s="24"/>
      <c r="AA366" s="24"/>
      <c r="AB366" s="24"/>
    </row>
    <row r="367" spans="1:28" s="45" customFormat="1" ht="30" customHeight="1" x14ac:dyDescent="0.2">
      <c r="B367" s="972" t="s">
        <v>505</v>
      </c>
      <c r="C367" s="975"/>
      <c r="D367" s="975"/>
      <c r="E367" s="975"/>
      <c r="F367" s="975"/>
      <c r="G367" s="975"/>
      <c r="H367" s="975"/>
      <c r="I367" s="94" t="s">
        <v>466</v>
      </c>
      <c r="J367" s="259" t="s">
        <v>18</v>
      </c>
      <c r="K367" s="36" t="s">
        <v>506</v>
      </c>
      <c r="L367" s="37">
        <v>47</v>
      </c>
      <c r="M367" s="181"/>
      <c r="N367" s="182" t="s">
        <v>30</v>
      </c>
      <c r="O367" s="37">
        <v>47</v>
      </c>
    </row>
    <row r="368" spans="1:28" s="45" customFormat="1" ht="30" customHeight="1" x14ac:dyDescent="0.2">
      <c r="B368" s="976" t="s">
        <v>507</v>
      </c>
      <c r="C368" s="977"/>
      <c r="D368" s="977"/>
      <c r="E368" s="977"/>
      <c r="F368" s="977"/>
      <c r="G368" s="977"/>
      <c r="H368" s="977"/>
      <c r="I368" s="977"/>
      <c r="J368" s="978"/>
      <c r="K368" s="36" t="s">
        <v>506</v>
      </c>
      <c r="L368" s="37">
        <v>47</v>
      </c>
      <c r="M368" s="181"/>
      <c r="N368" s="67"/>
      <c r="O368" s="37">
        <v>47</v>
      </c>
    </row>
    <row r="369" spans="2:15" s="45" customFormat="1" ht="42" customHeight="1" x14ac:dyDescent="0.2">
      <c r="B369" s="979" t="s">
        <v>508</v>
      </c>
      <c r="C369" s="1561"/>
      <c r="D369" s="1561"/>
      <c r="E369" s="1561"/>
      <c r="F369" s="1561"/>
      <c r="G369" s="1561"/>
      <c r="H369" s="1561"/>
      <c r="I369" s="980"/>
      <c r="J369" s="981"/>
      <c r="K369" s="36" t="s">
        <v>506</v>
      </c>
      <c r="L369" s="37">
        <v>47</v>
      </c>
      <c r="M369" s="181"/>
      <c r="N369" s="67"/>
      <c r="O369" s="37">
        <v>47</v>
      </c>
    </row>
    <row r="370" spans="2:15" s="45" customFormat="1" ht="30" customHeight="1" x14ac:dyDescent="0.2">
      <c r="B370" s="982" t="s">
        <v>395</v>
      </c>
      <c r="C370" s="985" t="s">
        <v>133</v>
      </c>
      <c r="D370" s="986"/>
      <c r="E370" s="986" t="s">
        <v>135</v>
      </c>
      <c r="F370" s="986"/>
      <c r="G370" s="1204" t="s">
        <v>136</v>
      </c>
      <c r="H370" s="1205"/>
      <c r="I370" s="988">
        <v>35</v>
      </c>
      <c r="J370" s="962">
        <v>1</v>
      </c>
      <c r="K370" s="36" t="s">
        <v>506</v>
      </c>
      <c r="L370" s="37">
        <v>47</v>
      </c>
      <c r="M370" s="181"/>
      <c r="N370" s="67"/>
      <c r="O370" s="37">
        <v>47</v>
      </c>
    </row>
    <row r="371" spans="2:15" s="45" customFormat="1" ht="30" customHeight="1" x14ac:dyDescent="0.2">
      <c r="B371" s="983"/>
      <c r="C371" s="968" t="s">
        <v>82</v>
      </c>
      <c r="D371" s="969"/>
      <c r="E371" s="957" t="s">
        <v>92</v>
      </c>
      <c r="F371" s="957"/>
      <c r="G371" s="956" t="s">
        <v>29</v>
      </c>
      <c r="H371" s="970"/>
      <c r="I371" s="989"/>
      <c r="J371" s="963"/>
      <c r="K371" s="36" t="s">
        <v>506</v>
      </c>
      <c r="L371" s="37">
        <v>47</v>
      </c>
      <c r="M371" s="181"/>
      <c r="N371" s="67"/>
      <c r="O371" s="37">
        <v>47</v>
      </c>
    </row>
    <row r="372" spans="2:15" s="45" customFormat="1" ht="30" customHeight="1" x14ac:dyDescent="0.2">
      <c r="B372" s="984"/>
      <c r="C372" s="971" t="s">
        <v>81</v>
      </c>
      <c r="D372" s="944"/>
      <c r="E372" s="944" t="s">
        <v>32</v>
      </c>
      <c r="F372" s="944"/>
      <c r="G372" s="503"/>
      <c r="H372" s="504"/>
      <c r="I372" s="990"/>
      <c r="J372" s="964"/>
      <c r="K372" s="36" t="s">
        <v>506</v>
      </c>
      <c r="L372" s="37">
        <v>47</v>
      </c>
      <c r="M372" s="181"/>
      <c r="N372" s="67"/>
      <c r="O372" s="37">
        <v>47</v>
      </c>
    </row>
    <row r="373" spans="2:15" s="45" customFormat="1" ht="30" customHeight="1" x14ac:dyDescent="0.2">
      <c r="B373" s="952" t="s">
        <v>396</v>
      </c>
      <c r="C373" s="955" t="s">
        <v>378</v>
      </c>
      <c r="D373" s="956"/>
      <c r="E373" s="957" t="s">
        <v>42</v>
      </c>
      <c r="F373" s="957"/>
      <c r="G373" s="957" t="s">
        <v>63</v>
      </c>
      <c r="H373" s="958"/>
      <c r="I373" s="959">
        <v>35</v>
      </c>
      <c r="J373" s="962">
        <v>1</v>
      </c>
      <c r="K373" s="36" t="s">
        <v>506</v>
      </c>
      <c r="L373" s="37">
        <v>47</v>
      </c>
      <c r="M373" s="181"/>
      <c r="N373" s="67"/>
      <c r="O373" s="37">
        <v>47</v>
      </c>
    </row>
    <row r="374" spans="2:15" s="45" customFormat="1" ht="30" customHeight="1" x14ac:dyDescent="0.2">
      <c r="B374" s="953"/>
      <c r="C374" s="965" t="s">
        <v>379</v>
      </c>
      <c r="D374" s="957"/>
      <c r="E374" s="957" t="s">
        <v>380</v>
      </c>
      <c r="F374" s="957"/>
      <c r="G374" s="957" t="s">
        <v>56</v>
      </c>
      <c r="H374" s="958"/>
      <c r="I374" s="960"/>
      <c r="J374" s="963"/>
      <c r="K374" s="36" t="s">
        <v>506</v>
      </c>
      <c r="L374" s="37">
        <v>47</v>
      </c>
      <c r="M374" s="181"/>
      <c r="N374" s="67"/>
      <c r="O374" s="37">
        <v>47</v>
      </c>
    </row>
    <row r="375" spans="2:15" s="45" customFormat="1" ht="30" customHeight="1" x14ac:dyDescent="0.2">
      <c r="B375" s="954"/>
      <c r="C375" s="966" t="s">
        <v>43</v>
      </c>
      <c r="D375" s="967"/>
      <c r="E375" s="944" t="s">
        <v>381</v>
      </c>
      <c r="F375" s="944"/>
      <c r="G375" s="944" t="s">
        <v>287</v>
      </c>
      <c r="H375" s="945"/>
      <c r="I375" s="961"/>
      <c r="J375" s="964"/>
      <c r="K375" s="36" t="s">
        <v>506</v>
      </c>
      <c r="L375" s="37">
        <v>47</v>
      </c>
      <c r="M375" s="181"/>
      <c r="N375" s="67"/>
      <c r="O375" s="37">
        <v>47</v>
      </c>
    </row>
    <row r="376" spans="2:15" s="45" customFormat="1" ht="30" customHeight="1" x14ac:dyDescent="0.2">
      <c r="B376" s="946" t="s">
        <v>509</v>
      </c>
      <c r="C376" s="947"/>
      <c r="D376" s="947"/>
      <c r="E376" s="947"/>
      <c r="F376" s="947"/>
      <c r="G376" s="947"/>
      <c r="H376" s="947"/>
      <c r="I376" s="947"/>
      <c r="J376" s="948"/>
      <c r="K376" s="36" t="s">
        <v>506</v>
      </c>
      <c r="L376" s="37">
        <v>47</v>
      </c>
      <c r="M376" s="181"/>
      <c r="N376" s="182" t="s">
        <v>30</v>
      </c>
      <c r="O376" s="37">
        <v>47</v>
      </c>
    </row>
    <row r="377" spans="2:15" s="45" customFormat="1" ht="30" customHeight="1" x14ac:dyDescent="0.2">
      <c r="B377" s="1558" t="s">
        <v>510</v>
      </c>
      <c r="C377" s="1559"/>
      <c r="D377" s="1559"/>
      <c r="E377" s="1559"/>
      <c r="F377" s="1559"/>
      <c r="G377" s="1559"/>
      <c r="H377" s="1559"/>
      <c r="I377" s="1559"/>
      <c r="J377" s="1560"/>
      <c r="K377" s="36" t="s">
        <v>506</v>
      </c>
      <c r="L377" s="37">
        <v>47</v>
      </c>
      <c r="M377" s="181"/>
      <c r="N377" s="67"/>
      <c r="O377" s="37">
        <v>47</v>
      </c>
    </row>
    <row r="378" spans="2:15" s="45" customFormat="1" ht="30" customHeight="1" x14ac:dyDescent="0.2">
      <c r="B378" s="260" t="s">
        <v>373</v>
      </c>
      <c r="C378" s="927" t="s">
        <v>32</v>
      </c>
      <c r="D378" s="928"/>
      <c r="E378" s="928" t="s">
        <v>29</v>
      </c>
      <c r="F378" s="928"/>
      <c r="G378" s="928"/>
      <c r="H378" s="929"/>
      <c r="I378" s="261">
        <v>200</v>
      </c>
      <c r="J378" s="262">
        <v>0.8</v>
      </c>
      <c r="K378" s="36" t="s">
        <v>506</v>
      </c>
      <c r="L378" s="37">
        <v>47</v>
      </c>
      <c r="M378" s="181"/>
      <c r="N378" s="67"/>
      <c r="O378" s="37">
        <v>47</v>
      </c>
    </row>
    <row r="379" spans="2:15" s="45" customFormat="1" ht="30" customHeight="1" x14ac:dyDescent="0.2">
      <c r="B379" s="930" t="s">
        <v>375</v>
      </c>
      <c r="C379" s="932" t="s">
        <v>82</v>
      </c>
      <c r="D379" s="933"/>
      <c r="E379" s="933" t="s">
        <v>92</v>
      </c>
      <c r="F379" s="933"/>
      <c r="G379" s="933" t="s">
        <v>81</v>
      </c>
      <c r="H379" s="934"/>
      <c r="I379" s="937">
        <v>300</v>
      </c>
      <c r="J379" s="939">
        <v>0.8</v>
      </c>
      <c r="K379" s="36" t="s">
        <v>506</v>
      </c>
      <c r="L379" s="37">
        <v>47</v>
      </c>
      <c r="M379" s="181"/>
      <c r="N379" s="67"/>
      <c r="O379" s="37">
        <v>47</v>
      </c>
    </row>
    <row r="380" spans="2:15" s="45" customFormat="1" ht="30" customHeight="1" x14ac:dyDescent="0.2">
      <c r="B380" s="931"/>
      <c r="C380" s="917" t="s">
        <v>511</v>
      </c>
      <c r="D380" s="918"/>
      <c r="E380" s="82" t="s">
        <v>376</v>
      </c>
      <c r="F380" s="82"/>
      <c r="G380" s="82"/>
      <c r="H380" s="83"/>
      <c r="I380" s="938"/>
      <c r="J380" s="940"/>
      <c r="K380" s="36" t="s">
        <v>506</v>
      </c>
      <c r="L380" s="37">
        <v>47</v>
      </c>
      <c r="M380" s="181"/>
      <c r="N380" s="67"/>
      <c r="O380" s="37">
        <v>47</v>
      </c>
    </row>
    <row r="381" spans="2:15" s="45" customFormat="1" ht="30" customHeight="1" x14ac:dyDescent="0.2">
      <c r="B381" s="263" t="s">
        <v>512</v>
      </c>
      <c r="C381" s="923" t="s">
        <v>513</v>
      </c>
      <c r="D381" s="923"/>
      <c r="E381" s="923"/>
      <c r="F381" s="923"/>
      <c r="G381" s="923"/>
      <c r="H381" s="923"/>
      <c r="I381" s="264">
        <v>400</v>
      </c>
      <c r="J381" s="265">
        <v>0.5</v>
      </c>
      <c r="K381" s="36" t="s">
        <v>506</v>
      </c>
      <c r="L381" s="37">
        <v>47</v>
      </c>
      <c r="M381" s="181"/>
      <c r="N381" s="67"/>
      <c r="O381" s="37">
        <v>47</v>
      </c>
    </row>
    <row r="382" spans="2:15" s="45" customFormat="1" ht="30" customHeight="1" x14ac:dyDescent="0.2">
      <c r="B382" s="266" t="s">
        <v>396</v>
      </c>
      <c r="C382" s="923" t="s">
        <v>514</v>
      </c>
      <c r="D382" s="923"/>
      <c r="E382" s="923"/>
      <c r="F382" s="923"/>
      <c r="G382" s="923"/>
      <c r="H382" s="923"/>
      <c r="I382" s="267">
        <v>300</v>
      </c>
      <c r="J382" s="268">
        <v>0.5</v>
      </c>
      <c r="K382" s="36" t="s">
        <v>506</v>
      </c>
      <c r="L382" s="37">
        <v>47</v>
      </c>
      <c r="M382" s="181"/>
      <c r="N382" s="67"/>
      <c r="O382" s="37">
        <v>47</v>
      </c>
    </row>
    <row r="383" spans="2:15" s="45" customFormat="1" ht="30" customHeight="1" x14ac:dyDescent="0.2">
      <c r="B383" s="1555" t="s">
        <v>515</v>
      </c>
      <c r="C383" s="1556"/>
      <c r="D383" s="1556"/>
      <c r="E383" s="1556"/>
      <c r="F383" s="1556"/>
      <c r="G383" s="1556"/>
      <c r="H383" s="1556"/>
      <c r="I383" s="1556"/>
      <c r="J383" s="1557"/>
      <c r="K383" s="36" t="s">
        <v>506</v>
      </c>
      <c r="L383" s="37">
        <v>47</v>
      </c>
      <c r="M383" s="181"/>
      <c r="N383" s="182" t="s">
        <v>30</v>
      </c>
      <c r="O383" s="37">
        <v>47</v>
      </c>
    </row>
    <row r="384" spans="2:15" s="45" customFormat="1" ht="27.95" customHeight="1" x14ac:dyDescent="0.2">
      <c r="B384" s="260" t="s">
        <v>373</v>
      </c>
      <c r="C384" s="927" t="s">
        <v>32</v>
      </c>
      <c r="D384" s="928"/>
      <c r="E384" s="928" t="s">
        <v>29</v>
      </c>
      <c r="F384" s="928"/>
      <c r="G384" s="928"/>
      <c r="H384" s="929"/>
      <c r="I384" s="261">
        <v>400</v>
      </c>
      <c r="J384" s="262">
        <v>0.8</v>
      </c>
      <c r="K384" s="36" t="s">
        <v>506</v>
      </c>
      <c r="L384" s="37">
        <v>47</v>
      </c>
      <c r="M384" s="181"/>
      <c r="N384" s="67"/>
      <c r="O384" s="37">
        <v>47</v>
      </c>
    </row>
    <row r="385" spans="1:16" s="45" customFormat="1" ht="27.95" customHeight="1" x14ac:dyDescent="0.2">
      <c r="B385" s="930" t="s">
        <v>375</v>
      </c>
      <c r="C385" s="932" t="s">
        <v>82</v>
      </c>
      <c r="D385" s="933"/>
      <c r="E385" s="933" t="s">
        <v>92</v>
      </c>
      <c r="F385" s="933"/>
      <c r="G385" s="933" t="s">
        <v>81</v>
      </c>
      <c r="H385" s="934"/>
      <c r="I385" s="937">
        <v>450</v>
      </c>
      <c r="J385" s="939">
        <v>0.75</v>
      </c>
      <c r="K385" s="36" t="s">
        <v>506</v>
      </c>
      <c r="L385" s="37">
        <v>47</v>
      </c>
      <c r="M385" s="181"/>
      <c r="N385" s="67"/>
      <c r="O385" s="37">
        <v>47</v>
      </c>
    </row>
    <row r="386" spans="1:16" s="45" customFormat="1" ht="27.95" customHeight="1" x14ac:dyDescent="0.2">
      <c r="B386" s="931"/>
      <c r="C386" s="917" t="s">
        <v>511</v>
      </c>
      <c r="D386" s="918"/>
      <c r="E386" s="82" t="s">
        <v>376</v>
      </c>
      <c r="F386" s="82"/>
      <c r="G386" s="82"/>
      <c r="H386" s="83"/>
      <c r="I386" s="938"/>
      <c r="J386" s="940"/>
      <c r="K386" s="36" t="s">
        <v>506</v>
      </c>
      <c r="L386" s="37">
        <v>47</v>
      </c>
      <c r="M386" s="181"/>
      <c r="N386" s="67"/>
      <c r="O386" s="37">
        <v>47</v>
      </c>
    </row>
    <row r="387" spans="1:16" s="45" customFormat="1" ht="27.95" customHeight="1" x14ac:dyDescent="0.2">
      <c r="B387" s="266" t="s">
        <v>396</v>
      </c>
      <c r="C387" s="923" t="s">
        <v>514</v>
      </c>
      <c r="D387" s="923"/>
      <c r="E387" s="923"/>
      <c r="F387" s="923"/>
      <c r="G387" s="923"/>
      <c r="H387" s="923"/>
      <c r="I387" s="267">
        <v>450</v>
      </c>
      <c r="J387" s="269">
        <v>0.75</v>
      </c>
      <c r="K387" s="36" t="s">
        <v>506</v>
      </c>
      <c r="L387" s="37">
        <v>47</v>
      </c>
      <c r="M387" s="181"/>
      <c r="N387" s="67"/>
      <c r="O387" s="37">
        <v>47</v>
      </c>
    </row>
    <row r="388" spans="1:16" s="45" customFormat="1" ht="30" customHeight="1" x14ac:dyDescent="0.2">
      <c r="B388" s="924" t="s">
        <v>516</v>
      </c>
      <c r="C388" s="925"/>
      <c r="D388" s="925"/>
      <c r="E388" s="925"/>
      <c r="F388" s="925"/>
      <c r="G388" s="925"/>
      <c r="H388" s="925"/>
      <c r="I388" s="925"/>
      <c r="J388" s="926"/>
      <c r="K388" s="36" t="s">
        <v>506</v>
      </c>
      <c r="L388" s="37">
        <v>47</v>
      </c>
      <c r="M388" s="181"/>
      <c r="N388" s="182" t="s">
        <v>30</v>
      </c>
      <c r="O388" s="37">
        <v>47</v>
      </c>
    </row>
    <row r="389" spans="1:16" s="45" customFormat="1" ht="30" customHeight="1" x14ac:dyDescent="0.2">
      <c r="B389" s="260" t="s">
        <v>26</v>
      </c>
      <c r="C389" s="927" t="s">
        <v>32</v>
      </c>
      <c r="D389" s="928"/>
      <c r="E389" s="928" t="s">
        <v>29</v>
      </c>
      <c r="F389" s="928"/>
      <c r="G389" s="928"/>
      <c r="H389" s="929"/>
      <c r="I389" s="261">
        <v>400</v>
      </c>
      <c r="J389" s="262">
        <v>0.8</v>
      </c>
      <c r="K389" s="36" t="s">
        <v>506</v>
      </c>
      <c r="L389" s="37">
        <v>47</v>
      </c>
      <c r="M389" s="181"/>
      <c r="N389" s="67"/>
      <c r="O389" s="37">
        <v>47</v>
      </c>
    </row>
    <row r="390" spans="1:16" s="45" customFormat="1" ht="30" customHeight="1" x14ac:dyDescent="0.2">
      <c r="B390" s="930" t="s">
        <v>375</v>
      </c>
      <c r="C390" s="932" t="s">
        <v>82</v>
      </c>
      <c r="D390" s="933"/>
      <c r="E390" s="933" t="s">
        <v>92</v>
      </c>
      <c r="F390" s="933"/>
      <c r="G390" s="933" t="s">
        <v>81</v>
      </c>
      <c r="H390" s="934"/>
      <c r="I390" s="935">
        <v>450</v>
      </c>
      <c r="J390" s="915">
        <v>0.75</v>
      </c>
      <c r="K390" s="36" t="s">
        <v>506</v>
      </c>
      <c r="L390" s="37">
        <v>47</v>
      </c>
      <c r="M390" s="181"/>
      <c r="N390" s="67"/>
      <c r="O390" s="37">
        <v>47</v>
      </c>
    </row>
    <row r="391" spans="1:16" s="24" customFormat="1" ht="30" customHeight="1" x14ac:dyDescent="0.2">
      <c r="B391" s="931"/>
      <c r="C391" s="917" t="s">
        <v>511</v>
      </c>
      <c r="D391" s="918"/>
      <c r="E391" s="82" t="s">
        <v>376</v>
      </c>
      <c r="F391" s="82"/>
      <c r="G391" s="82"/>
      <c r="H391" s="83"/>
      <c r="I391" s="936"/>
      <c r="J391" s="916"/>
      <c r="K391" s="36" t="s">
        <v>506</v>
      </c>
      <c r="L391" s="37">
        <v>47</v>
      </c>
      <c r="M391" s="181"/>
      <c r="N391" s="67"/>
      <c r="O391" s="37">
        <v>47</v>
      </c>
      <c r="P391" s="18"/>
    </row>
    <row r="392" spans="1:16" s="24" customFormat="1" ht="30" customHeight="1" x14ac:dyDescent="0.2">
      <c r="B392" s="270" t="s">
        <v>396</v>
      </c>
      <c r="C392" s="919" t="s">
        <v>514</v>
      </c>
      <c r="D392" s="919"/>
      <c r="E392" s="919"/>
      <c r="F392" s="919"/>
      <c r="G392" s="919"/>
      <c r="H392" s="919"/>
      <c r="I392" s="264">
        <v>450</v>
      </c>
      <c r="J392" s="271">
        <v>0.75</v>
      </c>
      <c r="K392" s="36" t="s">
        <v>506</v>
      </c>
      <c r="L392" s="37">
        <v>47</v>
      </c>
      <c r="M392" s="181"/>
      <c r="N392" s="67"/>
      <c r="O392" s="37">
        <v>47</v>
      </c>
      <c r="P392" s="18"/>
    </row>
    <row r="393" spans="1:16" ht="20.100000000000001" customHeight="1" x14ac:dyDescent="0.2">
      <c r="A393" s="24"/>
      <c r="B393" s="62"/>
      <c r="C393" s="192"/>
      <c r="D393" s="192"/>
      <c r="E393" s="192"/>
      <c r="F393" s="192"/>
      <c r="G393" s="192"/>
      <c r="H393" s="192"/>
      <c r="I393" s="64"/>
      <c r="J393" s="65"/>
    </row>
    <row r="394" spans="1:16" ht="30" customHeight="1" x14ac:dyDescent="0.2">
      <c r="A394" s="24"/>
      <c r="B394" s="904" t="s">
        <v>475</v>
      </c>
      <c r="C394" s="905"/>
      <c r="D394" s="905"/>
      <c r="E394" s="905"/>
      <c r="F394" s="905"/>
      <c r="G394" s="905"/>
      <c r="H394" s="906"/>
      <c r="I394" s="34" t="s">
        <v>17</v>
      </c>
      <c r="J394" s="35" t="s">
        <v>18</v>
      </c>
      <c r="K394" s="36" t="s">
        <v>476</v>
      </c>
      <c r="L394" s="37">
        <v>19</v>
      </c>
      <c r="N394" s="46" t="s">
        <v>30</v>
      </c>
      <c r="O394" s="37">
        <v>19</v>
      </c>
    </row>
    <row r="395" spans="1:16" ht="30" customHeight="1" x14ac:dyDescent="0.2">
      <c r="A395" s="24"/>
      <c r="B395" s="949" t="s">
        <v>477</v>
      </c>
      <c r="C395" s="950"/>
      <c r="D395" s="950"/>
      <c r="E395" s="950"/>
      <c r="F395" s="950"/>
      <c r="G395" s="950"/>
      <c r="H395" s="950"/>
      <c r="I395" s="950"/>
      <c r="J395" s="951"/>
      <c r="K395" s="36" t="s">
        <v>476</v>
      </c>
      <c r="L395" s="37">
        <v>19</v>
      </c>
      <c r="O395" s="37">
        <v>19</v>
      </c>
    </row>
    <row r="396" spans="1:16" ht="165.75" customHeight="1" x14ac:dyDescent="0.2">
      <c r="A396" s="24"/>
      <c r="B396" s="96"/>
      <c r="C396" s="901" t="s">
        <v>835</v>
      </c>
      <c r="D396" s="902"/>
      <c r="E396" s="902"/>
      <c r="F396" s="902"/>
      <c r="G396" s="902"/>
      <c r="H396" s="903"/>
      <c r="I396" s="246" t="s">
        <v>256</v>
      </c>
      <c r="J396" s="75" t="s">
        <v>256</v>
      </c>
      <c r="K396" s="36" t="s">
        <v>476</v>
      </c>
      <c r="L396" s="37">
        <v>19</v>
      </c>
      <c r="O396" s="37">
        <v>19</v>
      </c>
    </row>
    <row r="397" spans="1:16" ht="20.100000000000001" customHeight="1" x14ac:dyDescent="0.2">
      <c r="A397" s="24"/>
      <c r="B397" s="76"/>
      <c r="C397" s="85"/>
      <c r="D397" s="85"/>
      <c r="E397" s="85"/>
      <c r="F397" s="85"/>
      <c r="G397" s="85"/>
      <c r="H397" s="85"/>
      <c r="I397" s="247"/>
      <c r="J397" s="248"/>
    </row>
    <row r="398" spans="1:16" ht="30" customHeight="1" x14ac:dyDescent="0.2">
      <c r="A398" s="24"/>
      <c r="B398" s="1001" t="s">
        <v>836</v>
      </c>
      <c r="C398" s="1553"/>
      <c r="D398" s="1553"/>
      <c r="E398" s="1553"/>
      <c r="F398" s="1553"/>
      <c r="G398" s="1553"/>
      <c r="H398" s="1554"/>
      <c r="I398" s="34" t="s">
        <v>17</v>
      </c>
      <c r="J398" s="35" t="s">
        <v>18</v>
      </c>
      <c r="N398" s="46" t="s">
        <v>30</v>
      </c>
    </row>
    <row r="399" spans="1:16" ht="298.5" customHeight="1" x14ac:dyDescent="0.2">
      <c r="A399" s="24"/>
      <c r="B399" s="1004" t="s">
        <v>480</v>
      </c>
      <c r="C399" s="1006" t="s">
        <v>481</v>
      </c>
      <c r="D399" s="1007"/>
      <c r="E399" s="1007"/>
      <c r="F399" s="1007"/>
      <c r="G399" s="1007"/>
      <c r="H399" s="1008"/>
      <c r="I399" s="1009" t="s">
        <v>482</v>
      </c>
      <c r="J399" s="915">
        <v>0.8</v>
      </c>
    </row>
    <row r="400" spans="1:16" ht="134.25" customHeight="1" x14ac:dyDescent="0.2">
      <c r="A400" s="24"/>
      <c r="B400" s="1005"/>
      <c r="C400" s="1011" t="s">
        <v>483</v>
      </c>
      <c r="D400" s="1012"/>
      <c r="E400" s="1012"/>
      <c r="F400" s="1012"/>
      <c r="G400" s="1012"/>
      <c r="H400" s="1013"/>
      <c r="I400" s="1010"/>
      <c r="J400" s="916"/>
    </row>
    <row r="401" spans="1:14" ht="20.100000000000001" customHeight="1" x14ac:dyDescent="0.2">
      <c r="A401" s="24"/>
      <c r="B401" s="76"/>
      <c r="C401" s="85"/>
      <c r="D401" s="85"/>
      <c r="E401" s="85"/>
      <c r="F401" s="85"/>
      <c r="G401" s="85"/>
      <c r="H401" s="85"/>
      <c r="I401" s="247"/>
      <c r="J401" s="248"/>
    </row>
    <row r="402" spans="1:14" ht="30" customHeight="1" x14ac:dyDescent="0.2">
      <c r="A402" s="24"/>
      <c r="B402" s="995" t="s">
        <v>484</v>
      </c>
      <c r="C402" s="996"/>
      <c r="D402" s="996"/>
      <c r="E402" s="996"/>
      <c r="F402" s="996"/>
      <c r="G402" s="996"/>
      <c r="H402" s="997"/>
      <c r="I402" s="34" t="s">
        <v>17</v>
      </c>
      <c r="J402" s="35" t="s">
        <v>18</v>
      </c>
      <c r="N402" s="46" t="s">
        <v>30</v>
      </c>
    </row>
    <row r="403" spans="1:14" ht="54.95" customHeight="1" x14ac:dyDescent="0.2">
      <c r="A403" s="24"/>
      <c r="B403" s="60" t="s">
        <v>485</v>
      </c>
      <c r="C403" s="998" t="s">
        <v>486</v>
      </c>
      <c r="D403" s="999"/>
      <c r="E403" s="999"/>
      <c r="F403" s="999"/>
      <c r="G403" s="999"/>
      <c r="H403" s="1000"/>
      <c r="I403" s="249" t="s">
        <v>253</v>
      </c>
      <c r="J403" s="42" t="s">
        <v>253</v>
      </c>
    </row>
    <row r="404" spans="1:14" ht="20.100000000000001" customHeight="1" x14ac:dyDescent="0.2">
      <c r="A404" s="24"/>
      <c r="B404" s="76"/>
      <c r="C404" s="85"/>
      <c r="D404" s="85"/>
      <c r="E404" s="85"/>
      <c r="F404" s="85"/>
      <c r="G404" s="85"/>
      <c r="H404" s="85"/>
      <c r="I404" s="247"/>
      <c r="J404" s="248"/>
    </row>
    <row r="405" spans="1:14" ht="30" customHeight="1" x14ac:dyDescent="0.2">
      <c r="A405" s="24"/>
      <c r="B405" s="855" t="s">
        <v>489</v>
      </c>
      <c r="C405" s="856"/>
      <c r="D405" s="856"/>
      <c r="E405" s="856"/>
      <c r="F405" s="856"/>
      <c r="G405" s="856"/>
      <c r="H405" s="856"/>
      <c r="I405" s="856"/>
      <c r="J405" s="857"/>
      <c r="N405" s="46" t="s">
        <v>30</v>
      </c>
    </row>
    <row r="406" spans="1:14" ht="51.75" customHeight="1" x14ac:dyDescent="0.2">
      <c r="A406" s="24"/>
      <c r="B406" s="901" t="s">
        <v>671</v>
      </c>
      <c r="C406" s="902"/>
      <c r="D406" s="902"/>
      <c r="E406" s="902"/>
      <c r="F406" s="902"/>
      <c r="G406" s="902"/>
      <c r="H406" s="902"/>
      <c r="I406" s="902"/>
      <c r="J406" s="903"/>
    </row>
    <row r="407" spans="1:14" ht="20.100000000000001" customHeight="1" x14ac:dyDescent="0.2">
      <c r="A407" s="24"/>
      <c r="B407" s="192"/>
      <c r="C407" s="192"/>
      <c r="D407" s="192"/>
      <c r="E407" s="192"/>
      <c r="F407" s="192"/>
      <c r="G407" s="192"/>
      <c r="H407" s="192"/>
      <c r="I407" s="192"/>
      <c r="J407" s="200"/>
    </row>
    <row r="408" spans="1:14" ht="30" customHeight="1" x14ac:dyDescent="0.2">
      <c r="A408" s="24"/>
      <c r="B408" s="855" t="s">
        <v>491</v>
      </c>
      <c r="C408" s="856"/>
      <c r="D408" s="856"/>
      <c r="E408" s="856"/>
      <c r="F408" s="856"/>
      <c r="G408" s="856"/>
      <c r="H408" s="856"/>
      <c r="I408" s="856"/>
      <c r="J408" s="857"/>
      <c r="N408" s="46" t="s">
        <v>30</v>
      </c>
    </row>
    <row r="409" spans="1:14" ht="41.25" customHeight="1" x14ac:dyDescent="0.2">
      <c r="A409" s="24"/>
      <c r="B409" s="901" t="s">
        <v>672</v>
      </c>
      <c r="C409" s="902"/>
      <c r="D409" s="902"/>
      <c r="E409" s="902"/>
      <c r="F409" s="902"/>
      <c r="G409" s="902"/>
      <c r="H409" s="902"/>
      <c r="I409" s="902"/>
      <c r="J409" s="903"/>
    </row>
    <row r="410" spans="1:14" ht="20.100000000000001" customHeight="1" x14ac:dyDescent="0.2">
      <c r="A410" s="24"/>
      <c r="B410" s="192"/>
      <c r="C410" s="192"/>
      <c r="D410" s="192"/>
      <c r="E410" s="192"/>
      <c r="F410" s="192"/>
      <c r="G410" s="192"/>
      <c r="H410" s="192"/>
      <c r="I410" s="192"/>
      <c r="J410" s="200"/>
    </row>
    <row r="411" spans="1:14" ht="30" customHeight="1" x14ac:dyDescent="0.2">
      <c r="A411" s="24"/>
      <c r="B411" s="855" t="s">
        <v>493</v>
      </c>
      <c r="C411" s="856"/>
      <c r="D411" s="856"/>
      <c r="E411" s="856"/>
      <c r="F411" s="856"/>
      <c r="G411" s="856"/>
      <c r="H411" s="856"/>
      <c r="I411" s="856"/>
      <c r="J411" s="857"/>
      <c r="N411" s="46" t="s">
        <v>30</v>
      </c>
    </row>
    <row r="412" spans="1:14" ht="42" customHeight="1" x14ac:dyDescent="0.2">
      <c r="A412" s="24"/>
      <c r="B412" s="901" t="s">
        <v>494</v>
      </c>
      <c r="C412" s="902"/>
      <c r="D412" s="902"/>
      <c r="E412" s="902"/>
      <c r="F412" s="902"/>
      <c r="G412" s="902"/>
      <c r="H412" s="902"/>
      <c r="I412" s="902"/>
      <c r="J412" s="903"/>
    </row>
    <row r="413" spans="1:14" ht="20.100000000000001" customHeight="1" x14ac:dyDescent="0.2">
      <c r="A413" s="24"/>
      <c r="B413" s="85"/>
      <c r="C413" s="85"/>
      <c r="D413" s="85"/>
      <c r="E413" s="85"/>
      <c r="F413" s="85"/>
      <c r="G413" s="85"/>
      <c r="H413" s="85"/>
      <c r="I413" s="85"/>
      <c r="J413" s="253"/>
    </row>
    <row r="414" spans="1:14" ht="30" customHeight="1" x14ac:dyDescent="0.2">
      <c r="A414" s="24"/>
      <c r="B414" s="904" t="s">
        <v>495</v>
      </c>
      <c r="C414" s="905"/>
      <c r="D414" s="905"/>
      <c r="E414" s="905"/>
      <c r="F414" s="905"/>
      <c r="G414" s="905"/>
      <c r="H414" s="906"/>
      <c r="I414" s="254" t="s">
        <v>496</v>
      </c>
      <c r="J414" s="255" t="s">
        <v>251</v>
      </c>
      <c r="N414" s="46" t="s">
        <v>30</v>
      </c>
    </row>
    <row r="415" spans="1:14" ht="51" customHeight="1" x14ac:dyDescent="0.2">
      <c r="A415" s="24"/>
      <c r="B415" s="991" t="s">
        <v>497</v>
      </c>
      <c r="C415" s="992"/>
      <c r="D415" s="992"/>
      <c r="E415" s="992"/>
      <c r="F415" s="992"/>
      <c r="G415" s="992"/>
      <c r="H415" s="992"/>
      <c r="I415" s="992"/>
      <c r="J415" s="993"/>
    </row>
    <row r="416" spans="1:14" ht="33.75" customHeight="1" x14ac:dyDescent="0.2">
      <c r="A416" s="24"/>
      <c r="B416" s="994" t="s">
        <v>328</v>
      </c>
      <c r="C416" s="901" t="s">
        <v>498</v>
      </c>
      <c r="D416" s="902"/>
      <c r="E416" s="902"/>
      <c r="F416" s="902"/>
      <c r="G416" s="902"/>
      <c r="H416" s="902"/>
      <c r="I416" s="902"/>
      <c r="J416" s="903"/>
    </row>
    <row r="417" spans="1:14" ht="201" customHeight="1" x14ac:dyDescent="0.2">
      <c r="A417" s="24"/>
      <c r="B417" s="994"/>
      <c r="C417" s="901" t="s">
        <v>837</v>
      </c>
      <c r="D417" s="902"/>
      <c r="E417" s="902"/>
      <c r="F417" s="902"/>
      <c r="G417" s="902"/>
      <c r="H417" s="903"/>
      <c r="I417" s="256">
        <v>0</v>
      </c>
      <c r="J417" s="257">
        <v>1</v>
      </c>
    </row>
    <row r="418" spans="1:14" ht="30" customHeight="1" x14ac:dyDescent="0.2">
      <c r="A418" s="24"/>
      <c r="B418" s="994"/>
      <c r="C418" s="991" t="s">
        <v>500</v>
      </c>
      <c r="D418" s="992"/>
      <c r="E418" s="992"/>
      <c r="F418" s="992"/>
      <c r="G418" s="992"/>
      <c r="H418" s="993"/>
      <c r="I418" s="258" t="s">
        <v>501</v>
      </c>
      <c r="J418" s="257" t="s">
        <v>501</v>
      </c>
    </row>
    <row r="419" spans="1:14" ht="20.100000000000001" customHeight="1" x14ac:dyDescent="0.2">
      <c r="A419" s="24"/>
      <c r="B419" s="85"/>
      <c r="C419" s="85"/>
      <c r="D419" s="85"/>
      <c r="E419" s="85"/>
      <c r="F419" s="85"/>
      <c r="G419" s="85"/>
      <c r="H419" s="85"/>
      <c r="I419" s="85"/>
      <c r="J419" s="253"/>
    </row>
    <row r="420" spans="1:14" ht="30" customHeight="1" x14ac:dyDescent="0.2">
      <c r="A420" s="24"/>
      <c r="B420" s="855" t="s">
        <v>517</v>
      </c>
      <c r="C420" s="856"/>
      <c r="D420" s="856"/>
      <c r="E420" s="856"/>
      <c r="F420" s="856"/>
      <c r="G420" s="856"/>
      <c r="H420" s="856"/>
      <c r="I420" s="856"/>
      <c r="J420" s="857"/>
      <c r="N420" s="46" t="s">
        <v>30</v>
      </c>
    </row>
    <row r="421" spans="1:14" ht="30" customHeight="1" x14ac:dyDescent="0.2">
      <c r="A421" s="24"/>
      <c r="B421" s="273" t="s">
        <v>518</v>
      </c>
      <c r="C421" s="274"/>
      <c r="D421" s="274"/>
      <c r="E421" s="274"/>
      <c r="F421" s="274"/>
      <c r="G421" s="274"/>
      <c r="H421" s="274"/>
      <c r="I421" s="275"/>
      <c r="J421" s="276"/>
    </row>
    <row r="422" spans="1:14" ht="69.95" customHeight="1" x14ac:dyDescent="0.2">
      <c r="A422" s="24"/>
      <c r="B422" s="1116" t="s">
        <v>838</v>
      </c>
      <c r="C422" s="1034"/>
      <c r="D422" s="1034"/>
      <c r="E422" s="1034"/>
      <c r="F422" s="1034"/>
      <c r="G422" s="1034"/>
      <c r="H422" s="1034"/>
      <c r="I422" s="1034"/>
      <c r="J422" s="1035"/>
    </row>
    <row r="423" spans="1:14" ht="20.100000000000001" customHeight="1" x14ac:dyDescent="0.2">
      <c r="A423" s="24"/>
      <c r="B423" s="192"/>
      <c r="C423" s="47"/>
      <c r="D423" s="47"/>
      <c r="E423" s="47"/>
      <c r="F423" s="47"/>
      <c r="G423" s="47"/>
      <c r="H423" s="47"/>
      <c r="I423" s="64"/>
      <c r="J423" s="65"/>
    </row>
    <row r="424" spans="1:14" ht="30" customHeight="1" x14ac:dyDescent="0.2">
      <c r="A424" s="24"/>
      <c r="B424" s="855" t="s">
        <v>839</v>
      </c>
      <c r="C424" s="856"/>
      <c r="D424" s="856"/>
      <c r="E424" s="856"/>
      <c r="F424" s="856"/>
      <c r="G424" s="856"/>
      <c r="H424" s="856"/>
      <c r="I424" s="856"/>
      <c r="J424" s="857"/>
      <c r="N424" s="46" t="s">
        <v>30</v>
      </c>
    </row>
    <row r="425" spans="1:14" ht="20.100000000000001" customHeight="1" x14ac:dyDescent="0.2">
      <c r="A425" s="24"/>
    </row>
    <row r="426" spans="1:14" ht="30" customHeight="1" x14ac:dyDescent="0.2">
      <c r="A426" s="24"/>
      <c r="B426" s="904" t="s">
        <v>810</v>
      </c>
      <c r="C426" s="905"/>
      <c r="D426" s="905"/>
      <c r="E426" s="905"/>
      <c r="F426" s="905"/>
      <c r="G426" s="905"/>
      <c r="H426" s="905"/>
      <c r="I426" s="905"/>
      <c r="J426" s="906"/>
      <c r="N426" s="46" t="s">
        <v>30</v>
      </c>
    </row>
    <row r="427" spans="1:14" ht="20.100000000000001" customHeight="1" x14ac:dyDescent="0.2">
      <c r="A427" s="24"/>
      <c r="B427" s="277"/>
    </row>
    <row r="428" spans="1:14" ht="24.95" customHeight="1" x14ac:dyDescent="0.2">
      <c r="A428" s="24"/>
      <c r="B428" s="907" t="s">
        <v>523</v>
      </c>
      <c r="C428" s="908"/>
      <c r="D428" s="909"/>
      <c r="E428" s="907" t="s">
        <v>524</v>
      </c>
      <c r="F428" s="909"/>
    </row>
    <row r="429" spans="1:14" ht="24.95" customHeight="1" x14ac:dyDescent="0.2">
      <c r="A429" s="24"/>
      <c r="B429" s="912" t="s">
        <v>525</v>
      </c>
      <c r="C429" s="913"/>
      <c r="D429" s="1552"/>
      <c r="E429" s="910"/>
      <c r="F429" s="911"/>
      <c r="G429" s="914"/>
      <c r="H429" s="914"/>
      <c r="I429" s="914"/>
      <c r="J429" s="914"/>
    </row>
    <row r="430" spans="1:14" ht="24.95" customHeight="1" x14ac:dyDescent="0.2">
      <c r="A430" s="24"/>
      <c r="B430" s="1549" t="s">
        <v>840</v>
      </c>
      <c r="C430" s="1550"/>
      <c r="D430" s="1551"/>
      <c r="E430" s="1334">
        <v>145.16982859970557</v>
      </c>
      <c r="F430" s="1335"/>
      <c r="G430" s="278"/>
      <c r="H430" s="279"/>
      <c r="I430" s="893"/>
      <c r="J430" s="893"/>
    </row>
    <row r="431" spans="1:14" ht="20.100000000000001" customHeight="1" x14ac:dyDescent="0.2">
      <c r="A431" s="24"/>
      <c r="B431" s="47"/>
      <c r="C431" s="47"/>
      <c r="D431" s="47"/>
      <c r="E431" s="282"/>
      <c r="F431" s="282"/>
      <c r="G431" s="283"/>
      <c r="H431" s="283"/>
      <c r="I431" s="284"/>
      <c r="J431" s="281"/>
    </row>
    <row r="432" spans="1:14" ht="30" customHeight="1" x14ac:dyDescent="0.2">
      <c r="A432" s="24"/>
      <c r="B432" s="855" t="s">
        <v>527</v>
      </c>
      <c r="C432" s="856"/>
      <c r="D432" s="856"/>
      <c r="E432" s="856"/>
      <c r="F432" s="856"/>
      <c r="G432" s="856"/>
      <c r="H432" s="856"/>
      <c r="I432" s="856"/>
      <c r="J432" s="857"/>
      <c r="N432" s="46" t="s">
        <v>30</v>
      </c>
    </row>
    <row r="433" spans="1:14" ht="20.100000000000001" customHeight="1" x14ac:dyDescent="0.2">
      <c r="A433" s="24"/>
    </row>
    <row r="434" spans="1:14" ht="30" customHeight="1" x14ac:dyDescent="0.2">
      <c r="A434" s="24"/>
      <c r="B434" s="855" t="s">
        <v>841</v>
      </c>
      <c r="C434" s="856"/>
      <c r="D434" s="856"/>
      <c r="E434" s="856"/>
      <c r="F434" s="856"/>
      <c r="G434" s="856"/>
      <c r="H434" s="856"/>
      <c r="I434" s="856"/>
      <c r="J434" s="857"/>
      <c r="N434" s="46" t="s">
        <v>30</v>
      </c>
    </row>
    <row r="435" spans="1:14" ht="20.100000000000001" customHeight="1" x14ac:dyDescent="0.2">
      <c r="A435" s="24"/>
    </row>
    <row r="436" spans="1:14" ht="24.95" customHeight="1" x14ac:dyDescent="0.2">
      <c r="A436" s="24"/>
      <c r="B436" s="882" t="s">
        <v>529</v>
      </c>
      <c r="C436" s="883"/>
      <c r="D436" s="884"/>
      <c r="E436" s="881" t="s">
        <v>530</v>
      </c>
      <c r="F436" s="881"/>
      <c r="G436" s="285" t="s">
        <v>531</v>
      </c>
      <c r="H436" s="881" t="s">
        <v>532</v>
      </c>
      <c r="I436" s="881"/>
      <c r="J436" s="881"/>
    </row>
    <row r="437" spans="1:14" ht="24.95" customHeight="1" x14ac:dyDescent="0.2">
      <c r="A437" s="24"/>
      <c r="B437" s="286" t="s">
        <v>533</v>
      </c>
      <c r="C437" s="287">
        <v>0.75</v>
      </c>
      <c r="D437" s="288"/>
      <c r="E437" s="878" t="s">
        <v>534</v>
      </c>
      <c r="F437" s="878"/>
      <c r="G437" s="289" t="s">
        <v>534</v>
      </c>
      <c r="H437" s="878" t="s">
        <v>534</v>
      </c>
      <c r="I437" s="878"/>
      <c r="J437" s="878"/>
    </row>
    <row r="438" spans="1:14" ht="24.95" customHeight="1" x14ac:dyDescent="0.2">
      <c r="A438" s="24"/>
      <c r="B438" s="290">
        <v>0.75</v>
      </c>
      <c r="C438" s="291" t="s">
        <v>535</v>
      </c>
      <c r="D438" s="288"/>
      <c r="E438" s="878" t="s">
        <v>536</v>
      </c>
      <c r="F438" s="878"/>
      <c r="G438" s="289" t="s">
        <v>534</v>
      </c>
      <c r="H438" s="292" t="s">
        <v>537</v>
      </c>
      <c r="I438" s="293">
        <v>0.75</v>
      </c>
      <c r="J438" s="294"/>
    </row>
    <row r="439" spans="1:14" ht="24.95" customHeight="1" x14ac:dyDescent="0.2">
      <c r="A439" s="24"/>
      <c r="B439" s="1511" t="s">
        <v>538</v>
      </c>
      <c r="C439" s="1512"/>
      <c r="D439" s="1513"/>
      <c r="E439" s="878" t="s">
        <v>536</v>
      </c>
      <c r="F439" s="878"/>
      <c r="G439" s="289" t="s">
        <v>539</v>
      </c>
      <c r="H439" s="292" t="s">
        <v>540</v>
      </c>
      <c r="I439" s="293">
        <v>0.75</v>
      </c>
      <c r="J439" s="295" t="s">
        <v>541</v>
      </c>
    </row>
    <row r="440" spans="1:14" ht="24.95" customHeight="1" x14ac:dyDescent="0.2">
      <c r="A440" s="24"/>
      <c r="B440" s="1511" t="s">
        <v>542</v>
      </c>
      <c r="C440" s="1512"/>
      <c r="D440" s="1513"/>
      <c r="E440" s="878" t="s">
        <v>536</v>
      </c>
      <c r="F440" s="878"/>
      <c r="G440" s="289" t="s">
        <v>543</v>
      </c>
      <c r="H440" s="292" t="s">
        <v>540</v>
      </c>
      <c r="I440" s="293">
        <v>0.75</v>
      </c>
      <c r="J440" s="295" t="s">
        <v>544</v>
      </c>
    </row>
    <row r="441" spans="1:14" ht="20.100000000000001" customHeight="1" x14ac:dyDescent="0.2">
      <c r="A441" s="24"/>
      <c r="B441" s="505"/>
      <c r="C441" s="506"/>
      <c r="D441" s="506"/>
      <c r="E441" s="507"/>
      <c r="F441" s="507"/>
      <c r="G441" s="507"/>
      <c r="H441" s="507"/>
      <c r="I441" s="508"/>
      <c r="J441" s="509"/>
      <c r="N441" s="46" t="s">
        <v>30</v>
      </c>
    </row>
    <row r="442" spans="1:14" ht="135" customHeight="1" x14ac:dyDescent="0.2">
      <c r="A442" s="24"/>
      <c r="B442" s="920" t="s">
        <v>751</v>
      </c>
      <c r="C442" s="921"/>
      <c r="D442" s="921"/>
      <c r="E442" s="921"/>
      <c r="F442" s="921"/>
      <c r="G442" s="921"/>
      <c r="H442" s="921"/>
      <c r="I442" s="921"/>
      <c r="J442" s="922"/>
    </row>
    <row r="443" spans="1:14" ht="35.1" customHeight="1" x14ac:dyDescent="0.2">
      <c r="A443" s="24"/>
      <c r="B443" s="298" t="s">
        <v>546</v>
      </c>
      <c r="C443" s="299"/>
      <c r="D443" s="299"/>
      <c r="E443" s="300"/>
      <c r="F443" s="300"/>
      <c r="G443" s="300"/>
      <c r="H443" s="300"/>
      <c r="I443" s="301"/>
      <c r="J443" s="302"/>
      <c r="N443" s="46" t="s">
        <v>30</v>
      </c>
    </row>
    <row r="444" spans="1:14" ht="50.1" customHeight="1" x14ac:dyDescent="0.2">
      <c r="A444" s="24"/>
      <c r="B444" s="303"/>
      <c r="C444" s="304"/>
      <c r="D444" s="161"/>
      <c r="E444" s="305" t="s">
        <v>547</v>
      </c>
      <c r="F444" s="306" t="s">
        <v>548</v>
      </c>
      <c r="G444" s="307"/>
      <c r="H444" s="308"/>
      <c r="I444" s="284"/>
      <c r="J444" s="309"/>
    </row>
    <row r="445" spans="1:14" ht="110.1" customHeight="1" x14ac:dyDescent="0.2">
      <c r="A445" s="24"/>
      <c r="B445" s="130"/>
      <c r="C445" s="131"/>
      <c r="D445" s="870" t="s">
        <v>549</v>
      </c>
      <c r="E445" s="870"/>
      <c r="F445" s="870"/>
      <c r="G445" s="870"/>
      <c r="H445" s="870"/>
      <c r="I445" s="870"/>
      <c r="J445" s="871"/>
    </row>
    <row r="446" spans="1:14" ht="20.100000000000001" customHeight="1" x14ac:dyDescent="0.2">
      <c r="A446" s="24"/>
    </row>
    <row r="447" spans="1:14" ht="30" customHeight="1" x14ac:dyDescent="0.2">
      <c r="A447" s="24"/>
      <c r="B447" s="855" t="s">
        <v>842</v>
      </c>
      <c r="C447" s="856"/>
      <c r="D447" s="856"/>
      <c r="E447" s="856"/>
      <c r="F447" s="856"/>
      <c r="G447" s="856"/>
      <c r="H447" s="856"/>
      <c r="I447" s="856"/>
      <c r="J447" s="857"/>
      <c r="N447" s="46" t="s">
        <v>30</v>
      </c>
    </row>
    <row r="448" spans="1:14" ht="30" customHeight="1" x14ac:dyDescent="0.2">
      <c r="A448" s="24"/>
      <c r="B448" s="872" t="s">
        <v>843</v>
      </c>
      <c r="C448" s="873"/>
      <c r="D448" s="873"/>
      <c r="E448" s="873"/>
      <c r="F448" s="873"/>
      <c r="G448" s="873"/>
      <c r="H448" s="873"/>
      <c r="I448" s="873"/>
      <c r="J448" s="874"/>
    </row>
    <row r="449" spans="1:14" ht="54.95" customHeight="1" x14ac:dyDescent="0.2">
      <c r="A449" s="24"/>
      <c r="B449" s="872" t="s">
        <v>844</v>
      </c>
      <c r="C449" s="873"/>
      <c r="D449" s="873"/>
      <c r="E449" s="873"/>
      <c r="F449" s="873"/>
      <c r="G449" s="873"/>
      <c r="H449" s="873"/>
      <c r="I449" s="873"/>
      <c r="J449" s="874"/>
    </row>
    <row r="450" spans="1:14" ht="54.95" customHeight="1" x14ac:dyDescent="0.2">
      <c r="A450" s="24"/>
      <c r="B450" s="875" t="s">
        <v>845</v>
      </c>
      <c r="C450" s="876"/>
      <c r="D450" s="876"/>
      <c r="E450" s="876"/>
      <c r="F450" s="876"/>
      <c r="G450" s="876"/>
      <c r="H450" s="876"/>
      <c r="I450" s="876"/>
      <c r="J450" s="877"/>
      <c r="N450" s="46" t="s">
        <v>30</v>
      </c>
    </row>
    <row r="451" spans="1:14" ht="90" customHeight="1" x14ac:dyDescent="0.2">
      <c r="A451" s="24"/>
      <c r="B451" s="872" t="s">
        <v>846</v>
      </c>
      <c r="C451" s="873"/>
      <c r="D451" s="873"/>
      <c r="E451" s="873"/>
      <c r="F451" s="873"/>
      <c r="G451" s="873"/>
      <c r="H451" s="873"/>
      <c r="I451" s="873"/>
      <c r="J451" s="874"/>
      <c r="N451" s="46" t="s">
        <v>30</v>
      </c>
    </row>
    <row r="452" spans="1:14" ht="20.100000000000001" customHeight="1" x14ac:dyDescent="0.2">
      <c r="A452" s="24"/>
      <c r="B452" s="311"/>
      <c r="C452" s="312"/>
      <c r="D452" s="312"/>
      <c r="E452" s="312"/>
      <c r="F452" s="312"/>
      <c r="G452" s="312"/>
      <c r="H452" s="312"/>
      <c r="I452" s="312"/>
      <c r="J452" s="313"/>
    </row>
    <row r="453" spans="1:14" ht="30" customHeight="1" x14ac:dyDescent="0.2">
      <c r="A453" s="24"/>
      <c r="B453" s="855" t="s">
        <v>847</v>
      </c>
      <c r="C453" s="856"/>
      <c r="D453" s="856"/>
      <c r="E453" s="856"/>
      <c r="F453" s="856"/>
      <c r="G453" s="856"/>
      <c r="H453" s="856"/>
      <c r="I453" s="856"/>
      <c r="J453" s="857"/>
      <c r="N453" s="46" t="s">
        <v>30</v>
      </c>
    </row>
    <row r="454" spans="1:14" ht="20.100000000000001" customHeight="1" x14ac:dyDescent="0.2">
      <c r="A454" s="24"/>
      <c r="B454" s="314"/>
      <c r="C454" s="314"/>
      <c r="D454" s="314"/>
      <c r="E454" s="314"/>
      <c r="F454" s="314"/>
      <c r="G454" s="314"/>
      <c r="H454" s="314"/>
      <c r="I454" s="315"/>
      <c r="J454" s="316"/>
    </row>
    <row r="455" spans="1:14" ht="30" customHeight="1" x14ac:dyDescent="0.2">
      <c r="A455" s="24"/>
      <c r="B455" s="855" t="s">
        <v>848</v>
      </c>
      <c r="C455" s="856"/>
      <c r="D455" s="856"/>
      <c r="E455" s="856"/>
      <c r="F455" s="856"/>
      <c r="G455" s="856"/>
      <c r="H455" s="856"/>
      <c r="I455" s="856"/>
      <c r="J455" s="857"/>
      <c r="N455" s="46" t="s">
        <v>30</v>
      </c>
    </row>
    <row r="456" spans="1:14" ht="12" customHeight="1" x14ac:dyDescent="0.2">
      <c r="A456" s="24"/>
      <c r="B456" s="314"/>
      <c r="C456" s="314"/>
      <c r="D456" s="314"/>
      <c r="E456" s="314"/>
      <c r="F456" s="314"/>
      <c r="G456" s="314"/>
      <c r="H456" s="314"/>
      <c r="I456" s="315"/>
      <c r="J456" s="316"/>
    </row>
    <row r="457" spans="1:14" ht="24.95" customHeight="1" x14ac:dyDescent="0.2">
      <c r="A457" s="24"/>
      <c r="B457" s="858" t="s">
        <v>849</v>
      </c>
      <c r="C457" s="859"/>
      <c r="D457" s="859"/>
      <c r="E457" s="859"/>
      <c r="F457" s="859"/>
      <c r="G457" s="859"/>
      <c r="H457" s="859"/>
      <c r="I457" s="859"/>
      <c r="J457" s="860"/>
    </row>
    <row r="458" spans="1:14" ht="24.95" customHeight="1" x14ac:dyDescent="0.2">
      <c r="A458" s="24"/>
      <c r="B458" s="861" t="s">
        <v>850</v>
      </c>
      <c r="C458" s="862"/>
      <c r="D458" s="862"/>
      <c r="E458" s="862"/>
      <c r="F458" s="862"/>
      <c r="G458" s="862"/>
      <c r="H458" s="862"/>
      <c r="I458" s="862"/>
      <c r="J458" s="863"/>
    </row>
    <row r="459" spans="1:14" ht="12" customHeight="1" x14ac:dyDescent="0.2">
      <c r="A459" s="24"/>
      <c r="B459" s="304"/>
      <c r="C459" s="304"/>
      <c r="D459" s="314"/>
      <c r="E459" s="314"/>
      <c r="F459" s="314"/>
      <c r="G459" s="314"/>
      <c r="H459" s="314"/>
      <c r="I459" s="315"/>
      <c r="J459" s="316"/>
    </row>
    <row r="460" spans="1:14" ht="30" customHeight="1" x14ac:dyDescent="0.2">
      <c r="A460" s="24"/>
      <c r="B460" s="855" t="s">
        <v>851</v>
      </c>
      <c r="C460" s="856"/>
      <c r="D460" s="856"/>
      <c r="E460" s="856"/>
      <c r="F460" s="856"/>
      <c r="G460" s="856"/>
      <c r="H460" s="856"/>
      <c r="I460" s="856"/>
      <c r="J460" s="857"/>
      <c r="N460" s="46" t="s">
        <v>30</v>
      </c>
    </row>
    <row r="461" spans="1:14" ht="12" customHeight="1" x14ac:dyDescent="0.2">
      <c r="A461" s="24"/>
      <c r="B461" s="314"/>
      <c r="C461" s="314"/>
      <c r="D461" s="314"/>
      <c r="E461" s="314"/>
      <c r="F461" s="314"/>
      <c r="G461" s="314"/>
      <c r="H461" s="314"/>
      <c r="I461" s="314"/>
      <c r="J461" s="316"/>
    </row>
    <row r="462" spans="1:14" ht="24.95" customHeight="1" x14ac:dyDescent="0.2">
      <c r="A462" s="24"/>
      <c r="B462" s="864" t="s">
        <v>559</v>
      </c>
      <c r="C462" s="865"/>
      <c r="D462" s="865"/>
      <c r="E462" s="865"/>
      <c r="F462" s="865"/>
      <c r="G462" s="865"/>
      <c r="H462" s="865"/>
      <c r="I462" s="865"/>
      <c r="J462" s="866"/>
    </row>
    <row r="463" spans="1:14" ht="12" customHeight="1" x14ac:dyDescent="0.2">
      <c r="A463" s="24"/>
      <c r="B463" s="47"/>
      <c r="C463" s="47"/>
      <c r="D463" s="47"/>
      <c r="E463" s="47"/>
      <c r="F463" s="47"/>
      <c r="G463" s="47"/>
      <c r="H463" s="47"/>
      <c r="I463" s="284"/>
      <c r="J463" s="281"/>
    </row>
    <row r="464" spans="1:14" ht="84.95" customHeight="1" x14ac:dyDescent="0.2">
      <c r="A464" s="24"/>
      <c r="B464" s="867" t="s">
        <v>560</v>
      </c>
      <c r="C464" s="868"/>
      <c r="D464" s="868"/>
      <c r="E464" s="868"/>
      <c r="F464" s="868"/>
      <c r="G464" s="868"/>
      <c r="H464" s="868"/>
      <c r="I464" s="868"/>
      <c r="J464" s="869"/>
    </row>
  </sheetData>
  <mergeCells count="866">
    <mergeCell ref="B1:J1"/>
    <mergeCell ref="B2:J2"/>
    <mergeCell ref="B4:J4"/>
    <mergeCell ref="B5:D5"/>
    <mergeCell ref="E5:J5"/>
    <mergeCell ref="B6:D6"/>
    <mergeCell ref="E6:J6"/>
    <mergeCell ref="B11:J11"/>
    <mergeCell ref="B12:J12"/>
    <mergeCell ref="B14:J14"/>
    <mergeCell ref="B15:J15"/>
    <mergeCell ref="B17:J17"/>
    <mergeCell ref="I19:J19"/>
    <mergeCell ref="B7:D7"/>
    <mergeCell ref="E7:F7"/>
    <mergeCell ref="H7:I7"/>
    <mergeCell ref="B8:D8"/>
    <mergeCell ref="E8:F8"/>
    <mergeCell ref="B9:J9"/>
    <mergeCell ref="I20:J20"/>
    <mergeCell ref="B22:J22"/>
    <mergeCell ref="B24:H24"/>
    <mergeCell ref="B25:J25"/>
    <mergeCell ref="C26:H26"/>
    <mergeCell ref="B27:B30"/>
    <mergeCell ref="C27:D27"/>
    <mergeCell ref="E27:F27"/>
    <mergeCell ref="G27:H27"/>
    <mergeCell ref="I27:I30"/>
    <mergeCell ref="I31:I41"/>
    <mergeCell ref="J31:J41"/>
    <mergeCell ref="C32:D32"/>
    <mergeCell ref="E32:F32"/>
    <mergeCell ref="G32:H32"/>
    <mergeCell ref="C33:D33"/>
    <mergeCell ref="J27:J30"/>
    <mergeCell ref="C28:D28"/>
    <mergeCell ref="E28:F28"/>
    <mergeCell ref="G28:H28"/>
    <mergeCell ref="C29:D29"/>
    <mergeCell ref="E29:F29"/>
    <mergeCell ref="G29:H29"/>
    <mergeCell ref="C30:D30"/>
    <mergeCell ref="E30:F30"/>
    <mergeCell ref="G30:H30"/>
    <mergeCell ref="C36:D36"/>
    <mergeCell ref="E36:F36"/>
    <mergeCell ref="G36:H36"/>
    <mergeCell ref="C37:D37"/>
    <mergeCell ref="E37:F37"/>
    <mergeCell ref="G37:H37"/>
    <mergeCell ref="E33:F33"/>
    <mergeCell ref="G33:H33"/>
    <mergeCell ref="C34:D34"/>
    <mergeCell ref="E34:F34"/>
    <mergeCell ref="G34:H34"/>
    <mergeCell ref="C35:D35"/>
    <mergeCell ref="E35:F35"/>
    <mergeCell ref="G35:H35"/>
    <mergeCell ref="C40:D40"/>
    <mergeCell ref="C41:H41"/>
    <mergeCell ref="B42:B46"/>
    <mergeCell ref="C42:D42"/>
    <mergeCell ref="E42:F42"/>
    <mergeCell ref="G42:H42"/>
    <mergeCell ref="G45:H45"/>
    <mergeCell ref="C46:D46"/>
    <mergeCell ref="C38:D38"/>
    <mergeCell ref="E38:F38"/>
    <mergeCell ref="G38:H38"/>
    <mergeCell ref="C39:D39"/>
    <mergeCell ref="E39:F39"/>
    <mergeCell ref="G39:H39"/>
    <mergeCell ref="B31:B41"/>
    <mergeCell ref="C31:D31"/>
    <mergeCell ref="E31:F31"/>
    <mergeCell ref="G31:H31"/>
    <mergeCell ref="C47:D47"/>
    <mergeCell ref="E47:F47"/>
    <mergeCell ref="G47:H47"/>
    <mergeCell ref="B48:B52"/>
    <mergeCell ref="C48:D48"/>
    <mergeCell ref="E48:F48"/>
    <mergeCell ref="G48:H48"/>
    <mergeCell ref="I42:I46"/>
    <mergeCell ref="J42:J46"/>
    <mergeCell ref="C43:D43"/>
    <mergeCell ref="E43:F43"/>
    <mergeCell ref="G43:H43"/>
    <mergeCell ref="C44:D44"/>
    <mergeCell ref="E44:F44"/>
    <mergeCell ref="G44:H44"/>
    <mergeCell ref="C45:D45"/>
    <mergeCell ref="E45:F45"/>
    <mergeCell ref="B54:H54"/>
    <mergeCell ref="B55:B56"/>
    <mergeCell ref="C55:H55"/>
    <mergeCell ref="I55:I56"/>
    <mergeCell ref="J55:J56"/>
    <mergeCell ref="C56:H56"/>
    <mergeCell ref="I48:I52"/>
    <mergeCell ref="J48:J52"/>
    <mergeCell ref="C49:D49"/>
    <mergeCell ref="E49:F49"/>
    <mergeCell ref="G49:H49"/>
    <mergeCell ref="C50:D50"/>
    <mergeCell ref="E50:F50"/>
    <mergeCell ref="G50:H50"/>
    <mergeCell ref="C52:H52"/>
    <mergeCell ref="B65:J65"/>
    <mergeCell ref="B66:H66"/>
    <mergeCell ref="A67:J67"/>
    <mergeCell ref="A68:H68"/>
    <mergeCell ref="B69:J69"/>
    <mergeCell ref="B71:H71"/>
    <mergeCell ref="B58:H58"/>
    <mergeCell ref="C59:H59"/>
    <mergeCell ref="C60:H60"/>
    <mergeCell ref="C61:H61"/>
    <mergeCell ref="B63:H63"/>
    <mergeCell ref="B64:J64"/>
    <mergeCell ref="B72:B74"/>
    <mergeCell ref="C72:J72"/>
    <mergeCell ref="C73:H73"/>
    <mergeCell ref="C74:H74"/>
    <mergeCell ref="B76:H76"/>
    <mergeCell ref="B77:B78"/>
    <mergeCell ref="C77:D77"/>
    <mergeCell ref="E77:F77"/>
    <mergeCell ref="G77:H77"/>
    <mergeCell ref="I77:I78"/>
    <mergeCell ref="J77:J78"/>
    <mergeCell ref="C78:D78"/>
    <mergeCell ref="E78:F78"/>
    <mergeCell ref="B79:B80"/>
    <mergeCell ref="C79:D79"/>
    <mergeCell ref="E79:F79"/>
    <mergeCell ref="G79:H79"/>
    <mergeCell ref="I79:I80"/>
    <mergeCell ref="J79:J80"/>
    <mergeCell ref="C80:D80"/>
    <mergeCell ref="J85:J88"/>
    <mergeCell ref="C86:D86"/>
    <mergeCell ref="E86:F86"/>
    <mergeCell ref="G86:H86"/>
    <mergeCell ref="C87:D87"/>
    <mergeCell ref="E87:F87"/>
    <mergeCell ref="G87:H87"/>
    <mergeCell ref="C88:D88"/>
    <mergeCell ref="E80:F80"/>
    <mergeCell ref="G80:H80"/>
    <mergeCell ref="B82:H82"/>
    <mergeCell ref="B83:J83"/>
    <mergeCell ref="B84:J84"/>
    <mergeCell ref="B85:B88"/>
    <mergeCell ref="C85:D85"/>
    <mergeCell ref="E85:F85"/>
    <mergeCell ref="G85:H85"/>
    <mergeCell ref="I85:I88"/>
    <mergeCell ref="C94:D94"/>
    <mergeCell ref="E94:F94"/>
    <mergeCell ref="B95:J95"/>
    <mergeCell ref="B96:J96"/>
    <mergeCell ref="B98:H98"/>
    <mergeCell ref="B99:J99"/>
    <mergeCell ref="E91:F91"/>
    <mergeCell ref="G91:H91"/>
    <mergeCell ref="C92:D92"/>
    <mergeCell ref="E92:F92"/>
    <mergeCell ref="G92:H92"/>
    <mergeCell ref="C93:H93"/>
    <mergeCell ref="B89:B93"/>
    <mergeCell ref="C89:D89"/>
    <mergeCell ref="E89:F89"/>
    <mergeCell ref="G89:H89"/>
    <mergeCell ref="I89:I93"/>
    <mergeCell ref="J89:J93"/>
    <mergeCell ref="C90:D90"/>
    <mergeCell ref="E90:F90"/>
    <mergeCell ref="G90:H90"/>
    <mergeCell ref="C91:D91"/>
    <mergeCell ref="C100:H100"/>
    <mergeCell ref="B101:B106"/>
    <mergeCell ref="C101:D101"/>
    <mergeCell ref="E101:F101"/>
    <mergeCell ref="G101:H101"/>
    <mergeCell ref="I101:I106"/>
    <mergeCell ref="C105:D105"/>
    <mergeCell ref="G105:H105"/>
    <mergeCell ref="C106:D106"/>
    <mergeCell ref="E106:F106"/>
    <mergeCell ref="E111:F111"/>
    <mergeCell ref="G111:H111"/>
    <mergeCell ref="C112:H112"/>
    <mergeCell ref="J101:J106"/>
    <mergeCell ref="C102:D102"/>
    <mergeCell ref="E102:F102"/>
    <mergeCell ref="G102:H102"/>
    <mergeCell ref="C103:D103"/>
    <mergeCell ref="E103:F103"/>
    <mergeCell ref="G103:H103"/>
    <mergeCell ref="C104:D104"/>
    <mergeCell ref="E104:F104"/>
    <mergeCell ref="G104:H104"/>
    <mergeCell ref="G106:H106"/>
    <mergeCell ref="B113:B118"/>
    <mergeCell ref="C113:D113"/>
    <mergeCell ref="E113:F113"/>
    <mergeCell ref="G113:H113"/>
    <mergeCell ref="C114:D114"/>
    <mergeCell ref="E114:F114"/>
    <mergeCell ref="G114:H114"/>
    <mergeCell ref="C115:D115"/>
    <mergeCell ref="J107:J112"/>
    <mergeCell ref="C108:D108"/>
    <mergeCell ref="E108:F108"/>
    <mergeCell ref="G108:H108"/>
    <mergeCell ref="C109:D109"/>
    <mergeCell ref="E109:F109"/>
    <mergeCell ref="G109:H109"/>
    <mergeCell ref="C110:D110"/>
    <mergeCell ref="E110:F110"/>
    <mergeCell ref="G110:H110"/>
    <mergeCell ref="B107:B112"/>
    <mergeCell ref="C107:D107"/>
    <mergeCell ref="E107:F107"/>
    <mergeCell ref="G107:H107"/>
    <mergeCell ref="I107:I112"/>
    <mergeCell ref="C111:D111"/>
    <mergeCell ref="C118:D118"/>
    <mergeCell ref="E118:F118"/>
    <mergeCell ref="G118:H118"/>
    <mergeCell ref="C119:D119"/>
    <mergeCell ref="E119:F119"/>
    <mergeCell ref="G119:H119"/>
    <mergeCell ref="I113:I118"/>
    <mergeCell ref="J113:J118"/>
    <mergeCell ref="E122:F122"/>
    <mergeCell ref="G122:H122"/>
    <mergeCell ref="E115:F115"/>
    <mergeCell ref="G115:H115"/>
    <mergeCell ref="C116:D116"/>
    <mergeCell ref="E116:F116"/>
    <mergeCell ref="G116:H116"/>
    <mergeCell ref="C117:D117"/>
    <mergeCell ref="E117:F117"/>
    <mergeCell ref="G117:H117"/>
    <mergeCell ref="B126:H126"/>
    <mergeCell ref="B120:B124"/>
    <mergeCell ref="C120:D120"/>
    <mergeCell ref="E120:F120"/>
    <mergeCell ref="G120:H120"/>
    <mergeCell ref="B131:J131"/>
    <mergeCell ref="B133:H133"/>
    <mergeCell ref="C134:D134"/>
    <mergeCell ref="E134:F134"/>
    <mergeCell ref="G134:H134"/>
    <mergeCell ref="I120:I124"/>
    <mergeCell ref="J120:J124"/>
    <mergeCell ref="C121:D121"/>
    <mergeCell ref="E121:F121"/>
    <mergeCell ref="G121:H121"/>
    <mergeCell ref="C122:D122"/>
    <mergeCell ref="C123:D123"/>
    <mergeCell ref="E123:F123"/>
    <mergeCell ref="C124:D124"/>
    <mergeCell ref="B136:H136"/>
    <mergeCell ref="B127:J127"/>
    <mergeCell ref="B128:B130"/>
    <mergeCell ref="C128:D128"/>
    <mergeCell ref="E128:F128"/>
    <mergeCell ref="G128:H128"/>
    <mergeCell ref="I128:I130"/>
    <mergeCell ref="J128:J130"/>
    <mergeCell ref="C129:D129"/>
    <mergeCell ref="E129:F129"/>
    <mergeCell ref="G129:H129"/>
    <mergeCell ref="B137:J137"/>
    <mergeCell ref="B138:B140"/>
    <mergeCell ref="C138:D138"/>
    <mergeCell ref="E138:F138"/>
    <mergeCell ref="G138:H138"/>
    <mergeCell ref="I138:I140"/>
    <mergeCell ref="J138:J140"/>
    <mergeCell ref="E139:F139"/>
    <mergeCell ref="G139:H139"/>
    <mergeCell ref="C140:D140"/>
    <mergeCell ref="E140:F140"/>
    <mergeCell ref="G140:H140"/>
    <mergeCell ref="J147:J149"/>
    <mergeCell ref="C148:D148"/>
    <mergeCell ref="E148:F148"/>
    <mergeCell ref="G148:H148"/>
    <mergeCell ref="C149:D149"/>
    <mergeCell ref="I141:I146"/>
    <mergeCell ref="J141:J146"/>
    <mergeCell ref="C142:D142"/>
    <mergeCell ref="E142:F142"/>
    <mergeCell ref="G142:H142"/>
    <mergeCell ref="C143:D143"/>
    <mergeCell ref="E143:F143"/>
    <mergeCell ref="G143:H143"/>
    <mergeCell ref="C144:D144"/>
    <mergeCell ref="E144:F144"/>
    <mergeCell ref="E149:F149"/>
    <mergeCell ref="C141:D141"/>
    <mergeCell ref="E141:F141"/>
    <mergeCell ref="G141:H141"/>
    <mergeCell ref="G144:H144"/>
    <mergeCell ref="C145:D145"/>
    <mergeCell ref="E145:F145"/>
    <mergeCell ref="G145:H145"/>
    <mergeCell ref="I147:I149"/>
    <mergeCell ref="C150:D150"/>
    <mergeCell ref="C151:H151"/>
    <mergeCell ref="B152:B153"/>
    <mergeCell ref="C152:D152"/>
    <mergeCell ref="E152:F152"/>
    <mergeCell ref="G152:H152"/>
    <mergeCell ref="C146:H146"/>
    <mergeCell ref="B147:B149"/>
    <mergeCell ref="C147:D147"/>
    <mergeCell ref="E147:F147"/>
    <mergeCell ref="B141:B146"/>
    <mergeCell ref="B156:H156"/>
    <mergeCell ref="B158:H158"/>
    <mergeCell ref="B159:H160"/>
    <mergeCell ref="I159:I160"/>
    <mergeCell ref="J159:J160"/>
    <mergeCell ref="B162:H162"/>
    <mergeCell ref="I152:I153"/>
    <mergeCell ref="J152:J153"/>
    <mergeCell ref="C153:D153"/>
    <mergeCell ref="E153:F153"/>
    <mergeCell ref="G153:H153"/>
    <mergeCell ref="B155:H155"/>
    <mergeCell ref="B163:J163"/>
    <mergeCell ref="B164:J164"/>
    <mergeCell ref="C165:H165"/>
    <mergeCell ref="B166:B168"/>
    <mergeCell ref="C166:D166"/>
    <mergeCell ref="E166:F166"/>
    <mergeCell ref="G166:H166"/>
    <mergeCell ref="I166:I168"/>
    <mergeCell ref="J166:J168"/>
    <mergeCell ref="E167:F167"/>
    <mergeCell ref="G167:H167"/>
    <mergeCell ref="C168:D168"/>
    <mergeCell ref="E168:F168"/>
    <mergeCell ref="G168:H168"/>
    <mergeCell ref="B169:B175"/>
    <mergeCell ref="C169:D169"/>
    <mergeCell ref="E169:F169"/>
    <mergeCell ref="G169:H169"/>
    <mergeCell ref="G172:H172"/>
    <mergeCell ref="C173:D173"/>
    <mergeCell ref="I169:I175"/>
    <mergeCell ref="J169:J175"/>
    <mergeCell ref="C170:D170"/>
    <mergeCell ref="E170:F170"/>
    <mergeCell ref="G170:H170"/>
    <mergeCell ref="C171:D171"/>
    <mergeCell ref="E171:F171"/>
    <mergeCell ref="G171:H171"/>
    <mergeCell ref="C172:D172"/>
    <mergeCell ref="E172:F172"/>
    <mergeCell ref="E173:F173"/>
    <mergeCell ref="G173:H173"/>
    <mergeCell ref="C174:D174"/>
    <mergeCell ref="E174:F174"/>
    <mergeCell ref="C175:H175"/>
    <mergeCell ref="B176:B179"/>
    <mergeCell ref="C176:D176"/>
    <mergeCell ref="E176:F176"/>
    <mergeCell ref="G176:H176"/>
    <mergeCell ref="B181:B184"/>
    <mergeCell ref="C181:D181"/>
    <mergeCell ref="E181:F181"/>
    <mergeCell ref="G181:H181"/>
    <mergeCell ref="I176:I179"/>
    <mergeCell ref="J176:J179"/>
    <mergeCell ref="C177:D177"/>
    <mergeCell ref="E177:F177"/>
    <mergeCell ref="G177:H177"/>
    <mergeCell ref="C178:D178"/>
    <mergeCell ref="E178:F178"/>
    <mergeCell ref="G178:H178"/>
    <mergeCell ref="C179:D179"/>
    <mergeCell ref="I181:I184"/>
    <mergeCell ref="J181:J184"/>
    <mergeCell ref="C182:D182"/>
    <mergeCell ref="E182:F182"/>
    <mergeCell ref="G182:H182"/>
    <mergeCell ref="C183:H183"/>
    <mergeCell ref="C184:H184"/>
    <mergeCell ref="C180:D180"/>
    <mergeCell ref="E180:F180"/>
    <mergeCell ref="G180:H180"/>
    <mergeCell ref="B185:J185"/>
    <mergeCell ref="B186:B188"/>
    <mergeCell ref="C186:D186"/>
    <mergeCell ref="E186:F186"/>
    <mergeCell ref="G186:H186"/>
    <mergeCell ref="I186:I188"/>
    <mergeCell ref="J186:J188"/>
    <mergeCell ref="E187:F187"/>
    <mergeCell ref="G187:H187"/>
    <mergeCell ref="C188:D188"/>
    <mergeCell ref="E188:F188"/>
    <mergeCell ref="G188:H188"/>
    <mergeCell ref="B189:B194"/>
    <mergeCell ref="C189:D189"/>
    <mergeCell ref="E189:F189"/>
    <mergeCell ref="G189:H189"/>
    <mergeCell ref="G192:H192"/>
    <mergeCell ref="C193:D193"/>
    <mergeCell ref="E193:F193"/>
    <mergeCell ref="G193:H193"/>
    <mergeCell ref="J195:J197"/>
    <mergeCell ref="E196:F196"/>
    <mergeCell ref="G196:H196"/>
    <mergeCell ref="C197:D197"/>
    <mergeCell ref="E197:F197"/>
    <mergeCell ref="G197:H197"/>
    <mergeCell ref="C194:H194"/>
    <mergeCell ref="B195:B197"/>
    <mergeCell ref="C195:D195"/>
    <mergeCell ref="E195:F195"/>
    <mergeCell ref="G195:H195"/>
    <mergeCell ref="I195:I197"/>
    <mergeCell ref="I189:I194"/>
    <mergeCell ref="J189:J194"/>
    <mergeCell ref="C190:D190"/>
    <mergeCell ref="E190:F190"/>
    <mergeCell ref="G190:H190"/>
    <mergeCell ref="C191:D191"/>
    <mergeCell ref="E191:F191"/>
    <mergeCell ref="G191:H191"/>
    <mergeCell ref="C192:D192"/>
    <mergeCell ref="E192:F192"/>
    <mergeCell ref="J199:J200"/>
    <mergeCell ref="C200:D200"/>
    <mergeCell ref="E200:F200"/>
    <mergeCell ref="B202:H202"/>
    <mergeCell ref="B203:J203"/>
    <mergeCell ref="C204:H204"/>
    <mergeCell ref="C198:H198"/>
    <mergeCell ref="B199:B200"/>
    <mergeCell ref="C199:D199"/>
    <mergeCell ref="E199:F199"/>
    <mergeCell ref="G199:H199"/>
    <mergeCell ref="I199:I200"/>
    <mergeCell ref="C205:H205"/>
    <mergeCell ref="C206:H206"/>
    <mergeCell ref="B208:H208"/>
    <mergeCell ref="B209:J209"/>
    <mergeCell ref="B210:B212"/>
    <mergeCell ref="C210:D210"/>
    <mergeCell ref="E210:F210"/>
    <mergeCell ref="G210:H210"/>
    <mergeCell ref="I210:I212"/>
    <mergeCell ref="J210:J212"/>
    <mergeCell ref="C211:D211"/>
    <mergeCell ref="E211:F211"/>
    <mergeCell ref="G211:H211"/>
    <mergeCell ref="C212:D212"/>
    <mergeCell ref="J213:J218"/>
    <mergeCell ref="C214:D214"/>
    <mergeCell ref="E214:F214"/>
    <mergeCell ref="G214:H214"/>
    <mergeCell ref="C215:D215"/>
    <mergeCell ref="E215:F215"/>
    <mergeCell ref="G215:H215"/>
    <mergeCell ref="C216:D216"/>
    <mergeCell ref="E216:F216"/>
    <mergeCell ref="E217:F217"/>
    <mergeCell ref="G217:H217"/>
    <mergeCell ref="C218:H218"/>
    <mergeCell ref="B219:B222"/>
    <mergeCell ref="C219:D219"/>
    <mergeCell ref="E219:F219"/>
    <mergeCell ref="G219:H219"/>
    <mergeCell ref="G222:H222"/>
    <mergeCell ref="I213:I218"/>
    <mergeCell ref="C223:D223"/>
    <mergeCell ref="E223:F223"/>
    <mergeCell ref="G223:H223"/>
    <mergeCell ref="B213:B218"/>
    <mergeCell ref="C213:D213"/>
    <mergeCell ref="E213:F213"/>
    <mergeCell ref="G213:H213"/>
    <mergeCell ref="G216:H216"/>
    <mergeCell ref="C217:D217"/>
    <mergeCell ref="I219:I222"/>
    <mergeCell ref="J219:J222"/>
    <mergeCell ref="C220:D220"/>
    <mergeCell ref="E220:F220"/>
    <mergeCell ref="G220:H220"/>
    <mergeCell ref="C221:D221"/>
    <mergeCell ref="E221:F221"/>
    <mergeCell ref="G221:H221"/>
    <mergeCell ref="C222:D222"/>
    <mergeCell ref="E222:F222"/>
    <mergeCell ref="C227:H227"/>
    <mergeCell ref="B228:J228"/>
    <mergeCell ref="B230:H230"/>
    <mergeCell ref="C231:H231"/>
    <mergeCell ref="B233:H233"/>
    <mergeCell ref="B234:J234"/>
    <mergeCell ref="I224:I226"/>
    <mergeCell ref="J224:J226"/>
    <mergeCell ref="C225:D225"/>
    <mergeCell ref="E225:F225"/>
    <mergeCell ref="G225:H225"/>
    <mergeCell ref="C226:D226"/>
    <mergeCell ref="B224:B226"/>
    <mergeCell ref="C224:D224"/>
    <mergeCell ref="E224:F224"/>
    <mergeCell ref="G224:H224"/>
    <mergeCell ref="J239:J242"/>
    <mergeCell ref="C240:D240"/>
    <mergeCell ref="E240:F240"/>
    <mergeCell ref="G240:H240"/>
    <mergeCell ref="C241:D241"/>
    <mergeCell ref="E241:F241"/>
    <mergeCell ref="G241:H241"/>
    <mergeCell ref="C235:H235"/>
    <mergeCell ref="B236:B238"/>
    <mergeCell ref="C236:H236"/>
    <mergeCell ref="I236:I238"/>
    <mergeCell ref="J236:J238"/>
    <mergeCell ref="C237:D237"/>
    <mergeCell ref="E237:F237"/>
    <mergeCell ref="G237:H237"/>
    <mergeCell ref="C238:H238"/>
    <mergeCell ref="C242:H242"/>
    <mergeCell ref="B243:B246"/>
    <mergeCell ref="C243:D243"/>
    <mergeCell ref="E243:F243"/>
    <mergeCell ref="G243:H243"/>
    <mergeCell ref="I243:I246"/>
    <mergeCell ref="B239:B242"/>
    <mergeCell ref="C239:H239"/>
    <mergeCell ref="I239:I242"/>
    <mergeCell ref="B250:B255"/>
    <mergeCell ref="C250:H250"/>
    <mergeCell ref="C255:H255"/>
    <mergeCell ref="J243:J246"/>
    <mergeCell ref="C244:D244"/>
    <mergeCell ref="E244:F244"/>
    <mergeCell ref="G244:H244"/>
    <mergeCell ref="C245:D245"/>
    <mergeCell ref="E245:F245"/>
    <mergeCell ref="C246:H246"/>
    <mergeCell ref="I250:I254"/>
    <mergeCell ref="J250:J254"/>
    <mergeCell ref="C251:H251"/>
    <mergeCell ref="C252:H252"/>
    <mergeCell ref="C253:H253"/>
    <mergeCell ref="C254:H254"/>
    <mergeCell ref="C247:H247"/>
    <mergeCell ref="C248:D248"/>
    <mergeCell ref="E248:F248"/>
    <mergeCell ref="G248:H248"/>
    <mergeCell ref="C249:H249"/>
    <mergeCell ref="C256:H256"/>
    <mergeCell ref="B257:J257"/>
    <mergeCell ref="B259:H259"/>
    <mergeCell ref="B260:J260"/>
    <mergeCell ref="B261:B263"/>
    <mergeCell ref="C261:H261"/>
    <mergeCell ref="I261:I263"/>
    <mergeCell ref="J261:J263"/>
    <mergeCell ref="C262:H262"/>
    <mergeCell ref="C263:H263"/>
    <mergeCell ref="C270:D270"/>
    <mergeCell ref="E270:F270"/>
    <mergeCell ref="B271:B273"/>
    <mergeCell ref="C271:D271"/>
    <mergeCell ref="E271:F271"/>
    <mergeCell ref="G271:H271"/>
    <mergeCell ref="B264:J264"/>
    <mergeCell ref="B266:H266"/>
    <mergeCell ref="B267:J267"/>
    <mergeCell ref="B268:J268"/>
    <mergeCell ref="C269:D269"/>
    <mergeCell ref="E269:F269"/>
    <mergeCell ref="C274:H274"/>
    <mergeCell ref="B275:J275"/>
    <mergeCell ref="B276:B277"/>
    <mergeCell ref="C276:H276"/>
    <mergeCell ref="C277:H277"/>
    <mergeCell ref="C278:D278"/>
    <mergeCell ref="E278:F278"/>
    <mergeCell ref="I271:I273"/>
    <mergeCell ref="J271:J273"/>
    <mergeCell ref="C272:D272"/>
    <mergeCell ref="E272:F272"/>
    <mergeCell ref="G272:H272"/>
    <mergeCell ref="E273:F273"/>
    <mergeCell ref="G273:H273"/>
    <mergeCell ref="C284:H284"/>
    <mergeCell ref="B285:B287"/>
    <mergeCell ref="C285:D285"/>
    <mergeCell ref="E285:F285"/>
    <mergeCell ref="G285:H285"/>
    <mergeCell ref="I285:I287"/>
    <mergeCell ref="C279:H279"/>
    <mergeCell ref="C280:H280"/>
    <mergeCell ref="B281:H281"/>
    <mergeCell ref="B282:J282"/>
    <mergeCell ref="C283:E283"/>
    <mergeCell ref="F283:H283"/>
    <mergeCell ref="C288:H288"/>
    <mergeCell ref="B290:H290"/>
    <mergeCell ref="B291:J291"/>
    <mergeCell ref="B292:J292"/>
    <mergeCell ref="C293:D293"/>
    <mergeCell ref="E293:F293"/>
    <mergeCell ref="G293:H293"/>
    <mergeCell ref="J285:J287"/>
    <mergeCell ref="C286:D286"/>
    <mergeCell ref="E286:F286"/>
    <mergeCell ref="G286:H286"/>
    <mergeCell ref="C287:D287"/>
    <mergeCell ref="E287:F287"/>
    <mergeCell ref="G287:H287"/>
    <mergeCell ref="W294:W295"/>
    <mergeCell ref="X294:X295"/>
    <mergeCell ref="C295:D295"/>
    <mergeCell ref="E295:F295"/>
    <mergeCell ref="G295:H295"/>
    <mergeCell ref="E296:F296"/>
    <mergeCell ref="G296:H296"/>
    <mergeCell ref="B294:B296"/>
    <mergeCell ref="C294:D294"/>
    <mergeCell ref="E294:F294"/>
    <mergeCell ref="G294:H294"/>
    <mergeCell ref="I294:I296"/>
    <mergeCell ref="J294:J296"/>
    <mergeCell ref="C300:D300"/>
    <mergeCell ref="E300:F300"/>
    <mergeCell ref="G300:H300"/>
    <mergeCell ref="E301:F301"/>
    <mergeCell ref="G301:H301"/>
    <mergeCell ref="C302:D302"/>
    <mergeCell ref="E302:F302"/>
    <mergeCell ref="G302:H302"/>
    <mergeCell ref="B297:J297"/>
    <mergeCell ref="C298:D298"/>
    <mergeCell ref="E298:F298"/>
    <mergeCell ref="G298:H298"/>
    <mergeCell ref="B299:B302"/>
    <mergeCell ref="C299:D299"/>
    <mergeCell ref="E299:F299"/>
    <mergeCell ref="G299:H299"/>
    <mergeCell ref="I299:I302"/>
    <mergeCell ref="J299:J302"/>
    <mergeCell ref="B303:J303"/>
    <mergeCell ref="B305:J305"/>
    <mergeCell ref="C306:D306"/>
    <mergeCell ref="E306:F306"/>
    <mergeCell ref="G306:H306"/>
    <mergeCell ref="B307:B309"/>
    <mergeCell ref="C307:D307"/>
    <mergeCell ref="E307:F307"/>
    <mergeCell ref="G307:H307"/>
    <mergeCell ref="I307:I309"/>
    <mergeCell ref="B310:J310"/>
    <mergeCell ref="B312:H312"/>
    <mergeCell ref="B313:J313"/>
    <mergeCell ref="C314:H314"/>
    <mergeCell ref="B315:J315"/>
    <mergeCell ref="C317:H317"/>
    <mergeCell ref="J307:J309"/>
    <mergeCell ref="C308:D308"/>
    <mergeCell ref="E308:F308"/>
    <mergeCell ref="G308:H308"/>
    <mergeCell ref="C309:D309"/>
    <mergeCell ref="E309:F309"/>
    <mergeCell ref="G309:H309"/>
    <mergeCell ref="C324:H324"/>
    <mergeCell ref="C325:H325"/>
    <mergeCell ref="B326:J326"/>
    <mergeCell ref="C327:H327"/>
    <mergeCell ref="C328:H328"/>
    <mergeCell ref="C329:H329"/>
    <mergeCell ref="C318:H318"/>
    <mergeCell ref="B319:J319"/>
    <mergeCell ref="C320:H320"/>
    <mergeCell ref="C321:H321"/>
    <mergeCell ref="B322:J322"/>
    <mergeCell ref="C323:H323"/>
    <mergeCell ref="C339:H339"/>
    <mergeCell ref="C340:H340"/>
    <mergeCell ref="B341:B343"/>
    <mergeCell ref="C341:H341"/>
    <mergeCell ref="C342:H342"/>
    <mergeCell ref="C343:H343"/>
    <mergeCell ref="B330:J330"/>
    <mergeCell ref="C331:H331"/>
    <mergeCell ref="C332:H332"/>
    <mergeCell ref="B333:J333"/>
    <mergeCell ref="B334:B340"/>
    <mergeCell ref="C334:H334"/>
    <mergeCell ref="C335:H335"/>
    <mergeCell ref="C336:H336"/>
    <mergeCell ref="C337:H337"/>
    <mergeCell ref="C338:H338"/>
    <mergeCell ref="B350:B351"/>
    <mergeCell ref="C350:H350"/>
    <mergeCell ref="C351:H351"/>
    <mergeCell ref="B352:J352"/>
    <mergeCell ref="B354:H354"/>
    <mergeCell ref="B355:J355"/>
    <mergeCell ref="B344:J344"/>
    <mergeCell ref="B345:B349"/>
    <mergeCell ref="C345:H345"/>
    <mergeCell ref="C346:H346"/>
    <mergeCell ref="C347:H347"/>
    <mergeCell ref="C348:H348"/>
    <mergeCell ref="C349:H349"/>
    <mergeCell ref="C356:H356"/>
    <mergeCell ref="C357:H357"/>
    <mergeCell ref="B359:H359"/>
    <mergeCell ref="B360:J360"/>
    <mergeCell ref="B361:B364"/>
    <mergeCell ref="C361:D361"/>
    <mergeCell ref="I361:I364"/>
    <mergeCell ref="J361:J364"/>
    <mergeCell ref="C362:D362"/>
    <mergeCell ref="E362:F362"/>
    <mergeCell ref="G375:H375"/>
    <mergeCell ref="C371:D371"/>
    <mergeCell ref="E371:F371"/>
    <mergeCell ref="G362:H362"/>
    <mergeCell ref="C363:D363"/>
    <mergeCell ref="E363:F363"/>
    <mergeCell ref="G363:H363"/>
    <mergeCell ref="V363:V364"/>
    <mergeCell ref="C364:D364"/>
    <mergeCell ref="E364:F364"/>
    <mergeCell ref="G364:H364"/>
    <mergeCell ref="C365:H365"/>
    <mergeCell ref="B367:H367"/>
    <mergeCell ref="B368:J368"/>
    <mergeCell ref="B369:J369"/>
    <mergeCell ref="B370:B372"/>
    <mergeCell ref="C370:D370"/>
    <mergeCell ref="E370:F370"/>
    <mergeCell ref="G370:H370"/>
    <mergeCell ref="I370:I372"/>
    <mergeCell ref="J370:J372"/>
    <mergeCell ref="G371:H371"/>
    <mergeCell ref="C372:D372"/>
    <mergeCell ref="E372:F372"/>
    <mergeCell ref="B376:J376"/>
    <mergeCell ref="B377:J377"/>
    <mergeCell ref="C378:D378"/>
    <mergeCell ref="E378:F378"/>
    <mergeCell ref="G378:H378"/>
    <mergeCell ref="B379:B380"/>
    <mergeCell ref="C379:D379"/>
    <mergeCell ref="E379:F379"/>
    <mergeCell ref="G379:H379"/>
    <mergeCell ref="I379:I380"/>
    <mergeCell ref="B373:B375"/>
    <mergeCell ref="C373:D373"/>
    <mergeCell ref="E373:F373"/>
    <mergeCell ref="G373:H373"/>
    <mergeCell ref="I373:I375"/>
    <mergeCell ref="J373:J375"/>
    <mergeCell ref="C374:D374"/>
    <mergeCell ref="E374:F374"/>
    <mergeCell ref="G374:H374"/>
    <mergeCell ref="C375:D375"/>
    <mergeCell ref="E375:F375"/>
    <mergeCell ref="B385:B386"/>
    <mergeCell ref="C385:D385"/>
    <mergeCell ref="E385:F385"/>
    <mergeCell ref="G385:H385"/>
    <mergeCell ref="I385:I386"/>
    <mergeCell ref="J385:J386"/>
    <mergeCell ref="C386:D386"/>
    <mergeCell ref="J379:J380"/>
    <mergeCell ref="C380:D380"/>
    <mergeCell ref="C381:H381"/>
    <mergeCell ref="C382:H382"/>
    <mergeCell ref="B383:J383"/>
    <mergeCell ref="C384:D384"/>
    <mergeCell ref="E384:F384"/>
    <mergeCell ref="G384:H384"/>
    <mergeCell ref="C387:H387"/>
    <mergeCell ref="B388:J388"/>
    <mergeCell ref="C389:D389"/>
    <mergeCell ref="E389:F389"/>
    <mergeCell ref="G389:H389"/>
    <mergeCell ref="B390:B391"/>
    <mergeCell ref="C390:D390"/>
    <mergeCell ref="E390:F390"/>
    <mergeCell ref="G390:H390"/>
    <mergeCell ref="I390:I391"/>
    <mergeCell ref="B398:H398"/>
    <mergeCell ref="B399:B400"/>
    <mergeCell ref="C399:H399"/>
    <mergeCell ref="I399:I400"/>
    <mergeCell ref="J399:J400"/>
    <mergeCell ref="C400:H400"/>
    <mergeCell ref="J390:J391"/>
    <mergeCell ref="C391:D391"/>
    <mergeCell ref="C392:H392"/>
    <mergeCell ref="B394:H394"/>
    <mergeCell ref="B395:J395"/>
    <mergeCell ref="C396:H396"/>
    <mergeCell ref="B411:J411"/>
    <mergeCell ref="B412:J412"/>
    <mergeCell ref="B414:H414"/>
    <mergeCell ref="B415:J415"/>
    <mergeCell ref="B416:B418"/>
    <mergeCell ref="C416:J416"/>
    <mergeCell ref="C417:H417"/>
    <mergeCell ref="C418:H418"/>
    <mergeCell ref="B402:H402"/>
    <mergeCell ref="C403:H403"/>
    <mergeCell ref="B405:J405"/>
    <mergeCell ref="B406:J406"/>
    <mergeCell ref="B408:J408"/>
    <mergeCell ref="B409:J409"/>
    <mergeCell ref="B420:J420"/>
    <mergeCell ref="B422:J422"/>
    <mergeCell ref="B424:J424"/>
    <mergeCell ref="B426:J426"/>
    <mergeCell ref="B428:D428"/>
    <mergeCell ref="E428:F429"/>
    <mergeCell ref="B429:D429"/>
    <mergeCell ref="G429:H429"/>
    <mergeCell ref="I429:J429"/>
    <mergeCell ref="E437:F437"/>
    <mergeCell ref="H437:J437"/>
    <mergeCell ref="E438:F438"/>
    <mergeCell ref="B439:D439"/>
    <mergeCell ref="E439:F439"/>
    <mergeCell ref="B440:D440"/>
    <mergeCell ref="E440:F440"/>
    <mergeCell ref="B430:D430"/>
    <mergeCell ref="E430:F430"/>
    <mergeCell ref="I430:J430"/>
    <mergeCell ref="B432:J432"/>
    <mergeCell ref="B434:J434"/>
    <mergeCell ref="B436:D436"/>
    <mergeCell ref="E436:F436"/>
    <mergeCell ref="H436:J436"/>
    <mergeCell ref="B462:J462"/>
    <mergeCell ref="B464:J464"/>
    <mergeCell ref="B451:J451"/>
    <mergeCell ref="B453:J453"/>
    <mergeCell ref="B455:J455"/>
    <mergeCell ref="B457:J457"/>
    <mergeCell ref="B458:J458"/>
    <mergeCell ref="B460:J460"/>
    <mergeCell ref="B442:J442"/>
    <mergeCell ref="D445:J445"/>
    <mergeCell ref="B447:J447"/>
    <mergeCell ref="B448:J448"/>
    <mergeCell ref="B449:J449"/>
    <mergeCell ref="B450:J450"/>
  </mergeCells>
  <conditionalFormatting sqref="I19:J20 E7:F7 E5:J6 J7">
    <cfRule type="containsBlanks" dxfId="20" priority="2" stopIfTrue="1">
      <formula>LEN(TRIM(E5))=0</formula>
    </cfRule>
  </conditionalFormatting>
  <conditionalFormatting sqref="E430:F430">
    <cfRule type="containsBlanks" dxfId="19" priority="1" stopIfTrue="1">
      <formula>LEN(TRIM(E430))=0</formula>
    </cfRule>
  </conditionalFormatting>
  <dataValidations count="8">
    <dataValidation allowBlank="1" showInputMessage="1" showErrorMessage="1" prompt="Ingresar Datos De FTPS" sqref="E5:E7 F7:J7"/>
    <dataValidation allowBlank="1" showInputMessage="1" showErrorMessage="1" prompt="Ingresar El tipo de  Plan: Hijastros, Padres, etc." sqref="B9:J9"/>
    <dataValidation allowBlank="1" showInputMessage="1" showErrorMessage="1" prompt="Modificar titulos de acuerdo a condiciones" sqref="B4:J4"/>
    <dataValidation allowBlank="1" showInputMessage="1" showErrorMessage="1" prompt="Verificar BMA" sqref="I19:J20"/>
    <dataValidation allowBlank="1" showInputMessage="1" showErrorMessage="1" prompt="Verificar tipo de Plan" sqref="B426:J426"/>
    <dataValidation errorStyle="warning" allowBlank="1" showInputMessage="1" showErrorMessage="1" errorTitle="Verificar Grupal o Etario" error="Verificar Grupal o Etario" prompt="Verificar Grupal o Etario" sqref="B430:D430"/>
    <dataValidation allowBlank="1" showInputMessage="1" showErrorMessage="1" prompt="Verificar Aportes" sqref="E430:F430"/>
    <dataValidation allowBlank="1" showInputMessage="1" showErrorMessage="1" prompt="Verificar Siniestralidad objetivo" sqref="B437:J440"/>
  </dataValidations>
  <printOptions horizontalCentered="1"/>
  <pageMargins left="0.39370078740157483" right="0.39370078740157483" top="1.7716535433070868" bottom="0.98425196850393704" header="0" footer="0"/>
  <pageSetup paperSize="9" scale="75" fitToHeight="0" orientation="portrait" r:id="rId1"/>
  <headerFooter alignWithMargins="0">
    <oddFooter>Página &amp;P de &amp;N</oddFooter>
  </headerFooter>
  <rowBreaks count="22" manualBreakCount="22">
    <brk id="26" max="16383" man="1"/>
    <brk id="47" max="16383" man="1"/>
    <brk id="58" max="16383" man="1"/>
    <brk id="71" max="16383" man="1"/>
    <brk id="93" max="16383" man="1"/>
    <brk id="112" max="16383" man="1"/>
    <brk id="135" max="16383" man="1"/>
    <brk id="157" max="16383" man="1"/>
    <brk id="175" max="16383" man="1"/>
    <brk id="198" max="16383" man="1"/>
    <brk id="205" max="16383" man="1"/>
    <brk id="229" max="16383" man="1"/>
    <brk id="249" max="16383" man="1"/>
    <brk id="265" max="16383" man="1"/>
    <brk id="289" max="16383" man="1"/>
    <brk id="314" max="16383" man="1"/>
    <brk id="343" max="16383" man="1"/>
    <brk id="366" max="16383" man="1"/>
    <brk id="393" max="16383" man="1"/>
    <brk id="404" max="16383" man="1"/>
    <brk id="425" max="16383" man="1"/>
    <brk id="449"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9" tint="-0.249977111117893"/>
  </sheetPr>
  <dimension ref="A1:AF277"/>
  <sheetViews>
    <sheetView showGridLines="0" view="pageBreakPreview" topLeftCell="B1" zoomScale="90" zoomScaleSheetLayoutView="90" workbookViewId="0">
      <selection activeCell="B9" sqref="B9:J9"/>
    </sheetView>
  </sheetViews>
  <sheetFormatPr baseColWidth="10" defaultColWidth="11.42578125" defaultRowHeight="12.75" x14ac:dyDescent="0.2"/>
  <cols>
    <col min="1" max="1" width="16.7109375" style="18" hidden="1" customWidth="1"/>
    <col min="2" max="2" width="20.85546875" style="1" customWidth="1"/>
    <col min="3" max="3" width="13.140625" style="1" customWidth="1"/>
    <col min="4" max="7" width="14.42578125" style="1" customWidth="1"/>
    <col min="8" max="8" width="11.7109375" style="1" customWidth="1"/>
    <col min="9" max="9" width="11.7109375" style="11" customWidth="1"/>
    <col min="10" max="10" width="11.7109375" style="234" customWidth="1"/>
    <col min="11" max="11" width="19" style="1" hidden="1" customWidth="1"/>
    <col min="12" max="12" width="15.85546875" style="1" hidden="1" customWidth="1"/>
    <col min="13" max="13" width="11.28515625" style="4" hidden="1" customWidth="1"/>
    <col min="14" max="14" width="13.42578125" style="18" hidden="1" customWidth="1"/>
    <col min="15" max="15" width="10.140625" style="1" hidden="1" customWidth="1"/>
    <col min="16" max="16" width="17.42578125" style="18" hidden="1" customWidth="1"/>
    <col min="17" max="18" width="11.42578125" style="18" customWidth="1"/>
    <col min="19" max="16384" width="11.42578125" style="18"/>
  </cols>
  <sheetData>
    <row r="1" spans="1:16" ht="18.75" customHeight="1" x14ac:dyDescent="0.2">
      <c r="B1" s="1331" t="s">
        <v>561</v>
      </c>
      <c r="C1" s="1331"/>
      <c r="D1" s="1331"/>
      <c r="E1" s="1331"/>
      <c r="F1" s="1331"/>
      <c r="G1" s="1331"/>
      <c r="H1" s="1331"/>
      <c r="I1" s="1331"/>
      <c r="J1" s="1331"/>
    </row>
    <row r="2" spans="1:16" ht="20.100000000000001" customHeight="1" x14ac:dyDescent="0.2">
      <c r="B2" s="458"/>
      <c r="C2" s="458"/>
      <c r="D2" s="458"/>
      <c r="E2" s="458"/>
      <c r="F2" s="458"/>
      <c r="G2" s="458"/>
      <c r="H2" s="458"/>
      <c r="I2" s="458"/>
      <c r="J2" s="459"/>
    </row>
    <row r="3" spans="1:16" ht="18.75" customHeight="1" x14ac:dyDescent="0.2">
      <c r="B3" s="1325" t="s">
        <v>2</v>
      </c>
      <c r="C3" s="1325"/>
      <c r="D3" s="1325"/>
      <c r="E3" s="1327" t="s">
        <v>922</v>
      </c>
      <c r="F3" s="1327"/>
      <c r="G3" s="1327"/>
      <c r="H3" s="1327"/>
      <c r="I3" s="1327"/>
      <c r="J3" s="1327"/>
      <c r="K3" s="7"/>
      <c r="L3" s="510"/>
      <c r="M3" s="460"/>
      <c r="N3" s="460"/>
      <c r="O3" s="510"/>
      <c r="P3" s="460"/>
    </row>
    <row r="4" spans="1:16" ht="30.75" customHeight="1" x14ac:dyDescent="0.2">
      <c r="B4" s="1325" t="s">
        <v>3</v>
      </c>
      <c r="C4" s="1325"/>
      <c r="D4" s="1325"/>
      <c r="E4" s="1333" t="s">
        <v>923</v>
      </c>
      <c r="F4" s="1327"/>
      <c r="G4" s="1327"/>
      <c r="H4" s="1327"/>
      <c r="I4" s="1327"/>
      <c r="J4" s="1327"/>
      <c r="K4" s="7"/>
      <c r="M4" s="171"/>
    </row>
    <row r="5" spans="1:16" ht="18.75" customHeight="1" x14ac:dyDescent="0.2">
      <c r="B5" s="1325" t="s">
        <v>4</v>
      </c>
      <c r="C5" s="1325"/>
      <c r="D5" s="1325"/>
      <c r="E5" s="1326">
        <v>43922</v>
      </c>
      <c r="F5" s="1327"/>
      <c r="G5" s="8"/>
      <c r="H5" s="1328" t="s">
        <v>5</v>
      </c>
      <c r="I5" s="1328"/>
      <c r="J5" s="9">
        <v>231002</v>
      </c>
    </row>
    <row r="6" spans="1:16" ht="20.100000000000001" customHeight="1" x14ac:dyDescent="0.2">
      <c r="B6" s="1325"/>
      <c r="C6" s="1325"/>
      <c r="D6" s="1325"/>
      <c r="E6" s="1329"/>
      <c r="F6" s="1329"/>
      <c r="G6" s="10"/>
      <c r="J6" s="9"/>
    </row>
    <row r="7" spans="1:16" ht="14.25" customHeight="1" x14ac:dyDescent="0.2">
      <c r="B7" s="1330" t="s">
        <v>810</v>
      </c>
      <c r="C7" s="1330"/>
      <c r="D7" s="1330"/>
      <c r="E7" s="1330"/>
      <c r="F7" s="1330"/>
      <c r="G7" s="1330"/>
      <c r="H7" s="1330"/>
      <c r="I7" s="1330"/>
      <c r="J7" s="1330"/>
      <c r="K7" s="12"/>
      <c r="M7" s="318"/>
    </row>
    <row r="8" spans="1:16" ht="20.100000000000001" customHeight="1" x14ac:dyDescent="0.2">
      <c r="B8" s="14"/>
      <c r="C8" s="14"/>
      <c r="D8" s="14"/>
      <c r="E8" s="14"/>
      <c r="F8" s="14"/>
      <c r="G8" s="14"/>
      <c r="H8" s="14"/>
      <c r="I8" s="14"/>
      <c r="J8" s="15"/>
      <c r="K8" s="12"/>
      <c r="M8" s="318"/>
    </row>
    <row r="9" spans="1:16" ht="30" customHeight="1" x14ac:dyDescent="0.2">
      <c r="B9" s="855" t="s">
        <v>7</v>
      </c>
      <c r="C9" s="856"/>
      <c r="D9" s="856"/>
      <c r="E9" s="856"/>
      <c r="F9" s="856"/>
      <c r="G9" s="856"/>
      <c r="H9" s="856"/>
      <c r="I9" s="856"/>
      <c r="J9" s="857"/>
      <c r="K9" s="12"/>
      <c r="M9" s="318"/>
    </row>
    <row r="10" spans="1:16" ht="50.1" customHeight="1" x14ac:dyDescent="0.2">
      <c r="A10" s="24"/>
      <c r="B10" s="1320" t="s">
        <v>811</v>
      </c>
      <c r="C10" s="1321"/>
      <c r="D10" s="1321"/>
      <c r="E10" s="1321"/>
      <c r="F10" s="1321"/>
      <c r="G10" s="1321"/>
      <c r="H10" s="1321"/>
      <c r="I10" s="1321"/>
      <c r="J10" s="1322"/>
    </row>
    <row r="11" spans="1:16" ht="20.100000000000001" customHeight="1" x14ac:dyDescent="0.2">
      <c r="A11" s="24"/>
      <c r="B11" s="16"/>
      <c r="C11" s="16"/>
      <c r="D11" s="16"/>
      <c r="E11" s="16"/>
      <c r="F11" s="16"/>
      <c r="G11" s="16"/>
      <c r="H11" s="16"/>
      <c r="I11" s="16"/>
      <c r="J11" s="17"/>
    </row>
    <row r="12" spans="1:16" s="24" customFormat="1" ht="30" customHeight="1" x14ac:dyDescent="0.2">
      <c r="B12" s="855" t="s">
        <v>812</v>
      </c>
      <c r="C12" s="856"/>
      <c r="D12" s="856"/>
      <c r="E12" s="856"/>
      <c r="F12" s="856"/>
      <c r="G12" s="856"/>
      <c r="H12" s="856"/>
      <c r="I12" s="856"/>
      <c r="J12" s="857"/>
      <c r="K12" s="47"/>
      <c r="L12" s="47"/>
      <c r="M12" s="23"/>
      <c r="O12" s="47"/>
    </row>
    <row r="13" spans="1:16" ht="39.950000000000003" customHeight="1" x14ac:dyDescent="0.2">
      <c r="A13" s="24"/>
      <c r="B13" s="1320" t="s">
        <v>813</v>
      </c>
      <c r="C13" s="1321"/>
      <c r="D13" s="1321"/>
      <c r="E13" s="1321"/>
      <c r="F13" s="1321"/>
      <c r="G13" s="1321"/>
      <c r="H13" s="1321"/>
      <c r="I13" s="1321"/>
      <c r="J13" s="1322"/>
    </row>
    <row r="14" spans="1:16" ht="20.100000000000001" customHeight="1" x14ac:dyDescent="0.2">
      <c r="A14" s="24"/>
      <c r="B14" s="19"/>
      <c r="C14" s="19"/>
      <c r="D14" s="19"/>
      <c r="E14" s="14"/>
      <c r="F14" s="14"/>
      <c r="G14" s="14"/>
      <c r="H14" s="14"/>
      <c r="I14" s="14"/>
      <c r="J14" s="15"/>
    </row>
    <row r="15" spans="1:16" ht="30" customHeight="1" x14ac:dyDescent="0.2">
      <c r="A15" s="24"/>
      <c r="B15" s="855" t="s">
        <v>11</v>
      </c>
      <c r="C15" s="856"/>
      <c r="D15" s="856"/>
      <c r="E15" s="856"/>
      <c r="F15" s="856"/>
      <c r="G15" s="856"/>
      <c r="H15" s="856"/>
      <c r="I15" s="856"/>
      <c r="J15" s="857"/>
      <c r="K15" s="272"/>
      <c r="L15" s="272"/>
      <c r="O15" s="272"/>
    </row>
    <row r="16" spans="1:16" s="59" customFormat="1" ht="20.100000000000001" customHeight="1" x14ac:dyDescent="0.2">
      <c r="A16" s="322"/>
      <c r="B16" s="320">
        <v>1000000</v>
      </c>
      <c r="C16" s="320" t="s">
        <v>931</v>
      </c>
      <c r="D16" s="320" t="s">
        <v>932</v>
      </c>
      <c r="E16" s="320"/>
      <c r="F16" s="320"/>
      <c r="G16" s="320"/>
      <c r="H16" s="320"/>
      <c r="I16" s="320"/>
      <c r="J16" s="428"/>
      <c r="K16" s="511"/>
      <c r="L16" s="511"/>
      <c r="M16" s="99"/>
      <c r="O16" s="511"/>
    </row>
    <row r="17" spans="1:16" ht="24.95" customHeight="1" x14ac:dyDescent="0.2">
      <c r="A17" s="24"/>
      <c r="B17" s="25" t="s">
        <v>933</v>
      </c>
      <c r="C17" s="26"/>
      <c r="D17" s="26"/>
      <c r="E17" s="26"/>
      <c r="F17" s="27"/>
      <c r="G17" s="26"/>
      <c r="H17" s="26"/>
      <c r="I17" s="1315">
        <v>2500000</v>
      </c>
      <c r="J17" s="1316"/>
      <c r="K17" s="272"/>
      <c r="L17" s="272"/>
      <c r="O17" s="272"/>
    </row>
    <row r="18" spans="1:16" ht="20.100000000000001" customHeight="1" x14ac:dyDescent="0.2">
      <c r="B18" s="28"/>
      <c r="C18" s="28"/>
      <c r="D18" s="28"/>
      <c r="E18" s="28"/>
      <c r="F18" s="29"/>
      <c r="G18" s="28"/>
      <c r="H18" s="28"/>
      <c r="I18" s="28"/>
      <c r="J18" s="30"/>
      <c r="K18" s="18"/>
      <c r="L18" s="18"/>
      <c r="O18" s="18"/>
    </row>
    <row r="19" spans="1:16" ht="30" customHeight="1" x14ac:dyDescent="0.2">
      <c r="B19" s="855" t="s">
        <v>15</v>
      </c>
      <c r="C19" s="856"/>
      <c r="D19" s="856"/>
      <c r="E19" s="856"/>
      <c r="F19" s="856"/>
      <c r="G19" s="856"/>
      <c r="H19" s="856"/>
      <c r="I19" s="856"/>
      <c r="J19" s="857"/>
      <c r="K19" s="18"/>
      <c r="L19" s="18"/>
      <c r="O19" s="18"/>
    </row>
    <row r="20" spans="1:16" ht="20.100000000000001" customHeight="1" x14ac:dyDescent="0.2">
      <c r="B20" s="31"/>
      <c r="C20" s="31"/>
      <c r="D20" s="31"/>
      <c r="E20" s="31"/>
      <c r="F20" s="31"/>
      <c r="G20" s="31"/>
      <c r="H20" s="31"/>
      <c r="I20" s="32"/>
      <c r="J20" s="33"/>
      <c r="K20" s="18"/>
      <c r="L20" s="18"/>
      <c r="O20" s="18"/>
    </row>
    <row r="21" spans="1:16" s="24" customFormat="1" ht="30" customHeight="1" x14ac:dyDescent="0.2">
      <c r="B21" s="904" t="s">
        <v>16</v>
      </c>
      <c r="C21" s="905"/>
      <c r="D21" s="905"/>
      <c r="E21" s="905"/>
      <c r="F21" s="905"/>
      <c r="G21" s="905"/>
      <c r="H21" s="906"/>
      <c r="I21" s="34" t="s">
        <v>17</v>
      </c>
      <c r="J21" s="35" t="s">
        <v>18</v>
      </c>
      <c r="K21" s="36" t="s">
        <v>19</v>
      </c>
      <c r="L21" s="37">
        <v>1</v>
      </c>
      <c r="M21" s="23"/>
      <c r="O21" s="37">
        <v>1</v>
      </c>
      <c r="P21" s="38" t="s">
        <v>20</v>
      </c>
    </row>
    <row r="22" spans="1:16" ht="36.950000000000003" customHeight="1" x14ac:dyDescent="0.2">
      <c r="A22" s="24"/>
      <c r="B22" s="946" t="s">
        <v>21</v>
      </c>
      <c r="C22" s="1547"/>
      <c r="D22" s="1547"/>
      <c r="E22" s="1547"/>
      <c r="F22" s="1547"/>
      <c r="G22" s="1547"/>
      <c r="H22" s="1547"/>
      <c r="I22" s="947"/>
      <c r="J22" s="948"/>
      <c r="O22" s="37">
        <v>1</v>
      </c>
      <c r="P22" s="38" t="s">
        <v>20</v>
      </c>
    </row>
    <row r="23" spans="1:16" ht="30" customHeight="1" x14ac:dyDescent="0.2">
      <c r="A23" s="24"/>
      <c r="B23" s="1236" t="s">
        <v>567</v>
      </c>
      <c r="C23" s="1187" t="s">
        <v>134</v>
      </c>
      <c r="D23" s="1188"/>
      <c r="E23" s="1619" t="s">
        <v>239</v>
      </c>
      <c r="F23" s="1619"/>
      <c r="G23" s="1195" t="s">
        <v>570</v>
      </c>
      <c r="H23" s="1226"/>
      <c r="I23" s="1110">
        <v>45</v>
      </c>
      <c r="J23" s="915">
        <v>0.85</v>
      </c>
      <c r="K23" s="43" t="s">
        <v>567</v>
      </c>
      <c r="L23" s="44" t="s">
        <v>25</v>
      </c>
      <c r="N23" s="46" t="s">
        <v>30</v>
      </c>
      <c r="O23" s="37">
        <v>1</v>
      </c>
      <c r="P23" s="38" t="s">
        <v>20</v>
      </c>
    </row>
    <row r="24" spans="1:16" ht="30" customHeight="1" x14ac:dyDescent="0.2">
      <c r="A24" s="24"/>
      <c r="B24" s="1237"/>
      <c r="C24" s="1218" t="s">
        <v>569</v>
      </c>
      <c r="D24" s="1180"/>
      <c r="E24" s="1620" t="s">
        <v>568</v>
      </c>
      <c r="F24" s="1620"/>
      <c r="G24" s="1190"/>
      <c r="H24" s="1212"/>
      <c r="I24" s="1111"/>
      <c r="J24" s="1045"/>
      <c r="K24" s="43" t="s">
        <v>567</v>
      </c>
      <c r="L24" s="44" t="s">
        <v>25</v>
      </c>
      <c r="O24" s="37">
        <v>1</v>
      </c>
      <c r="P24" s="38" t="s">
        <v>20</v>
      </c>
    </row>
    <row r="25" spans="1:16" ht="30" customHeight="1" x14ac:dyDescent="0.2">
      <c r="A25" s="24"/>
      <c r="B25" s="1309" t="s">
        <v>571</v>
      </c>
      <c r="C25" s="1214" t="s">
        <v>572</v>
      </c>
      <c r="D25" s="1195"/>
      <c r="E25" s="1195" t="s">
        <v>378</v>
      </c>
      <c r="F25" s="1195"/>
      <c r="G25" s="1130" t="s">
        <v>342</v>
      </c>
      <c r="H25" s="1131"/>
      <c r="I25" s="1312">
        <v>40</v>
      </c>
      <c r="J25" s="1241">
        <v>0.85</v>
      </c>
      <c r="K25" s="43"/>
      <c r="L25" s="44"/>
      <c r="O25" s="37"/>
      <c r="P25" s="38"/>
    </row>
    <row r="26" spans="1:16" ht="30" customHeight="1" x14ac:dyDescent="0.2">
      <c r="A26" s="24"/>
      <c r="B26" s="1310"/>
      <c r="C26" s="1211" t="s">
        <v>573</v>
      </c>
      <c r="D26" s="1190"/>
      <c r="E26" s="1190" t="s">
        <v>574</v>
      </c>
      <c r="F26" s="1190"/>
      <c r="G26" s="1190" t="s">
        <v>624</v>
      </c>
      <c r="H26" s="1212"/>
      <c r="I26" s="1313"/>
      <c r="J26" s="1242"/>
      <c r="K26" s="43"/>
      <c r="L26" s="44"/>
      <c r="O26" s="37"/>
      <c r="P26" s="38"/>
    </row>
    <row r="27" spans="1:16" ht="30" customHeight="1" x14ac:dyDescent="0.2">
      <c r="A27" s="24"/>
      <c r="B27" s="1310"/>
      <c r="C27" s="1211" t="s">
        <v>576</v>
      </c>
      <c r="D27" s="1190"/>
      <c r="E27" s="1190" t="s">
        <v>577</v>
      </c>
      <c r="F27" s="1190"/>
      <c r="G27" s="1132" t="s">
        <v>578</v>
      </c>
      <c r="H27" s="1134"/>
      <c r="I27" s="1313"/>
      <c r="J27" s="1242"/>
      <c r="K27" s="43"/>
      <c r="L27" s="44"/>
      <c r="O27" s="37"/>
      <c r="P27" s="38"/>
    </row>
    <row r="28" spans="1:16" ht="30" customHeight="1" x14ac:dyDescent="0.2">
      <c r="A28" s="24"/>
      <c r="B28" s="1310"/>
      <c r="C28" s="1211" t="s">
        <v>402</v>
      </c>
      <c r="D28" s="1190"/>
      <c r="E28" s="1190" t="s">
        <v>579</v>
      </c>
      <c r="F28" s="1190"/>
      <c r="G28" s="1022" t="s">
        <v>580</v>
      </c>
      <c r="H28" s="1028"/>
      <c r="I28" s="1313"/>
      <c r="J28" s="1242"/>
      <c r="K28" s="43"/>
      <c r="L28" s="44"/>
      <c r="O28" s="37"/>
      <c r="P28" s="38"/>
    </row>
    <row r="29" spans="1:16" ht="30" customHeight="1" x14ac:dyDescent="0.2">
      <c r="A29" s="24"/>
      <c r="B29" s="1310"/>
      <c r="C29" s="1046" t="s">
        <v>581</v>
      </c>
      <c r="D29" s="1022"/>
      <c r="E29" s="1190" t="s">
        <v>582</v>
      </c>
      <c r="F29" s="1190"/>
      <c r="G29" s="1190"/>
      <c r="H29" s="1212"/>
      <c r="I29" s="1313"/>
      <c r="J29" s="1242"/>
      <c r="K29" s="43"/>
      <c r="L29" s="44"/>
      <c r="O29" s="37"/>
      <c r="P29" s="38"/>
    </row>
    <row r="30" spans="1:16" ht="30" customHeight="1" x14ac:dyDescent="0.2">
      <c r="A30" s="24"/>
      <c r="B30" s="1310"/>
      <c r="C30" s="1218" t="s">
        <v>98</v>
      </c>
      <c r="D30" s="1180"/>
      <c r="E30" s="1180"/>
      <c r="F30" s="1180"/>
      <c r="G30" s="1180"/>
      <c r="H30" s="1227"/>
      <c r="I30" s="1313"/>
      <c r="J30" s="1242"/>
      <c r="K30" s="43"/>
      <c r="L30" s="44"/>
      <c r="O30" s="37"/>
      <c r="P30" s="38"/>
    </row>
    <row r="31" spans="1:16" ht="30" customHeight="1" x14ac:dyDescent="0.2">
      <c r="A31" s="24"/>
      <c r="B31" s="1311"/>
      <c r="C31" s="1306" t="s">
        <v>583</v>
      </c>
      <c r="D31" s="1307"/>
      <c r="E31" s="1307"/>
      <c r="F31" s="1307"/>
      <c r="G31" s="1307"/>
      <c r="H31" s="1308"/>
      <c r="I31" s="1314"/>
      <c r="J31" s="1243"/>
      <c r="K31" s="43"/>
      <c r="L31" s="44"/>
      <c r="O31" s="37"/>
      <c r="P31" s="38"/>
    </row>
    <row r="32" spans="1:16" ht="36.75" customHeight="1" x14ac:dyDescent="0.2">
      <c r="A32" s="24"/>
      <c r="B32" s="1408" t="s">
        <v>584</v>
      </c>
      <c r="C32" s="1617" t="s">
        <v>585</v>
      </c>
      <c r="D32" s="1618"/>
      <c r="E32" s="1618" t="s">
        <v>138</v>
      </c>
      <c r="F32" s="1618"/>
      <c r="G32" s="512" t="s">
        <v>586</v>
      </c>
      <c r="H32" s="513"/>
      <c r="I32" s="1042">
        <v>50</v>
      </c>
      <c r="J32" s="915">
        <v>0.85</v>
      </c>
      <c r="K32" s="43" t="s">
        <v>584</v>
      </c>
      <c r="L32" s="44" t="s">
        <v>25</v>
      </c>
      <c r="M32" s="23"/>
      <c r="N32" s="46" t="s">
        <v>30</v>
      </c>
      <c r="O32" s="37">
        <v>1</v>
      </c>
      <c r="P32" s="38" t="s">
        <v>20</v>
      </c>
    </row>
    <row r="33" spans="1:16" ht="39.950000000000003" customHeight="1" x14ac:dyDescent="0.2">
      <c r="A33" s="24"/>
      <c r="B33" s="1471"/>
      <c r="C33" s="1614" t="s">
        <v>587</v>
      </c>
      <c r="D33" s="1615"/>
      <c r="E33" s="1615" t="s">
        <v>588</v>
      </c>
      <c r="F33" s="1615"/>
      <c r="G33" s="1615" t="s">
        <v>589</v>
      </c>
      <c r="H33" s="1616"/>
      <c r="I33" s="1043"/>
      <c r="J33" s="1045"/>
      <c r="K33" s="43" t="s">
        <v>584</v>
      </c>
      <c r="L33" s="44" t="s">
        <v>25</v>
      </c>
      <c r="M33" s="23"/>
      <c r="O33" s="37">
        <v>1</v>
      </c>
      <c r="P33" s="38" t="s">
        <v>20</v>
      </c>
    </row>
    <row r="34" spans="1:16" ht="30" customHeight="1" x14ac:dyDescent="0.2">
      <c r="A34" s="37" t="s">
        <v>97</v>
      </c>
      <c r="B34" s="1471"/>
      <c r="C34" s="1452" t="s">
        <v>98</v>
      </c>
      <c r="D34" s="1506"/>
      <c r="E34" s="1506"/>
      <c r="F34" s="1506"/>
      <c r="G34" s="1506"/>
      <c r="H34" s="1507"/>
      <c r="I34" s="1043"/>
      <c r="J34" s="1045"/>
      <c r="K34" s="43" t="s">
        <v>584</v>
      </c>
      <c r="L34" s="44" t="s">
        <v>25</v>
      </c>
      <c r="M34" s="23"/>
      <c r="O34" s="37">
        <v>1</v>
      </c>
      <c r="P34" s="38" t="s">
        <v>20</v>
      </c>
    </row>
    <row r="35" spans="1:16" ht="30" customHeight="1" x14ac:dyDescent="0.2">
      <c r="A35" s="37" t="s">
        <v>97</v>
      </c>
      <c r="B35" s="1409"/>
      <c r="C35" s="1453" t="s">
        <v>590</v>
      </c>
      <c r="D35" s="1213"/>
      <c r="E35" s="1213"/>
      <c r="F35" s="1213"/>
      <c r="G35" s="1213"/>
      <c r="H35" s="1454"/>
      <c r="I35" s="1043"/>
      <c r="J35" s="1045"/>
      <c r="K35" s="43" t="s">
        <v>584</v>
      </c>
      <c r="L35" s="44" t="s">
        <v>25</v>
      </c>
      <c r="M35" s="23"/>
      <c r="O35" s="37">
        <v>1</v>
      </c>
      <c r="P35" s="38" t="s">
        <v>20</v>
      </c>
    </row>
    <row r="36" spans="1:16" ht="39.950000000000003" customHeight="1" x14ac:dyDescent="0.2">
      <c r="B36" s="1236" t="s">
        <v>591</v>
      </c>
      <c r="C36" s="1461" t="s">
        <v>592</v>
      </c>
      <c r="D36" s="1462"/>
      <c r="E36" s="1462" t="s">
        <v>176</v>
      </c>
      <c r="F36" s="1462"/>
      <c r="G36" s="1462" t="s">
        <v>593</v>
      </c>
      <c r="H36" s="1463"/>
      <c r="I36" s="1446">
        <v>80</v>
      </c>
      <c r="J36" s="1449">
        <v>0.75</v>
      </c>
      <c r="K36" s="43" t="s">
        <v>591</v>
      </c>
      <c r="L36" s="44" t="s">
        <v>25</v>
      </c>
      <c r="M36" s="18"/>
      <c r="N36" s="46" t="s">
        <v>30</v>
      </c>
      <c r="O36" s="37">
        <v>1</v>
      </c>
      <c r="P36" s="38" t="s">
        <v>20</v>
      </c>
    </row>
    <row r="37" spans="1:16" ht="39.950000000000003" customHeight="1" x14ac:dyDescent="0.2">
      <c r="B37" s="1238"/>
      <c r="C37" s="1192" t="s">
        <v>594</v>
      </c>
      <c r="D37" s="1192"/>
      <c r="E37" s="346"/>
      <c r="F37" s="346"/>
      <c r="G37" s="346"/>
      <c r="H37" s="347"/>
      <c r="I37" s="1448"/>
      <c r="J37" s="1451"/>
      <c r="K37" s="43" t="s">
        <v>591</v>
      </c>
      <c r="L37" s="44" t="s">
        <v>25</v>
      </c>
      <c r="M37" s="18"/>
      <c r="N37" s="4"/>
      <c r="O37" s="37">
        <v>1</v>
      </c>
      <c r="P37" s="38" t="s">
        <v>20</v>
      </c>
    </row>
    <row r="38" spans="1:16" ht="30" customHeight="1" x14ac:dyDescent="0.2">
      <c r="A38" s="24"/>
      <c r="B38" s="1408" t="s">
        <v>595</v>
      </c>
      <c r="C38" s="1410" t="s">
        <v>596</v>
      </c>
      <c r="D38" s="1411"/>
      <c r="E38" s="1195" t="s">
        <v>597</v>
      </c>
      <c r="F38" s="1195"/>
      <c r="G38" s="1412" t="s">
        <v>598</v>
      </c>
      <c r="H38" s="1413"/>
      <c r="I38" s="1397">
        <v>55</v>
      </c>
      <c r="J38" s="915">
        <v>0.85</v>
      </c>
      <c r="K38" s="43" t="s">
        <v>571</v>
      </c>
      <c r="L38" s="44" t="s">
        <v>25</v>
      </c>
      <c r="M38" s="23"/>
      <c r="N38" s="46" t="s">
        <v>30</v>
      </c>
      <c r="O38" s="37">
        <v>1</v>
      </c>
      <c r="P38" s="38" t="s">
        <v>20</v>
      </c>
    </row>
    <row r="39" spans="1:16" ht="30" customHeight="1" x14ac:dyDescent="0.2">
      <c r="A39" s="24"/>
      <c r="B39" s="1409"/>
      <c r="C39" s="1399" t="s">
        <v>599</v>
      </c>
      <c r="D39" s="1400"/>
      <c r="E39" s="1400" t="s">
        <v>600</v>
      </c>
      <c r="F39" s="1400"/>
      <c r="G39" s="325"/>
      <c r="H39" s="326"/>
      <c r="I39" s="1398"/>
      <c r="J39" s="916"/>
      <c r="K39" s="43" t="s">
        <v>571</v>
      </c>
      <c r="L39" s="44" t="s">
        <v>25</v>
      </c>
      <c r="M39" s="23"/>
      <c r="N39" s="46"/>
      <c r="O39" s="37">
        <v>1</v>
      </c>
      <c r="P39" s="38" t="s">
        <v>20</v>
      </c>
    </row>
    <row r="40" spans="1:16" ht="39.950000000000003" customHeight="1" x14ac:dyDescent="0.2">
      <c r="B40" s="327" t="s">
        <v>601</v>
      </c>
      <c r="C40" s="1063" t="s">
        <v>602</v>
      </c>
      <c r="D40" s="1063"/>
      <c r="E40" s="1063"/>
      <c r="F40" s="1063"/>
      <c r="G40" s="1063"/>
      <c r="H40" s="1063"/>
      <c r="I40" s="328">
        <v>35</v>
      </c>
      <c r="J40" s="353">
        <v>0.9</v>
      </c>
      <c r="K40" s="43" t="s">
        <v>601</v>
      </c>
      <c r="L40" s="44" t="s">
        <v>25</v>
      </c>
      <c r="M40" s="23"/>
      <c r="N40" s="46" t="s">
        <v>30</v>
      </c>
      <c r="O40" s="37">
        <v>1</v>
      </c>
      <c r="P40" s="38" t="s">
        <v>20</v>
      </c>
    </row>
    <row r="41" spans="1:16" ht="39.950000000000003" customHeight="1" x14ac:dyDescent="0.2">
      <c r="B41" s="96" t="s">
        <v>603</v>
      </c>
      <c r="C41" s="1063" t="s">
        <v>604</v>
      </c>
      <c r="D41" s="1063"/>
      <c r="E41" s="1063"/>
      <c r="F41" s="1063"/>
      <c r="G41" s="1063"/>
      <c r="H41" s="1063"/>
      <c r="I41" s="328">
        <v>55</v>
      </c>
      <c r="J41" s="353">
        <v>0.85</v>
      </c>
      <c r="K41" s="43" t="s">
        <v>603</v>
      </c>
      <c r="L41" s="44" t="s">
        <v>25</v>
      </c>
      <c r="M41" s="23"/>
      <c r="N41" s="46" t="s">
        <v>30</v>
      </c>
      <c r="O41" s="37">
        <v>1</v>
      </c>
      <c r="P41" s="38" t="s">
        <v>20</v>
      </c>
    </row>
    <row r="42" spans="1:16" ht="20.100000000000001" customHeight="1" x14ac:dyDescent="0.2">
      <c r="B42" s="514"/>
      <c r="C42" s="515"/>
      <c r="D42" s="515"/>
      <c r="E42" s="515"/>
      <c r="F42" s="515"/>
      <c r="G42" s="515"/>
      <c r="H42" s="515"/>
      <c r="I42" s="141"/>
      <c r="J42" s="142"/>
      <c r="K42" s="18"/>
      <c r="L42" s="58"/>
      <c r="M42" s="23"/>
      <c r="N42" s="4"/>
      <c r="O42" s="4"/>
      <c r="P42" s="59"/>
    </row>
    <row r="43" spans="1:16" ht="30" customHeight="1" x14ac:dyDescent="0.2">
      <c r="B43" s="904" t="s">
        <v>155</v>
      </c>
      <c r="C43" s="905"/>
      <c r="D43" s="905"/>
      <c r="E43" s="905"/>
      <c r="F43" s="905"/>
      <c r="G43" s="905"/>
      <c r="H43" s="906"/>
      <c r="I43" s="34" t="s">
        <v>17</v>
      </c>
      <c r="J43" s="35" t="s">
        <v>18</v>
      </c>
      <c r="K43" s="36" t="s">
        <v>156</v>
      </c>
      <c r="L43" s="37">
        <v>7</v>
      </c>
      <c r="N43" s="46" t="s">
        <v>30</v>
      </c>
      <c r="O43" s="37">
        <v>7</v>
      </c>
      <c r="P43" s="38" t="s">
        <v>157</v>
      </c>
    </row>
    <row r="44" spans="1:16" ht="36" customHeight="1" x14ac:dyDescent="0.2">
      <c r="B44" s="946" t="s">
        <v>21</v>
      </c>
      <c r="C44" s="947"/>
      <c r="D44" s="947"/>
      <c r="E44" s="947"/>
      <c r="F44" s="947"/>
      <c r="G44" s="947"/>
      <c r="H44" s="947"/>
      <c r="I44" s="947"/>
      <c r="J44" s="948"/>
      <c r="K44" s="18"/>
      <c r="L44" s="18"/>
      <c r="O44" s="37">
        <v>7</v>
      </c>
      <c r="P44" s="38" t="s">
        <v>157</v>
      </c>
    </row>
    <row r="45" spans="1:16" ht="54.95" customHeight="1" x14ac:dyDescent="0.2">
      <c r="A45" s="49"/>
      <c r="B45" s="96" t="s">
        <v>615</v>
      </c>
      <c r="C45" s="1487" t="s">
        <v>616</v>
      </c>
      <c r="D45" s="1488"/>
      <c r="E45" s="1488"/>
      <c r="F45" s="1488"/>
      <c r="G45" s="1488"/>
      <c r="H45" s="1489"/>
      <c r="I45" s="341">
        <v>50</v>
      </c>
      <c r="J45" s="271">
        <v>0.8</v>
      </c>
      <c r="K45" s="101" t="s">
        <v>617</v>
      </c>
      <c r="L45" s="342" t="s">
        <v>618</v>
      </c>
      <c r="O45" s="37">
        <v>7</v>
      </c>
      <c r="P45" s="38" t="s">
        <v>157</v>
      </c>
    </row>
    <row r="46" spans="1:16" ht="20.100000000000001" customHeight="1" x14ac:dyDescent="0.2">
      <c r="B46" s="31"/>
      <c r="C46" s="31"/>
      <c r="D46" s="31"/>
      <c r="E46" s="31"/>
      <c r="F46" s="31"/>
      <c r="G46" s="31"/>
      <c r="H46" s="31"/>
      <c r="I46" s="32"/>
      <c r="J46" s="33"/>
      <c r="K46" s="18"/>
      <c r="L46" s="18"/>
      <c r="O46" s="18"/>
    </row>
    <row r="47" spans="1:16" ht="30" customHeight="1" x14ac:dyDescent="0.2">
      <c r="B47" s="1223" t="s">
        <v>185</v>
      </c>
      <c r="C47" s="1223"/>
      <c r="D47" s="1223"/>
      <c r="E47" s="1223"/>
      <c r="F47" s="1223"/>
      <c r="G47" s="1223"/>
      <c r="H47" s="1223"/>
      <c r="I47" s="34" t="s">
        <v>17</v>
      </c>
      <c r="J47" s="35" t="s">
        <v>18</v>
      </c>
      <c r="K47" s="36" t="s">
        <v>186</v>
      </c>
      <c r="L47" s="37">
        <v>8</v>
      </c>
      <c r="N47" s="46" t="s">
        <v>30</v>
      </c>
      <c r="O47" s="37">
        <v>8</v>
      </c>
      <c r="P47" s="38" t="s">
        <v>187</v>
      </c>
    </row>
    <row r="48" spans="1:16" ht="48" customHeight="1" x14ac:dyDescent="0.2">
      <c r="B48" s="1268" t="s">
        <v>21</v>
      </c>
      <c r="C48" s="1268"/>
      <c r="D48" s="1268"/>
      <c r="E48" s="1268"/>
      <c r="F48" s="1268"/>
      <c r="G48" s="1268"/>
      <c r="H48" s="1268"/>
      <c r="I48" s="1268"/>
      <c r="J48" s="1268"/>
      <c r="O48" s="37">
        <v>8</v>
      </c>
      <c r="P48" s="38" t="s">
        <v>187</v>
      </c>
    </row>
    <row r="49" spans="1:16" ht="39.950000000000003" customHeight="1" x14ac:dyDescent="0.2">
      <c r="B49" s="1479" t="s">
        <v>619</v>
      </c>
      <c r="C49" s="1211" t="s">
        <v>134</v>
      </c>
      <c r="D49" s="1190"/>
      <c r="E49" s="1190" t="s">
        <v>570</v>
      </c>
      <c r="F49" s="1190"/>
      <c r="G49" s="1190" t="s">
        <v>569</v>
      </c>
      <c r="H49" s="1212"/>
      <c r="I49" s="1611">
        <v>45</v>
      </c>
      <c r="J49" s="915">
        <v>0.85</v>
      </c>
      <c r="K49" s="118" t="s">
        <v>567</v>
      </c>
      <c r="L49" s="117" t="s">
        <v>190</v>
      </c>
      <c r="M49" s="79"/>
      <c r="N49" s="46" t="s">
        <v>30</v>
      </c>
      <c r="O49" s="37">
        <v>8</v>
      </c>
      <c r="P49" s="38" t="s">
        <v>187</v>
      </c>
    </row>
    <row r="50" spans="1:16" ht="39.950000000000003" customHeight="1" x14ac:dyDescent="0.2">
      <c r="B50" s="1479"/>
      <c r="C50" s="1481" t="s">
        <v>620</v>
      </c>
      <c r="D50" s="1482"/>
      <c r="E50" s="1482" t="s">
        <v>621</v>
      </c>
      <c r="F50" s="1482"/>
      <c r="G50" s="1022" t="s">
        <v>622</v>
      </c>
      <c r="H50" s="1028"/>
      <c r="I50" s="1612"/>
      <c r="J50" s="1045"/>
      <c r="K50" s="118" t="s">
        <v>567</v>
      </c>
      <c r="L50" s="117" t="s">
        <v>190</v>
      </c>
      <c r="M50" s="79"/>
      <c r="N50" s="343"/>
      <c r="O50" s="37">
        <v>8</v>
      </c>
      <c r="P50" s="38" t="s">
        <v>187</v>
      </c>
    </row>
    <row r="51" spans="1:16" ht="39.950000000000003" customHeight="1" x14ac:dyDescent="0.2">
      <c r="B51" s="1479"/>
      <c r="C51" s="1206" t="s">
        <v>568</v>
      </c>
      <c r="D51" s="1207"/>
      <c r="E51" s="1207"/>
      <c r="F51" s="1207"/>
      <c r="G51" s="344"/>
      <c r="H51" s="345"/>
      <c r="I51" s="1613"/>
      <c r="J51" s="916"/>
      <c r="K51" s="118" t="s">
        <v>567</v>
      </c>
      <c r="L51" s="117" t="s">
        <v>190</v>
      </c>
      <c r="M51" s="79"/>
      <c r="N51" s="343"/>
      <c r="O51" s="37">
        <v>8</v>
      </c>
      <c r="P51" s="38" t="s">
        <v>187</v>
      </c>
    </row>
    <row r="52" spans="1:16" ht="39.950000000000003" customHeight="1" x14ac:dyDescent="0.2">
      <c r="B52" s="1120" t="s">
        <v>623</v>
      </c>
      <c r="C52" s="1214" t="s">
        <v>572</v>
      </c>
      <c r="D52" s="1195"/>
      <c r="E52" s="1015" t="s">
        <v>378</v>
      </c>
      <c r="F52" s="1015"/>
      <c r="G52" s="1204" t="s">
        <v>342</v>
      </c>
      <c r="H52" s="1205"/>
      <c r="I52" s="1110">
        <v>40</v>
      </c>
      <c r="J52" s="915">
        <v>0.85</v>
      </c>
      <c r="K52" s="118"/>
      <c r="L52" s="117"/>
      <c r="M52" s="79"/>
      <c r="N52" s="343"/>
      <c r="O52" s="37"/>
      <c r="P52" s="38"/>
    </row>
    <row r="53" spans="1:16" ht="39.950000000000003" customHeight="1" x14ac:dyDescent="0.2">
      <c r="B53" s="1121"/>
      <c r="C53" s="1211" t="s">
        <v>573</v>
      </c>
      <c r="D53" s="1190"/>
      <c r="E53" s="1190" t="s">
        <v>574</v>
      </c>
      <c r="F53" s="1190"/>
      <c r="G53" s="1022" t="s">
        <v>402</v>
      </c>
      <c r="H53" s="1028"/>
      <c r="I53" s="1111"/>
      <c r="J53" s="1045"/>
      <c r="K53" s="118"/>
      <c r="L53" s="117"/>
      <c r="M53" s="79"/>
      <c r="N53" s="343"/>
      <c r="O53" s="37"/>
      <c r="P53" s="38"/>
    </row>
    <row r="54" spans="1:16" ht="39.950000000000003" customHeight="1" x14ac:dyDescent="0.2">
      <c r="B54" s="1121"/>
      <c r="C54" s="1211" t="s">
        <v>576</v>
      </c>
      <c r="D54" s="1190"/>
      <c r="E54" s="1190" t="s">
        <v>577</v>
      </c>
      <c r="F54" s="1190"/>
      <c r="G54" s="1190" t="s">
        <v>575</v>
      </c>
      <c r="H54" s="1212"/>
      <c r="I54" s="1111"/>
      <c r="J54" s="1045"/>
      <c r="K54" s="118"/>
      <c r="L54" s="117"/>
      <c r="M54" s="79"/>
      <c r="N54" s="343"/>
      <c r="O54" s="37"/>
      <c r="P54" s="38"/>
    </row>
    <row r="55" spans="1:16" ht="39.950000000000003" customHeight="1" x14ac:dyDescent="0.2">
      <c r="B55" s="1121"/>
      <c r="C55" s="1211" t="s">
        <v>579</v>
      </c>
      <c r="D55" s="1190"/>
      <c r="E55" s="1190" t="s">
        <v>578</v>
      </c>
      <c r="F55" s="1190"/>
      <c r="G55" s="1190" t="s">
        <v>580</v>
      </c>
      <c r="H55" s="1212"/>
      <c r="I55" s="1111"/>
      <c r="J55" s="1045"/>
      <c r="K55" s="118"/>
      <c r="L55" s="117"/>
      <c r="M55" s="79"/>
      <c r="N55" s="343"/>
      <c r="O55" s="37"/>
      <c r="P55" s="38"/>
    </row>
    <row r="56" spans="1:16" ht="39.950000000000003" customHeight="1" x14ac:dyDescent="0.2">
      <c r="B56" s="1122"/>
      <c r="C56" s="1211" t="s">
        <v>581</v>
      </c>
      <c r="D56" s="1190"/>
      <c r="E56" s="1180"/>
      <c r="F56" s="1180"/>
      <c r="G56" s="1022"/>
      <c r="H56" s="1028"/>
      <c r="I56" s="1112"/>
      <c r="J56" s="916"/>
      <c r="K56" s="118"/>
      <c r="L56" s="117"/>
      <c r="M56" s="79"/>
      <c r="N56" s="343"/>
      <c r="O56" s="37"/>
      <c r="P56" s="38"/>
    </row>
    <row r="57" spans="1:16" ht="39.950000000000003" customHeight="1" x14ac:dyDescent="0.2">
      <c r="A57" s="24"/>
      <c r="B57" s="1309" t="s">
        <v>625</v>
      </c>
      <c r="C57" s="1476" t="s">
        <v>585</v>
      </c>
      <c r="D57" s="1477"/>
      <c r="E57" s="1149" t="s">
        <v>587</v>
      </c>
      <c r="F57" s="1149"/>
      <c r="G57" s="1195" t="s">
        <v>588</v>
      </c>
      <c r="H57" s="1226"/>
      <c r="I57" s="1042">
        <v>50</v>
      </c>
      <c r="J57" s="915">
        <v>0.85</v>
      </c>
      <c r="K57" s="118" t="s">
        <v>584</v>
      </c>
      <c r="L57" s="117" t="s">
        <v>190</v>
      </c>
      <c r="O57" s="37">
        <v>8</v>
      </c>
      <c r="P57" s="38" t="s">
        <v>187</v>
      </c>
    </row>
    <row r="58" spans="1:16" ht="30" customHeight="1" x14ac:dyDescent="0.2">
      <c r="A58" s="24"/>
      <c r="B58" s="1310"/>
      <c r="C58" s="1147" t="s">
        <v>586</v>
      </c>
      <c r="D58" s="1148"/>
      <c r="E58" s="1148"/>
      <c r="F58" s="1148"/>
      <c r="G58" s="1207"/>
      <c r="H58" s="1222"/>
      <c r="I58" s="1043"/>
      <c r="J58" s="1045"/>
      <c r="K58" s="118" t="s">
        <v>584</v>
      </c>
      <c r="L58" s="117" t="s">
        <v>190</v>
      </c>
      <c r="O58" s="37">
        <v>8</v>
      </c>
      <c r="P58" s="38" t="s">
        <v>187</v>
      </c>
    </row>
    <row r="59" spans="1:16" ht="39.950000000000003" customHeight="1" x14ac:dyDescent="0.2">
      <c r="A59" s="24"/>
      <c r="B59" s="1236" t="s">
        <v>626</v>
      </c>
      <c r="C59" s="1461" t="s">
        <v>592</v>
      </c>
      <c r="D59" s="1462"/>
      <c r="E59" s="1462" t="s">
        <v>176</v>
      </c>
      <c r="F59" s="1462"/>
      <c r="G59" s="1462" t="s">
        <v>593</v>
      </c>
      <c r="H59" s="1463"/>
      <c r="I59" s="1446">
        <v>80</v>
      </c>
      <c r="J59" s="1449">
        <v>0.75</v>
      </c>
      <c r="K59" s="118" t="s">
        <v>591</v>
      </c>
      <c r="L59" s="117" t="s">
        <v>190</v>
      </c>
      <c r="M59" s="18"/>
      <c r="N59" s="46" t="s">
        <v>30</v>
      </c>
      <c r="O59" s="37">
        <v>8</v>
      </c>
      <c r="P59" s="38" t="s">
        <v>187</v>
      </c>
    </row>
    <row r="60" spans="1:16" ht="39.950000000000003" customHeight="1" x14ac:dyDescent="0.2">
      <c r="A60" s="24"/>
      <c r="B60" s="1238"/>
      <c r="C60" s="1192" t="s">
        <v>594</v>
      </c>
      <c r="D60" s="1192"/>
      <c r="E60" s="346"/>
      <c r="F60" s="346"/>
      <c r="G60" s="346"/>
      <c r="H60" s="347"/>
      <c r="I60" s="1448"/>
      <c r="J60" s="1451"/>
      <c r="K60" s="118" t="s">
        <v>591</v>
      </c>
      <c r="L60" s="117" t="s">
        <v>190</v>
      </c>
      <c r="M60" s="18"/>
      <c r="N60" s="4"/>
      <c r="O60" s="37">
        <v>8</v>
      </c>
      <c r="P60" s="38" t="s">
        <v>187</v>
      </c>
    </row>
    <row r="61" spans="1:16" ht="30" customHeight="1" x14ac:dyDescent="0.2">
      <c r="A61" s="24"/>
      <c r="B61" s="1236" t="s">
        <v>627</v>
      </c>
      <c r="C61" s="1410" t="s">
        <v>596</v>
      </c>
      <c r="D61" s="1411"/>
      <c r="E61" s="1195" t="s">
        <v>597</v>
      </c>
      <c r="F61" s="1195"/>
      <c r="G61" s="1412" t="s">
        <v>598</v>
      </c>
      <c r="H61" s="1413"/>
      <c r="I61" s="1397">
        <v>55</v>
      </c>
      <c r="J61" s="915">
        <v>0.85</v>
      </c>
      <c r="K61" s="118" t="s">
        <v>571</v>
      </c>
      <c r="L61" s="117" t="s">
        <v>190</v>
      </c>
      <c r="N61" s="46" t="s">
        <v>30</v>
      </c>
      <c r="O61" s="37">
        <v>8</v>
      </c>
      <c r="P61" s="38" t="s">
        <v>187</v>
      </c>
    </row>
    <row r="62" spans="1:16" ht="30" customHeight="1" x14ac:dyDescent="0.2">
      <c r="A62" s="24"/>
      <c r="B62" s="1238"/>
      <c r="C62" s="1399" t="s">
        <v>599</v>
      </c>
      <c r="D62" s="1400"/>
      <c r="E62" s="1400" t="s">
        <v>600</v>
      </c>
      <c r="F62" s="1400"/>
      <c r="G62" s="325"/>
      <c r="H62" s="326"/>
      <c r="I62" s="1398"/>
      <c r="J62" s="916"/>
      <c r="K62" s="118" t="s">
        <v>571</v>
      </c>
      <c r="L62" s="117" t="s">
        <v>190</v>
      </c>
      <c r="N62" s="46"/>
      <c r="O62" s="37">
        <v>8</v>
      </c>
      <c r="P62" s="38" t="s">
        <v>187</v>
      </c>
    </row>
    <row r="63" spans="1:16" ht="39.950000000000003" customHeight="1" x14ac:dyDescent="0.2">
      <c r="B63" s="327" t="s">
        <v>628</v>
      </c>
      <c r="C63" s="1063" t="s">
        <v>602</v>
      </c>
      <c r="D63" s="1063"/>
      <c r="E63" s="1063"/>
      <c r="F63" s="1063"/>
      <c r="G63" s="1063"/>
      <c r="H63" s="1063"/>
      <c r="I63" s="61">
        <v>35</v>
      </c>
      <c r="J63" s="42">
        <v>0.9</v>
      </c>
      <c r="K63" s="118" t="s">
        <v>601</v>
      </c>
      <c r="L63" s="117" t="s">
        <v>190</v>
      </c>
      <c r="N63" s="46" t="s">
        <v>30</v>
      </c>
      <c r="O63" s="37">
        <v>8</v>
      </c>
      <c r="P63" s="38" t="s">
        <v>187</v>
      </c>
    </row>
    <row r="64" spans="1:16" ht="39.950000000000003" customHeight="1" x14ac:dyDescent="0.2">
      <c r="B64" s="327" t="s">
        <v>629</v>
      </c>
      <c r="C64" s="1063" t="s">
        <v>604</v>
      </c>
      <c r="D64" s="1063"/>
      <c r="E64" s="1063"/>
      <c r="F64" s="1063"/>
      <c r="G64" s="1063"/>
      <c r="H64" s="1063"/>
      <c r="I64" s="61">
        <v>55</v>
      </c>
      <c r="J64" s="42">
        <v>0.85</v>
      </c>
      <c r="K64" s="118" t="s">
        <v>603</v>
      </c>
      <c r="L64" s="117" t="s">
        <v>190</v>
      </c>
      <c r="N64" s="46" t="s">
        <v>30</v>
      </c>
      <c r="O64" s="37">
        <v>8</v>
      </c>
      <c r="P64" s="38" t="s">
        <v>187</v>
      </c>
    </row>
    <row r="65" spans="1:16" ht="20.100000000000001" customHeight="1" x14ac:dyDescent="0.2">
      <c r="B65" s="31"/>
      <c r="C65" s="31"/>
      <c r="D65" s="31"/>
      <c r="E65" s="31"/>
      <c r="F65" s="31"/>
      <c r="G65" s="31"/>
      <c r="H65" s="31"/>
      <c r="I65" s="32"/>
      <c r="J65" s="33"/>
      <c r="K65" s="18"/>
      <c r="L65" s="18"/>
      <c r="O65" s="18"/>
    </row>
    <row r="66" spans="1:16" ht="30" customHeight="1" x14ac:dyDescent="0.2">
      <c r="B66" s="1223" t="s">
        <v>240</v>
      </c>
      <c r="C66" s="1223"/>
      <c r="D66" s="1223"/>
      <c r="E66" s="1223"/>
      <c r="F66" s="1223"/>
      <c r="G66" s="1223"/>
      <c r="H66" s="1223"/>
      <c r="I66" s="34" t="s">
        <v>17</v>
      </c>
      <c r="J66" s="35" t="s">
        <v>18</v>
      </c>
      <c r="K66" s="36" t="s">
        <v>242</v>
      </c>
      <c r="L66" s="37">
        <v>10</v>
      </c>
      <c r="N66" s="46" t="s">
        <v>30</v>
      </c>
      <c r="O66" s="37">
        <v>10</v>
      </c>
      <c r="P66" s="38" t="s">
        <v>243</v>
      </c>
    </row>
    <row r="67" spans="1:16" s="24" customFormat="1" ht="42.75" customHeight="1" x14ac:dyDescent="0.2">
      <c r="B67" s="1268" t="s">
        <v>823</v>
      </c>
      <c r="C67" s="1268"/>
      <c r="D67" s="1268"/>
      <c r="E67" s="1268"/>
      <c r="F67" s="1268"/>
      <c r="G67" s="1268"/>
      <c r="H67" s="1268"/>
      <c r="I67" s="1268"/>
      <c r="J67" s="1268"/>
      <c r="M67" s="23"/>
      <c r="O67" s="37">
        <v>10</v>
      </c>
      <c r="P67" s="38" t="s">
        <v>243</v>
      </c>
    </row>
    <row r="68" spans="1:16" ht="31.5" customHeight="1" x14ac:dyDescent="0.2">
      <c r="A68" s="24"/>
      <c r="B68" s="327" t="s">
        <v>567</v>
      </c>
      <c r="C68" s="1214" t="s">
        <v>134</v>
      </c>
      <c r="D68" s="1195"/>
      <c r="E68" s="859" t="s">
        <v>631</v>
      </c>
      <c r="F68" s="859"/>
      <c r="G68" s="1195" t="s">
        <v>95</v>
      </c>
      <c r="H68" s="1226"/>
      <c r="I68" s="61" t="s">
        <v>924</v>
      </c>
      <c r="J68" s="42">
        <v>0.85</v>
      </c>
      <c r="K68" s="43" t="s">
        <v>567</v>
      </c>
      <c r="L68" s="44" t="s">
        <v>246</v>
      </c>
      <c r="N68" s="46" t="s">
        <v>30</v>
      </c>
      <c r="O68" s="37">
        <v>10</v>
      </c>
      <c r="P68" s="38" t="s">
        <v>243</v>
      </c>
    </row>
    <row r="69" spans="1:16" ht="31.5" customHeight="1" x14ac:dyDescent="0.2">
      <c r="A69" s="24"/>
      <c r="B69" s="1004" t="s">
        <v>571</v>
      </c>
      <c r="C69" s="1214" t="s">
        <v>378</v>
      </c>
      <c r="D69" s="1195"/>
      <c r="E69" s="1195" t="s">
        <v>342</v>
      </c>
      <c r="F69" s="1195"/>
      <c r="G69" s="1195" t="s">
        <v>632</v>
      </c>
      <c r="H69" s="1226"/>
      <c r="I69" s="1042" t="s">
        <v>924</v>
      </c>
      <c r="J69" s="915">
        <v>0.8</v>
      </c>
      <c r="K69" s="43"/>
      <c r="L69" s="44"/>
      <c r="N69" s="46"/>
      <c r="O69" s="37"/>
      <c r="P69" s="38"/>
    </row>
    <row r="70" spans="1:16" ht="31.5" customHeight="1" x14ac:dyDescent="0.2">
      <c r="A70" s="24"/>
      <c r="B70" s="1039"/>
      <c r="C70" s="1211" t="s">
        <v>574</v>
      </c>
      <c r="D70" s="1190"/>
      <c r="E70" s="1190" t="s">
        <v>580</v>
      </c>
      <c r="F70" s="1190"/>
      <c r="G70" s="1190" t="s">
        <v>576</v>
      </c>
      <c r="H70" s="1212"/>
      <c r="I70" s="1043"/>
      <c r="J70" s="1045"/>
      <c r="K70" s="43"/>
      <c r="L70" s="44"/>
      <c r="N70" s="46"/>
      <c r="O70" s="37"/>
      <c r="P70" s="38"/>
    </row>
    <row r="71" spans="1:16" ht="31.5" customHeight="1" x14ac:dyDescent="0.2">
      <c r="A71" s="24"/>
      <c r="B71" s="1039"/>
      <c r="C71" s="1211" t="s">
        <v>577</v>
      </c>
      <c r="D71" s="1190"/>
      <c r="E71" s="1190" t="s">
        <v>624</v>
      </c>
      <c r="F71" s="1190"/>
      <c r="G71" s="1190" t="s">
        <v>578</v>
      </c>
      <c r="H71" s="1212"/>
      <c r="I71" s="1043"/>
      <c r="J71" s="1045"/>
      <c r="K71" s="43"/>
      <c r="L71" s="44"/>
      <c r="N71" s="46"/>
      <c r="O71" s="37"/>
      <c r="P71" s="38"/>
    </row>
    <row r="72" spans="1:16" ht="31.5" customHeight="1" x14ac:dyDescent="0.2">
      <c r="A72" s="24"/>
      <c r="B72" s="1039"/>
      <c r="C72" s="1116" t="s">
        <v>402</v>
      </c>
      <c r="D72" s="1034"/>
      <c r="E72" s="1207" t="s">
        <v>581</v>
      </c>
      <c r="F72" s="1207"/>
      <c r="G72" s="1207" t="s">
        <v>579</v>
      </c>
      <c r="H72" s="1222"/>
      <c r="I72" s="1043"/>
      <c r="J72" s="1045"/>
      <c r="K72" s="43"/>
      <c r="L72" s="44"/>
      <c r="N72" s="46"/>
      <c r="O72" s="37"/>
      <c r="P72" s="38"/>
    </row>
    <row r="73" spans="1:16" ht="24.95" customHeight="1" x14ac:dyDescent="0.2">
      <c r="A73" s="24"/>
      <c r="B73" s="1408" t="s">
        <v>584</v>
      </c>
      <c r="C73" s="1457" t="s">
        <v>585</v>
      </c>
      <c r="D73" s="1219"/>
      <c r="E73" s="1219" t="s">
        <v>138</v>
      </c>
      <c r="F73" s="1219"/>
      <c r="G73" s="1190" t="s">
        <v>586</v>
      </c>
      <c r="H73" s="1212"/>
      <c r="I73" s="1110" t="s">
        <v>924</v>
      </c>
      <c r="J73" s="915">
        <v>0.8</v>
      </c>
      <c r="K73" s="43" t="s">
        <v>584</v>
      </c>
      <c r="L73" s="44" t="s">
        <v>246</v>
      </c>
      <c r="O73" s="37">
        <v>10</v>
      </c>
      <c r="P73" s="38" t="s">
        <v>243</v>
      </c>
    </row>
    <row r="74" spans="1:16" ht="24.95" customHeight="1" x14ac:dyDescent="0.2">
      <c r="A74" s="24"/>
      <c r="B74" s="1471"/>
      <c r="C74" s="1452" t="s">
        <v>587</v>
      </c>
      <c r="D74" s="1192"/>
      <c r="E74" s="1219"/>
      <c r="F74" s="1219"/>
      <c r="G74" s="1190"/>
      <c r="H74" s="1212"/>
      <c r="I74" s="1111"/>
      <c r="J74" s="1045"/>
      <c r="K74" s="43" t="s">
        <v>584</v>
      </c>
      <c r="L74" s="44" t="s">
        <v>246</v>
      </c>
      <c r="O74" s="37">
        <v>10</v>
      </c>
      <c r="P74" s="38" t="s">
        <v>243</v>
      </c>
    </row>
    <row r="75" spans="1:16" ht="30" customHeight="1" x14ac:dyDescent="0.2">
      <c r="A75" s="24"/>
      <c r="B75" s="359" t="s">
        <v>595</v>
      </c>
      <c r="C75" s="1458" t="s">
        <v>596</v>
      </c>
      <c r="D75" s="1459"/>
      <c r="E75" s="1058" t="s">
        <v>598</v>
      </c>
      <c r="F75" s="1058"/>
      <c r="G75" s="1459" t="s">
        <v>599</v>
      </c>
      <c r="H75" s="1460"/>
      <c r="I75" s="360" t="s">
        <v>924</v>
      </c>
      <c r="J75" s="121">
        <v>0.8</v>
      </c>
      <c r="K75" s="43" t="s">
        <v>571</v>
      </c>
      <c r="L75" s="44" t="s">
        <v>246</v>
      </c>
      <c r="N75" s="46" t="s">
        <v>30</v>
      </c>
      <c r="O75" s="37">
        <v>10</v>
      </c>
      <c r="P75" s="38" t="s">
        <v>243</v>
      </c>
    </row>
    <row r="76" spans="1:16" ht="39.950000000000003" customHeight="1" x14ac:dyDescent="0.2">
      <c r="B76" s="327" t="s">
        <v>591</v>
      </c>
      <c r="C76" s="1432" t="s">
        <v>592</v>
      </c>
      <c r="D76" s="1433"/>
      <c r="E76" s="1433" t="s">
        <v>176</v>
      </c>
      <c r="F76" s="1433"/>
      <c r="G76" s="1433" t="s">
        <v>593</v>
      </c>
      <c r="H76" s="1472"/>
      <c r="I76" s="328" t="s">
        <v>924</v>
      </c>
      <c r="J76" s="353">
        <v>0.75</v>
      </c>
      <c r="K76" s="43" t="s">
        <v>591</v>
      </c>
      <c r="L76" s="44" t="s">
        <v>246</v>
      </c>
      <c r="M76" s="18"/>
      <c r="N76" s="46" t="s">
        <v>30</v>
      </c>
      <c r="O76" s="37">
        <v>10</v>
      </c>
      <c r="P76" s="38" t="s">
        <v>243</v>
      </c>
    </row>
    <row r="77" spans="1:16" ht="39.950000000000003" customHeight="1" x14ac:dyDescent="0.2">
      <c r="B77" s="327" t="s">
        <v>601</v>
      </c>
      <c r="C77" s="1486" t="s">
        <v>602</v>
      </c>
      <c r="D77" s="1486"/>
      <c r="E77" s="1486"/>
      <c r="F77" s="1486"/>
      <c r="G77" s="1486"/>
      <c r="H77" s="1486"/>
      <c r="I77" s="328" t="s">
        <v>924</v>
      </c>
      <c r="J77" s="353">
        <v>0.9</v>
      </c>
      <c r="K77" s="43" t="s">
        <v>601</v>
      </c>
      <c r="L77" s="44" t="s">
        <v>246</v>
      </c>
      <c r="M77" s="23"/>
      <c r="N77" s="46" t="s">
        <v>30</v>
      </c>
      <c r="O77" s="37">
        <v>10</v>
      </c>
      <c r="P77" s="38" t="s">
        <v>243</v>
      </c>
    </row>
    <row r="78" spans="1:16" ht="39.950000000000003" customHeight="1" x14ac:dyDescent="0.2">
      <c r="B78" s="327" t="s">
        <v>603</v>
      </c>
      <c r="C78" s="1063" t="s">
        <v>604</v>
      </c>
      <c r="D78" s="1063"/>
      <c r="E78" s="1063"/>
      <c r="F78" s="1063"/>
      <c r="G78" s="1063"/>
      <c r="H78" s="1063"/>
      <c r="I78" s="328" t="s">
        <v>924</v>
      </c>
      <c r="J78" s="353">
        <v>0.85</v>
      </c>
      <c r="K78" s="43" t="s">
        <v>603</v>
      </c>
      <c r="L78" s="44" t="s">
        <v>246</v>
      </c>
      <c r="M78" s="23"/>
      <c r="N78" s="46" t="s">
        <v>30</v>
      </c>
      <c r="O78" s="37">
        <v>10</v>
      </c>
      <c r="P78" s="38" t="s">
        <v>243</v>
      </c>
    </row>
    <row r="79" spans="1:16" ht="20.100000000000001" customHeight="1" x14ac:dyDescent="0.2">
      <c r="B79" s="31"/>
      <c r="C79" s="31"/>
      <c r="D79" s="31"/>
      <c r="E79" s="31"/>
      <c r="F79" s="31"/>
      <c r="G79" s="31"/>
      <c r="H79" s="31"/>
      <c r="I79" s="32"/>
      <c r="J79" s="33"/>
      <c r="K79" s="18"/>
      <c r="L79" s="18"/>
      <c r="O79" s="18"/>
    </row>
    <row r="80" spans="1:16" ht="36" customHeight="1" x14ac:dyDescent="0.2">
      <c r="B80" s="1223" t="s">
        <v>633</v>
      </c>
      <c r="C80" s="1223"/>
      <c r="D80" s="1223"/>
      <c r="E80" s="1223"/>
      <c r="F80" s="1223"/>
      <c r="G80" s="1223"/>
      <c r="H80" s="1223"/>
      <c r="I80" s="34" t="s">
        <v>17</v>
      </c>
      <c r="J80" s="254" t="s">
        <v>18</v>
      </c>
      <c r="K80" s="354" t="s">
        <v>634</v>
      </c>
      <c r="L80" s="354" t="s">
        <v>634</v>
      </c>
      <c r="N80" s="46" t="s">
        <v>30</v>
      </c>
      <c r="O80" s="18"/>
    </row>
    <row r="81" spans="1:16" ht="33" customHeight="1" x14ac:dyDescent="0.2">
      <c r="B81" s="1395" t="s">
        <v>635</v>
      </c>
      <c r="C81" s="1395"/>
      <c r="D81" s="1395"/>
      <c r="E81" s="1395"/>
      <c r="F81" s="1395"/>
      <c r="G81" s="1395"/>
      <c r="H81" s="1395"/>
      <c r="I81" s="1395"/>
      <c r="J81" s="1395"/>
      <c r="K81" s="354" t="s">
        <v>634</v>
      </c>
      <c r="L81" s="354" t="s">
        <v>634</v>
      </c>
      <c r="O81" s="18"/>
    </row>
    <row r="82" spans="1:16" ht="35.25" customHeight="1" x14ac:dyDescent="0.2">
      <c r="A82" s="4"/>
      <c r="B82" s="1223" t="s">
        <v>636</v>
      </c>
      <c r="C82" s="1223"/>
      <c r="D82" s="1223"/>
      <c r="E82" s="1223"/>
      <c r="F82" s="1223"/>
      <c r="G82" s="1223"/>
      <c r="H82" s="1223"/>
      <c r="I82" s="34" t="s">
        <v>17</v>
      </c>
      <c r="J82" s="254" t="s">
        <v>18</v>
      </c>
      <c r="K82" s="354" t="s">
        <v>634</v>
      </c>
      <c r="L82" s="354" t="s">
        <v>634</v>
      </c>
      <c r="O82" s="4"/>
    </row>
    <row r="83" spans="1:16" ht="52.5" customHeight="1" x14ac:dyDescent="0.2">
      <c r="A83" s="4"/>
      <c r="B83" s="1279" t="s">
        <v>328</v>
      </c>
      <c r="C83" s="1025" t="s">
        <v>637</v>
      </c>
      <c r="D83" s="1065"/>
      <c r="E83" s="1065"/>
      <c r="F83" s="1065"/>
      <c r="G83" s="1065"/>
      <c r="H83" s="1065"/>
      <c r="I83" s="1228">
        <v>0</v>
      </c>
      <c r="J83" s="1469">
        <v>1</v>
      </c>
      <c r="K83" s="354" t="s">
        <v>634</v>
      </c>
      <c r="L83" s="354" t="s">
        <v>634</v>
      </c>
      <c r="O83" s="4"/>
    </row>
    <row r="84" spans="1:16" ht="30" customHeight="1" x14ac:dyDescent="0.2">
      <c r="A84" s="4"/>
      <c r="B84" s="1280"/>
      <c r="C84" s="1023" t="s">
        <v>638</v>
      </c>
      <c r="D84" s="1024"/>
      <c r="E84" s="1024"/>
      <c r="F84" s="1024"/>
      <c r="G84" s="1024"/>
      <c r="H84" s="1025"/>
      <c r="I84" s="1230"/>
      <c r="J84" s="1470"/>
      <c r="K84" s="354"/>
      <c r="L84" s="354"/>
      <c r="O84" s="4"/>
    </row>
    <row r="85" spans="1:16" ht="45" customHeight="1" x14ac:dyDescent="0.2">
      <c r="A85" s="4"/>
      <c r="B85" s="1223" t="s">
        <v>639</v>
      </c>
      <c r="C85" s="1223"/>
      <c r="D85" s="1223"/>
      <c r="E85" s="1223"/>
      <c r="F85" s="1223"/>
      <c r="G85" s="1223"/>
      <c r="H85" s="1223"/>
      <c r="I85" s="34" t="s">
        <v>17</v>
      </c>
      <c r="J85" s="254" t="s">
        <v>18</v>
      </c>
      <c r="K85" s="354"/>
      <c r="L85" s="354"/>
      <c r="O85" s="4"/>
    </row>
    <row r="86" spans="1:16" ht="56.25" customHeight="1" x14ac:dyDescent="0.2">
      <c r="A86" s="4"/>
      <c r="B86" s="1279" t="s">
        <v>328</v>
      </c>
      <c r="C86" s="1025" t="s">
        <v>637</v>
      </c>
      <c r="D86" s="1065"/>
      <c r="E86" s="1065"/>
      <c r="F86" s="1065"/>
      <c r="G86" s="1065"/>
      <c r="H86" s="1065"/>
      <c r="I86" s="1228">
        <v>0</v>
      </c>
      <c r="J86" s="1469">
        <v>1</v>
      </c>
      <c r="K86" s="354"/>
      <c r="L86" s="354"/>
      <c r="O86" s="4"/>
    </row>
    <row r="87" spans="1:16" ht="26.25" customHeight="1" x14ac:dyDescent="0.2">
      <c r="A87" s="4"/>
      <c r="B87" s="1280"/>
      <c r="C87" s="1023" t="s">
        <v>640</v>
      </c>
      <c r="D87" s="1024"/>
      <c r="E87" s="1024"/>
      <c r="F87" s="1024"/>
      <c r="G87" s="1024"/>
      <c r="H87" s="1025"/>
      <c r="I87" s="1230"/>
      <c r="J87" s="1470"/>
      <c r="K87" s="354"/>
      <c r="L87" s="354"/>
      <c r="O87" s="4"/>
    </row>
    <row r="88" spans="1:16" ht="20.100000000000001" customHeight="1" x14ac:dyDescent="0.2">
      <c r="B88" s="31"/>
      <c r="C88" s="31"/>
      <c r="D88" s="31"/>
      <c r="E88" s="31"/>
      <c r="F88" s="31"/>
      <c r="G88" s="31"/>
      <c r="H88" s="31"/>
      <c r="I88" s="32"/>
      <c r="J88" s="33"/>
      <c r="K88" s="18"/>
      <c r="L88" s="18"/>
      <c r="O88" s="18"/>
    </row>
    <row r="89" spans="1:16" ht="30" customHeight="1" x14ac:dyDescent="0.2">
      <c r="B89" s="1223" t="s">
        <v>257</v>
      </c>
      <c r="C89" s="1223"/>
      <c r="D89" s="1223"/>
      <c r="E89" s="1223"/>
      <c r="F89" s="1223"/>
      <c r="G89" s="1223"/>
      <c r="H89" s="1223"/>
      <c r="I89" s="34" t="s">
        <v>17</v>
      </c>
      <c r="J89" s="35" t="s">
        <v>18</v>
      </c>
      <c r="K89" s="36" t="s">
        <v>258</v>
      </c>
      <c r="L89" s="37">
        <v>11</v>
      </c>
      <c r="M89" s="23"/>
      <c r="N89" s="46" t="s">
        <v>30</v>
      </c>
      <c r="O89" s="37">
        <v>11</v>
      </c>
      <c r="P89" s="38" t="s">
        <v>259</v>
      </c>
    </row>
    <row r="90" spans="1:16" ht="75" customHeight="1" x14ac:dyDescent="0.2">
      <c r="B90" s="949" t="s">
        <v>852</v>
      </c>
      <c r="C90" s="950"/>
      <c r="D90" s="950"/>
      <c r="E90" s="950"/>
      <c r="F90" s="950"/>
      <c r="G90" s="950"/>
      <c r="H90" s="950"/>
      <c r="I90" s="950"/>
      <c r="J90" s="951"/>
      <c r="K90" s="47"/>
      <c r="L90" s="47"/>
      <c r="M90" s="23"/>
      <c r="O90" s="37">
        <v>11</v>
      </c>
      <c r="P90" s="38" t="s">
        <v>259</v>
      </c>
    </row>
    <row r="91" spans="1:16" ht="30" customHeight="1" x14ac:dyDescent="0.2">
      <c r="B91" s="979" t="s">
        <v>260</v>
      </c>
      <c r="C91" s="980"/>
      <c r="D91" s="980"/>
      <c r="E91" s="980"/>
      <c r="F91" s="980"/>
      <c r="G91" s="980"/>
      <c r="H91" s="980"/>
      <c r="I91" s="980"/>
      <c r="J91" s="981"/>
      <c r="K91" s="24"/>
      <c r="L91" s="24"/>
      <c r="M91" s="23"/>
      <c r="O91" s="37">
        <v>11</v>
      </c>
      <c r="P91" s="38" t="s">
        <v>259</v>
      </c>
    </row>
    <row r="92" spans="1:16" ht="39.950000000000003" customHeight="1" x14ac:dyDescent="0.2">
      <c r="A92" s="24"/>
      <c r="B92" s="60" t="s">
        <v>567</v>
      </c>
      <c r="C92" s="864" t="s">
        <v>134</v>
      </c>
      <c r="D92" s="865"/>
      <c r="E92" s="902" t="s">
        <v>95</v>
      </c>
      <c r="F92" s="902"/>
      <c r="G92" s="902" t="s">
        <v>631</v>
      </c>
      <c r="H92" s="903"/>
      <c r="I92" s="61">
        <v>0</v>
      </c>
      <c r="J92" s="42">
        <v>0.95</v>
      </c>
      <c r="K92" s="43" t="s">
        <v>567</v>
      </c>
      <c r="L92" s="44" t="s">
        <v>262</v>
      </c>
      <c r="N92" s="46" t="s">
        <v>30</v>
      </c>
      <c r="O92" s="37">
        <v>11</v>
      </c>
      <c r="P92" s="38" t="s">
        <v>259</v>
      </c>
    </row>
    <row r="93" spans="1:16" ht="39.950000000000003" customHeight="1" x14ac:dyDescent="0.2">
      <c r="A93" s="24"/>
      <c r="B93" s="1004" t="s">
        <v>571</v>
      </c>
      <c r="C93" s="1214" t="s">
        <v>572</v>
      </c>
      <c r="D93" s="1195"/>
      <c r="E93" s="1195" t="s">
        <v>378</v>
      </c>
      <c r="F93" s="1195"/>
      <c r="G93" s="1195" t="s">
        <v>342</v>
      </c>
      <c r="H93" s="1226"/>
      <c r="I93" s="1042">
        <v>0</v>
      </c>
      <c r="J93" s="915">
        <v>0.9</v>
      </c>
      <c r="K93" s="43"/>
      <c r="L93" s="44"/>
      <c r="N93" s="46"/>
      <c r="O93" s="37"/>
      <c r="P93" s="38"/>
    </row>
    <row r="94" spans="1:16" ht="39.950000000000003" customHeight="1" x14ac:dyDescent="0.2">
      <c r="A94" s="24"/>
      <c r="B94" s="1039"/>
      <c r="C94" s="1211" t="s">
        <v>573</v>
      </c>
      <c r="D94" s="1190"/>
      <c r="E94" s="1190" t="s">
        <v>574</v>
      </c>
      <c r="F94" s="1190"/>
      <c r="G94" s="1022" t="s">
        <v>402</v>
      </c>
      <c r="H94" s="1028"/>
      <c r="I94" s="1043"/>
      <c r="J94" s="1045"/>
      <c r="K94" s="43"/>
      <c r="L94" s="44"/>
      <c r="N94" s="46"/>
      <c r="O94" s="37"/>
      <c r="P94" s="38"/>
    </row>
    <row r="95" spans="1:16" ht="39.950000000000003" customHeight="1" x14ac:dyDescent="0.2">
      <c r="A95" s="24"/>
      <c r="B95" s="1039"/>
      <c r="C95" s="1211" t="s">
        <v>576</v>
      </c>
      <c r="D95" s="1190"/>
      <c r="E95" s="1190" t="s">
        <v>577</v>
      </c>
      <c r="F95" s="1190"/>
      <c r="G95" s="1190" t="s">
        <v>624</v>
      </c>
      <c r="H95" s="1212"/>
      <c r="I95" s="1043"/>
      <c r="J95" s="1045"/>
      <c r="K95" s="43"/>
      <c r="L95" s="44"/>
      <c r="N95" s="46"/>
      <c r="O95" s="37"/>
      <c r="P95" s="38"/>
    </row>
    <row r="96" spans="1:16" ht="39.950000000000003" customHeight="1" x14ac:dyDescent="0.2">
      <c r="A96" s="24"/>
      <c r="B96" s="1039"/>
      <c r="C96" s="1211" t="s">
        <v>578</v>
      </c>
      <c r="D96" s="1190"/>
      <c r="E96" s="1022" t="s">
        <v>580</v>
      </c>
      <c r="F96" s="1022"/>
      <c r="G96" s="1190" t="s">
        <v>581</v>
      </c>
      <c r="H96" s="1212"/>
      <c r="I96" s="1043"/>
      <c r="J96" s="1045"/>
      <c r="K96" s="43"/>
      <c r="L96" s="44"/>
      <c r="N96" s="46"/>
      <c r="O96" s="37"/>
      <c r="P96" s="38"/>
    </row>
    <row r="97" spans="1:16" ht="39.950000000000003" customHeight="1" x14ac:dyDescent="0.2">
      <c r="A97" s="24"/>
      <c r="B97" s="1039"/>
      <c r="C97" s="1211" t="s">
        <v>579</v>
      </c>
      <c r="D97" s="1190"/>
      <c r="E97" s="1022"/>
      <c r="F97" s="1022"/>
      <c r="G97" s="140"/>
      <c r="H97" s="516"/>
      <c r="I97" s="1043"/>
      <c r="J97" s="1045"/>
      <c r="K97" s="43"/>
      <c r="L97" s="44"/>
      <c r="N97" s="46"/>
      <c r="O97" s="37"/>
      <c r="P97" s="38"/>
    </row>
    <row r="98" spans="1:16" ht="39.950000000000003" customHeight="1" x14ac:dyDescent="0.2">
      <c r="A98" s="24"/>
      <c r="B98" s="1039"/>
      <c r="C98" s="1046" t="s">
        <v>98</v>
      </c>
      <c r="D98" s="1022"/>
      <c r="E98" s="1022"/>
      <c r="F98" s="1022"/>
      <c r="G98" s="1022"/>
      <c r="H98" s="1028"/>
      <c r="I98" s="1043"/>
      <c r="J98" s="1045"/>
      <c r="K98" s="43"/>
      <c r="L98" s="44"/>
      <c r="N98" s="46"/>
      <c r="O98" s="37"/>
      <c r="P98" s="38"/>
    </row>
    <row r="99" spans="1:16" ht="39.950000000000003" customHeight="1" x14ac:dyDescent="0.2">
      <c r="A99" s="24"/>
      <c r="B99" s="1005"/>
      <c r="C99" s="1116" t="s">
        <v>642</v>
      </c>
      <c r="D99" s="1034"/>
      <c r="E99" s="1034"/>
      <c r="F99" s="1034"/>
      <c r="G99" s="1034"/>
      <c r="H99" s="1035"/>
      <c r="I99" s="1044"/>
      <c r="J99" s="916"/>
      <c r="K99" s="43"/>
      <c r="L99" s="44"/>
      <c r="N99" s="46"/>
      <c r="O99" s="37"/>
      <c r="P99" s="38"/>
    </row>
    <row r="100" spans="1:16" ht="30" customHeight="1" x14ac:dyDescent="0.2">
      <c r="A100" s="24"/>
      <c r="B100" s="952" t="s">
        <v>584</v>
      </c>
      <c r="C100" s="1476" t="s">
        <v>585</v>
      </c>
      <c r="D100" s="1477"/>
      <c r="E100" s="1219" t="s">
        <v>138</v>
      </c>
      <c r="F100" s="1219"/>
      <c r="G100" s="1145" t="s">
        <v>586</v>
      </c>
      <c r="H100" s="1146"/>
      <c r="I100" s="1455">
        <v>0</v>
      </c>
      <c r="J100" s="1156">
        <v>0.9</v>
      </c>
      <c r="K100" s="43" t="s">
        <v>584</v>
      </c>
      <c r="L100" s="44" t="s">
        <v>262</v>
      </c>
      <c r="M100" s="23"/>
      <c r="O100" s="37">
        <v>11</v>
      </c>
      <c r="P100" s="38" t="s">
        <v>259</v>
      </c>
    </row>
    <row r="101" spans="1:16" ht="30" customHeight="1" x14ac:dyDescent="0.2">
      <c r="A101" s="24"/>
      <c r="B101" s="953"/>
      <c r="C101" s="1144" t="s">
        <v>587</v>
      </c>
      <c r="D101" s="1145"/>
      <c r="E101" s="18"/>
      <c r="F101" s="18"/>
      <c r="G101" s="18"/>
      <c r="H101" s="18"/>
      <c r="I101" s="1456"/>
      <c r="J101" s="1157"/>
      <c r="K101" s="43" t="s">
        <v>584</v>
      </c>
      <c r="L101" s="44" t="s">
        <v>262</v>
      </c>
      <c r="M101" s="23"/>
      <c r="O101" s="37">
        <v>11</v>
      </c>
      <c r="P101" s="38" t="s">
        <v>259</v>
      </c>
    </row>
    <row r="102" spans="1:16" ht="30" customHeight="1" x14ac:dyDescent="0.2">
      <c r="A102" s="24"/>
      <c r="B102" s="359" t="s">
        <v>595</v>
      </c>
      <c r="C102" s="1458" t="s">
        <v>596</v>
      </c>
      <c r="D102" s="1459"/>
      <c r="E102" s="1058" t="s">
        <v>598</v>
      </c>
      <c r="F102" s="1058"/>
      <c r="G102" s="1459" t="s">
        <v>599</v>
      </c>
      <c r="H102" s="1460"/>
      <c r="I102" s="360">
        <v>0</v>
      </c>
      <c r="J102" s="121">
        <v>0.9</v>
      </c>
      <c r="K102" s="43" t="s">
        <v>571</v>
      </c>
      <c r="L102" s="44" t="s">
        <v>262</v>
      </c>
      <c r="M102" s="23"/>
      <c r="N102" s="46" t="s">
        <v>30</v>
      </c>
      <c r="O102" s="37">
        <v>11</v>
      </c>
      <c r="P102" s="38" t="s">
        <v>259</v>
      </c>
    </row>
    <row r="103" spans="1:16" ht="39.950000000000003" customHeight="1" x14ac:dyDescent="0.2">
      <c r="A103" s="24"/>
      <c r="B103" s="1236" t="s">
        <v>591</v>
      </c>
      <c r="C103" s="1461" t="s">
        <v>592</v>
      </c>
      <c r="D103" s="1462"/>
      <c r="E103" s="1462" t="s">
        <v>176</v>
      </c>
      <c r="F103" s="1462"/>
      <c r="G103" s="1130" t="s">
        <v>593</v>
      </c>
      <c r="H103" s="1131"/>
      <c r="I103" s="1446" t="s">
        <v>924</v>
      </c>
      <c r="J103" s="1449">
        <v>0.8</v>
      </c>
      <c r="K103" s="43" t="s">
        <v>591</v>
      </c>
      <c r="L103" s="44" t="s">
        <v>262</v>
      </c>
      <c r="M103" s="18"/>
      <c r="N103" s="46" t="s">
        <v>30</v>
      </c>
      <c r="O103" s="37">
        <v>11</v>
      </c>
      <c r="P103" s="38" t="s">
        <v>259</v>
      </c>
    </row>
    <row r="104" spans="1:16" ht="39.950000000000003" customHeight="1" x14ac:dyDescent="0.2">
      <c r="A104" s="24"/>
      <c r="B104" s="1237"/>
      <c r="C104" s="1453" t="s">
        <v>594</v>
      </c>
      <c r="D104" s="1213"/>
      <c r="E104" s="166"/>
      <c r="F104" s="166"/>
      <c r="G104" s="362"/>
      <c r="H104" s="517"/>
      <c r="I104" s="1447"/>
      <c r="J104" s="1450"/>
      <c r="K104" s="43" t="s">
        <v>591</v>
      </c>
      <c r="L104" s="44" t="s">
        <v>262</v>
      </c>
      <c r="M104" s="18"/>
      <c r="N104" s="4"/>
      <c r="O104" s="37">
        <v>11</v>
      </c>
      <c r="P104" s="38" t="s">
        <v>259</v>
      </c>
    </row>
    <row r="105" spans="1:16" ht="39.950000000000003" customHeight="1" x14ac:dyDescent="0.2">
      <c r="A105" s="24"/>
      <c r="B105" s="115" t="s">
        <v>601</v>
      </c>
      <c r="C105" s="1464" t="s">
        <v>602</v>
      </c>
      <c r="D105" s="1464"/>
      <c r="E105" s="1464"/>
      <c r="F105" s="1464"/>
      <c r="G105" s="1464"/>
      <c r="H105" s="1464"/>
      <c r="I105" s="116">
        <v>0</v>
      </c>
      <c r="J105" s="199">
        <v>1</v>
      </c>
      <c r="K105" s="43" t="s">
        <v>601</v>
      </c>
      <c r="L105" s="44" t="s">
        <v>262</v>
      </c>
      <c r="N105" s="46" t="s">
        <v>30</v>
      </c>
      <c r="O105" s="37">
        <v>11</v>
      </c>
      <c r="P105" s="38" t="s">
        <v>259</v>
      </c>
    </row>
    <row r="106" spans="1:16" ht="39.950000000000003" customHeight="1" x14ac:dyDescent="0.2">
      <c r="A106" s="24"/>
      <c r="B106" s="115" t="s">
        <v>603</v>
      </c>
      <c r="C106" s="1065" t="s">
        <v>604</v>
      </c>
      <c r="D106" s="1065"/>
      <c r="E106" s="1065"/>
      <c r="F106" s="1065"/>
      <c r="G106" s="1065"/>
      <c r="H106" s="1065"/>
      <c r="I106" s="116">
        <v>0</v>
      </c>
      <c r="J106" s="199">
        <v>0.95</v>
      </c>
      <c r="K106" s="43" t="s">
        <v>603</v>
      </c>
      <c r="L106" s="44" t="s">
        <v>262</v>
      </c>
      <c r="N106" s="46" t="s">
        <v>30</v>
      </c>
      <c r="O106" s="37">
        <v>11</v>
      </c>
      <c r="P106" s="38" t="s">
        <v>259</v>
      </c>
    </row>
    <row r="107" spans="1:16" ht="30" customHeight="1" x14ac:dyDescent="0.2">
      <c r="A107" s="24"/>
      <c r="B107" s="1268" t="s">
        <v>264</v>
      </c>
      <c r="C107" s="1268"/>
      <c r="D107" s="1268"/>
      <c r="E107" s="1268"/>
      <c r="F107" s="1268"/>
      <c r="G107" s="1268"/>
      <c r="H107" s="1268"/>
      <c r="I107" s="1268"/>
      <c r="J107" s="1268"/>
      <c r="K107" s="18"/>
      <c r="L107" s="18"/>
      <c r="M107" s="23"/>
      <c r="N107" s="46" t="s">
        <v>30</v>
      </c>
      <c r="O107" s="37">
        <v>11</v>
      </c>
      <c r="P107" s="157" t="s">
        <v>265</v>
      </c>
    </row>
    <row r="108" spans="1:16" ht="39.950000000000003" customHeight="1" x14ac:dyDescent="0.2">
      <c r="A108" s="24"/>
      <c r="B108" s="60" t="s">
        <v>567</v>
      </c>
      <c r="C108" s="1208" t="s">
        <v>134</v>
      </c>
      <c r="D108" s="1209"/>
      <c r="E108" s="1209" t="s">
        <v>95</v>
      </c>
      <c r="F108" s="1209"/>
      <c r="G108" s="518" t="s">
        <v>631</v>
      </c>
      <c r="H108" s="519"/>
      <c r="I108" s="520" t="s">
        <v>924</v>
      </c>
      <c r="J108" s="42">
        <v>0.8</v>
      </c>
      <c r="K108" s="43" t="s">
        <v>567</v>
      </c>
      <c r="L108" s="44" t="s">
        <v>266</v>
      </c>
      <c r="M108" s="23"/>
      <c r="N108" s="46" t="s">
        <v>30</v>
      </c>
      <c r="O108" s="37">
        <v>11</v>
      </c>
      <c r="P108" s="157" t="s">
        <v>265</v>
      </c>
    </row>
    <row r="109" spans="1:16" ht="39.950000000000003" customHeight="1" x14ac:dyDescent="0.2">
      <c r="A109" s="24"/>
      <c r="B109" s="1004" t="s">
        <v>571</v>
      </c>
      <c r="C109" s="1214" t="s">
        <v>378</v>
      </c>
      <c r="D109" s="1195"/>
      <c r="E109" s="1195" t="s">
        <v>342</v>
      </c>
      <c r="F109" s="1195"/>
      <c r="G109" s="1195" t="s">
        <v>573</v>
      </c>
      <c r="H109" s="1226"/>
      <c r="I109" s="1042" t="s">
        <v>924</v>
      </c>
      <c r="J109" s="915">
        <v>0.8</v>
      </c>
      <c r="K109" s="43"/>
      <c r="L109" s="44"/>
      <c r="M109" s="23"/>
      <c r="N109" s="46"/>
      <c r="O109" s="37"/>
      <c r="P109" s="157"/>
    </row>
    <row r="110" spans="1:16" ht="39.950000000000003" customHeight="1" x14ac:dyDescent="0.2">
      <c r="A110" s="24"/>
      <c r="B110" s="1039"/>
      <c r="C110" s="1211" t="s">
        <v>574</v>
      </c>
      <c r="D110" s="1190"/>
      <c r="E110" s="1145" t="s">
        <v>402</v>
      </c>
      <c r="F110" s="1145"/>
      <c r="G110" s="1190" t="s">
        <v>576</v>
      </c>
      <c r="H110" s="1212"/>
      <c r="I110" s="1043"/>
      <c r="J110" s="1045"/>
      <c r="K110" s="43"/>
      <c r="L110" s="44"/>
      <c r="M110" s="23"/>
      <c r="N110" s="46"/>
      <c r="O110" s="37"/>
      <c r="P110" s="157"/>
    </row>
    <row r="111" spans="1:16" ht="39.950000000000003" customHeight="1" x14ac:dyDescent="0.2">
      <c r="A111" s="24"/>
      <c r="B111" s="1039"/>
      <c r="C111" s="1211" t="s">
        <v>577</v>
      </c>
      <c r="D111" s="1190"/>
      <c r="E111" s="1190" t="s">
        <v>624</v>
      </c>
      <c r="F111" s="1190"/>
      <c r="G111" s="1190" t="s">
        <v>578</v>
      </c>
      <c r="H111" s="1212"/>
      <c r="I111" s="1043"/>
      <c r="J111" s="1045"/>
      <c r="K111" s="43"/>
      <c r="L111" s="44"/>
      <c r="M111" s="23"/>
      <c r="N111" s="46"/>
      <c r="O111" s="37"/>
      <c r="P111" s="157"/>
    </row>
    <row r="112" spans="1:16" ht="39.950000000000003" customHeight="1" x14ac:dyDescent="0.2">
      <c r="A112" s="24"/>
      <c r="B112" s="1039"/>
      <c r="C112" s="1206" t="s">
        <v>580</v>
      </c>
      <c r="D112" s="1207"/>
      <c r="E112" s="1207" t="s">
        <v>581</v>
      </c>
      <c r="F112" s="1207"/>
      <c r="G112" s="1207" t="s">
        <v>579</v>
      </c>
      <c r="H112" s="1222"/>
      <c r="I112" s="1043"/>
      <c r="J112" s="1045"/>
      <c r="K112" s="43"/>
      <c r="L112" s="44"/>
      <c r="M112" s="23"/>
      <c r="N112" s="46"/>
      <c r="O112" s="37"/>
      <c r="P112" s="157"/>
    </row>
    <row r="113" spans="1:32" ht="24.95" customHeight="1" x14ac:dyDescent="0.2">
      <c r="A113" s="24"/>
      <c r="B113" s="1172" t="s">
        <v>584</v>
      </c>
      <c r="C113" s="1457" t="s">
        <v>585</v>
      </c>
      <c r="D113" s="1219"/>
      <c r="E113" s="1219" t="s">
        <v>138</v>
      </c>
      <c r="F113" s="1219"/>
      <c r="G113" s="1145" t="s">
        <v>586</v>
      </c>
      <c r="H113" s="1146"/>
      <c r="I113" s="1455" t="s">
        <v>924</v>
      </c>
      <c r="J113" s="1156">
        <v>0.75</v>
      </c>
      <c r="K113" s="43" t="s">
        <v>584</v>
      </c>
      <c r="L113" s="44" t="s">
        <v>266</v>
      </c>
      <c r="M113" s="23"/>
      <c r="O113" s="37">
        <v>11</v>
      </c>
      <c r="P113" s="157" t="s">
        <v>265</v>
      </c>
    </row>
    <row r="114" spans="1:32" ht="24.95" customHeight="1" x14ac:dyDescent="0.2">
      <c r="A114" s="24"/>
      <c r="B114" s="1173"/>
      <c r="C114" s="1609" t="s">
        <v>587</v>
      </c>
      <c r="D114" s="1610"/>
      <c r="E114" s="18"/>
      <c r="F114" s="18"/>
      <c r="G114" s="18"/>
      <c r="H114" s="18"/>
      <c r="I114" s="1456"/>
      <c r="J114" s="1157"/>
      <c r="K114" s="43" t="s">
        <v>584</v>
      </c>
      <c r="L114" s="44" t="s">
        <v>266</v>
      </c>
      <c r="M114" s="23"/>
      <c r="O114" s="37">
        <v>11</v>
      </c>
      <c r="P114" s="157" t="s">
        <v>265</v>
      </c>
    </row>
    <row r="115" spans="1:32" ht="30" customHeight="1" x14ac:dyDescent="0.2">
      <c r="A115" s="24"/>
      <c r="B115" s="381" t="s">
        <v>595</v>
      </c>
      <c r="C115" s="1458" t="s">
        <v>596</v>
      </c>
      <c r="D115" s="1459"/>
      <c r="E115" s="1058" t="s">
        <v>598</v>
      </c>
      <c r="F115" s="1058"/>
      <c r="G115" s="1459" t="s">
        <v>599</v>
      </c>
      <c r="H115" s="1460"/>
      <c r="I115" s="521" t="s">
        <v>924</v>
      </c>
      <c r="J115" s="121">
        <v>0.8</v>
      </c>
      <c r="K115" s="43" t="s">
        <v>571</v>
      </c>
      <c r="L115" s="44" t="s">
        <v>266</v>
      </c>
      <c r="M115" s="23"/>
      <c r="N115" s="46" t="s">
        <v>30</v>
      </c>
      <c r="O115" s="37">
        <v>11</v>
      </c>
      <c r="P115" s="157" t="s">
        <v>265</v>
      </c>
    </row>
    <row r="116" spans="1:32" ht="39.950000000000003" customHeight="1" x14ac:dyDescent="0.2">
      <c r="A116" s="24"/>
      <c r="B116" s="1236" t="s">
        <v>591</v>
      </c>
      <c r="C116" s="1461" t="s">
        <v>592</v>
      </c>
      <c r="D116" s="1462"/>
      <c r="E116" s="1462" t="s">
        <v>176</v>
      </c>
      <c r="F116" s="1462"/>
      <c r="G116" s="1462" t="s">
        <v>593</v>
      </c>
      <c r="H116" s="1463"/>
      <c r="I116" s="1446" t="s">
        <v>924</v>
      </c>
      <c r="J116" s="1449">
        <v>0.7</v>
      </c>
      <c r="K116" s="43" t="s">
        <v>591</v>
      </c>
      <c r="L116" s="44" t="s">
        <v>266</v>
      </c>
      <c r="M116" s="18"/>
      <c r="N116" s="46" t="s">
        <v>30</v>
      </c>
      <c r="O116" s="37">
        <v>11</v>
      </c>
      <c r="P116" s="157" t="s">
        <v>265</v>
      </c>
    </row>
    <row r="117" spans="1:32" ht="30.75" customHeight="1" x14ac:dyDescent="0.2">
      <c r="A117" s="24"/>
      <c r="B117" s="1237"/>
      <c r="C117" s="1452" t="s">
        <v>594</v>
      </c>
      <c r="D117" s="1192"/>
      <c r="E117" s="346"/>
      <c r="F117" s="346"/>
      <c r="G117" s="346"/>
      <c r="H117" s="347"/>
      <c r="I117" s="1447"/>
      <c r="J117" s="1450"/>
      <c r="K117" s="43" t="s">
        <v>591</v>
      </c>
      <c r="L117" s="44" t="s">
        <v>266</v>
      </c>
      <c r="M117" s="18"/>
      <c r="N117" s="4"/>
      <c r="O117" s="37">
        <v>11</v>
      </c>
      <c r="P117" s="157" t="s">
        <v>265</v>
      </c>
    </row>
    <row r="118" spans="1:32" ht="30" customHeight="1" x14ac:dyDescent="0.2">
      <c r="B118" s="1237"/>
      <c r="C118" s="364" t="s">
        <v>98</v>
      </c>
      <c r="D118" s="346"/>
      <c r="E118" s="346"/>
      <c r="F118" s="346"/>
      <c r="G118" s="346"/>
      <c r="H118" s="347"/>
      <c r="I118" s="1447"/>
      <c r="J118" s="1450"/>
      <c r="K118" s="43" t="s">
        <v>591</v>
      </c>
      <c r="L118" s="44" t="s">
        <v>266</v>
      </c>
      <c r="M118" s="18"/>
      <c r="N118" s="4"/>
      <c r="O118" s="37">
        <v>11</v>
      </c>
      <c r="P118" s="157" t="s">
        <v>265</v>
      </c>
      <c r="Q118" s="24"/>
      <c r="R118" s="24"/>
      <c r="S118" s="24"/>
      <c r="T118" s="24"/>
      <c r="U118" s="24"/>
      <c r="V118" s="24"/>
      <c r="W118" s="24"/>
      <c r="X118" s="24"/>
      <c r="Y118" s="24"/>
      <c r="Z118" s="24"/>
      <c r="AA118" s="24"/>
      <c r="AB118" s="24"/>
      <c r="AC118" s="24"/>
      <c r="AD118" s="24"/>
      <c r="AE118" s="24"/>
      <c r="AF118" s="24"/>
    </row>
    <row r="119" spans="1:32" ht="33.75" customHeight="1" x14ac:dyDescent="0.2">
      <c r="B119" s="1238"/>
      <c r="C119" s="1453" t="s">
        <v>643</v>
      </c>
      <c r="D119" s="1213"/>
      <c r="E119" s="1213"/>
      <c r="F119" s="1213"/>
      <c r="G119" s="1213"/>
      <c r="H119" s="1454"/>
      <c r="I119" s="1448"/>
      <c r="J119" s="1451"/>
      <c r="K119" s="43" t="s">
        <v>591</v>
      </c>
      <c r="L119" s="44" t="s">
        <v>266</v>
      </c>
      <c r="M119" s="18"/>
      <c r="N119" s="4"/>
      <c r="O119" s="37">
        <v>11</v>
      </c>
      <c r="P119" s="157" t="s">
        <v>265</v>
      </c>
      <c r="Q119" s="24"/>
      <c r="R119" s="24"/>
      <c r="S119" s="24"/>
      <c r="T119" s="24"/>
      <c r="U119" s="24"/>
      <c r="V119" s="24"/>
      <c r="W119" s="24"/>
      <c r="X119" s="24"/>
      <c r="Y119" s="24"/>
      <c r="Z119" s="24"/>
      <c r="AA119" s="24"/>
      <c r="AB119" s="24"/>
      <c r="AC119" s="24"/>
      <c r="AD119" s="24"/>
      <c r="AE119" s="24"/>
      <c r="AF119" s="24"/>
    </row>
    <row r="120" spans="1:32" ht="39.950000000000003" customHeight="1" x14ac:dyDescent="0.2">
      <c r="A120" s="24"/>
      <c r="B120" s="327" t="s">
        <v>601</v>
      </c>
      <c r="C120" s="1063" t="s">
        <v>602</v>
      </c>
      <c r="D120" s="1063"/>
      <c r="E120" s="1063"/>
      <c r="F120" s="1063"/>
      <c r="G120" s="1063"/>
      <c r="H120" s="1063"/>
      <c r="I120" s="328" t="s">
        <v>924</v>
      </c>
      <c r="J120" s="353">
        <v>0.9</v>
      </c>
      <c r="K120" s="43" t="s">
        <v>601</v>
      </c>
      <c r="L120" s="44" t="s">
        <v>266</v>
      </c>
      <c r="N120" s="46" t="s">
        <v>30</v>
      </c>
      <c r="O120" s="37">
        <v>11</v>
      </c>
      <c r="P120" s="157" t="s">
        <v>265</v>
      </c>
    </row>
    <row r="121" spans="1:32" ht="39.950000000000003" customHeight="1" x14ac:dyDescent="0.2">
      <c r="A121" s="24"/>
      <c r="B121" s="327" t="s">
        <v>603</v>
      </c>
      <c r="C121" s="1063" t="s">
        <v>604</v>
      </c>
      <c r="D121" s="1063"/>
      <c r="E121" s="1063"/>
      <c r="F121" s="1063"/>
      <c r="G121" s="1063"/>
      <c r="H121" s="1063"/>
      <c r="I121" s="328" t="s">
        <v>924</v>
      </c>
      <c r="J121" s="353">
        <v>0.85</v>
      </c>
      <c r="K121" s="43" t="s">
        <v>603</v>
      </c>
      <c r="L121" s="44" t="s">
        <v>266</v>
      </c>
      <c r="N121" s="46" t="s">
        <v>30</v>
      </c>
      <c r="O121" s="37">
        <v>11</v>
      </c>
      <c r="P121" s="157" t="s">
        <v>265</v>
      </c>
    </row>
    <row r="122" spans="1:32" ht="20.100000000000001" customHeight="1" x14ac:dyDescent="0.2">
      <c r="B122" s="31"/>
      <c r="C122" s="31"/>
      <c r="D122" s="31"/>
      <c r="E122" s="31"/>
      <c r="F122" s="31"/>
      <c r="G122" s="31"/>
      <c r="H122" s="31"/>
      <c r="I122" s="32"/>
      <c r="J122" s="33"/>
      <c r="K122" s="18"/>
      <c r="L122" s="18"/>
      <c r="O122" s="18"/>
    </row>
    <row r="123" spans="1:32" ht="30" customHeight="1" x14ac:dyDescent="0.2">
      <c r="B123" s="972" t="s">
        <v>505</v>
      </c>
      <c r="C123" s="975"/>
      <c r="D123" s="975"/>
      <c r="E123" s="975"/>
      <c r="F123" s="975"/>
      <c r="G123" s="975"/>
      <c r="H123" s="975"/>
      <c r="I123" s="34" t="s">
        <v>466</v>
      </c>
      <c r="J123" s="259" t="s">
        <v>18</v>
      </c>
      <c r="K123" s="36" t="s">
        <v>506</v>
      </c>
      <c r="L123" s="37">
        <v>47</v>
      </c>
      <c r="M123" s="181"/>
      <c r="N123" s="182" t="s">
        <v>30</v>
      </c>
      <c r="O123" s="37">
        <v>47</v>
      </c>
    </row>
    <row r="124" spans="1:32" ht="30" customHeight="1" x14ac:dyDescent="0.2">
      <c r="B124" s="976" t="s">
        <v>853</v>
      </c>
      <c r="C124" s="977"/>
      <c r="D124" s="977"/>
      <c r="E124" s="977"/>
      <c r="F124" s="977"/>
      <c r="G124" s="977"/>
      <c r="H124" s="977"/>
      <c r="I124" s="977"/>
      <c r="J124" s="978"/>
      <c r="K124" s="36" t="s">
        <v>506</v>
      </c>
      <c r="L124" s="37">
        <v>47</v>
      </c>
      <c r="M124" s="181"/>
      <c r="N124" s="67"/>
      <c r="O124" s="37">
        <v>47</v>
      </c>
    </row>
    <row r="125" spans="1:32" ht="30" customHeight="1" x14ac:dyDescent="0.2">
      <c r="B125" s="946" t="s">
        <v>649</v>
      </c>
      <c r="C125" s="947"/>
      <c r="D125" s="947"/>
      <c r="E125" s="947"/>
      <c r="F125" s="947"/>
      <c r="G125" s="947"/>
      <c r="H125" s="947"/>
      <c r="I125" s="947"/>
      <c r="J125" s="948"/>
      <c r="K125" s="36" t="s">
        <v>506</v>
      </c>
      <c r="L125" s="37">
        <v>47</v>
      </c>
      <c r="M125" s="181"/>
      <c r="N125" s="67"/>
      <c r="O125" s="37">
        <v>47</v>
      </c>
    </row>
    <row r="126" spans="1:32" ht="30" customHeight="1" x14ac:dyDescent="0.2">
      <c r="B126" s="1217" t="s">
        <v>510</v>
      </c>
      <c r="C126" s="1016"/>
      <c r="D126" s="1016"/>
      <c r="E126" s="1016"/>
      <c r="F126" s="1016"/>
      <c r="G126" s="1016"/>
      <c r="H126" s="1016"/>
      <c r="I126" s="1016"/>
      <c r="J126" s="1125"/>
      <c r="K126" s="36" t="s">
        <v>506</v>
      </c>
      <c r="L126" s="37">
        <v>47</v>
      </c>
      <c r="M126" s="181"/>
      <c r="N126" s="67"/>
      <c r="O126" s="37">
        <v>47</v>
      </c>
    </row>
    <row r="127" spans="1:32" ht="30" customHeight="1" x14ac:dyDescent="0.2">
      <c r="B127" s="375" t="s">
        <v>650</v>
      </c>
      <c r="C127" s="919" t="s">
        <v>651</v>
      </c>
      <c r="D127" s="919"/>
      <c r="E127" s="919"/>
      <c r="F127" s="919"/>
      <c r="G127" s="919"/>
      <c r="H127" s="919"/>
      <c r="I127" s="108">
        <v>400</v>
      </c>
      <c r="J127" s="522">
        <v>0.5</v>
      </c>
      <c r="K127" s="36" t="s">
        <v>506</v>
      </c>
      <c r="L127" s="37">
        <v>47</v>
      </c>
      <c r="M127" s="181"/>
      <c r="N127" s="67"/>
      <c r="O127" s="37">
        <v>47</v>
      </c>
    </row>
    <row r="128" spans="1:32" ht="30" customHeight="1" x14ac:dyDescent="0.2">
      <c r="B128" s="136" t="s">
        <v>396</v>
      </c>
      <c r="C128" s="919" t="s">
        <v>514</v>
      </c>
      <c r="D128" s="919"/>
      <c r="E128" s="919"/>
      <c r="F128" s="919"/>
      <c r="G128" s="919"/>
      <c r="H128" s="919"/>
      <c r="I128" s="335">
        <v>400</v>
      </c>
      <c r="J128" s="271">
        <v>0.5</v>
      </c>
      <c r="K128" s="36" t="s">
        <v>506</v>
      </c>
      <c r="L128" s="37">
        <v>47</v>
      </c>
      <c r="M128" s="181"/>
      <c r="N128" s="67"/>
      <c r="O128" s="37">
        <v>47</v>
      </c>
    </row>
    <row r="129" spans="1:17" ht="20.100000000000001" customHeight="1" x14ac:dyDescent="0.2">
      <c r="B129" s="31"/>
      <c r="C129" s="31"/>
      <c r="D129" s="31"/>
      <c r="E129" s="31"/>
      <c r="F129" s="31"/>
      <c r="G129" s="31"/>
      <c r="H129" s="31"/>
      <c r="I129" s="32"/>
      <c r="J129" s="33"/>
      <c r="K129" s="18"/>
      <c r="L129" s="18"/>
      <c r="O129" s="18"/>
    </row>
    <row r="130" spans="1:17" ht="30" customHeight="1" x14ac:dyDescent="0.2">
      <c r="A130" s="23"/>
      <c r="B130" s="1223" t="s">
        <v>318</v>
      </c>
      <c r="C130" s="1223"/>
      <c r="D130" s="1223"/>
      <c r="E130" s="1223"/>
      <c r="F130" s="1223"/>
      <c r="G130" s="1223"/>
      <c r="H130" s="1223"/>
      <c r="I130" s="34" t="s">
        <v>17</v>
      </c>
      <c r="J130" s="35" t="s">
        <v>18</v>
      </c>
      <c r="K130" s="36" t="s">
        <v>319</v>
      </c>
      <c r="L130" s="36" t="s">
        <v>319</v>
      </c>
      <c r="M130" s="23"/>
      <c r="N130" s="46" t="s">
        <v>30</v>
      </c>
      <c r="O130" s="37">
        <v>13</v>
      </c>
      <c r="P130"/>
    </row>
    <row r="131" spans="1:17" ht="30" customHeight="1" x14ac:dyDescent="0.2">
      <c r="A131" s="23"/>
      <c r="B131" s="982" t="s">
        <v>567</v>
      </c>
      <c r="C131" s="1416" t="s">
        <v>134</v>
      </c>
      <c r="D131" s="1417"/>
      <c r="E131" s="1418" t="s">
        <v>652</v>
      </c>
      <c r="F131" s="1418"/>
      <c r="G131" s="1149" t="s">
        <v>570</v>
      </c>
      <c r="H131" s="1151"/>
      <c r="I131" s="1414">
        <v>45</v>
      </c>
      <c r="J131" s="1141">
        <v>0.85</v>
      </c>
      <c r="K131" s="36"/>
      <c r="L131" s="36"/>
      <c r="M131" s="23"/>
      <c r="N131" s="46"/>
      <c r="O131" s="37"/>
      <c r="P131"/>
    </row>
    <row r="132" spans="1:17" ht="30" customHeight="1" x14ac:dyDescent="0.2">
      <c r="A132" s="23"/>
      <c r="B132" s="983"/>
      <c r="C132" s="1420" t="s">
        <v>653</v>
      </c>
      <c r="D132" s="1421"/>
      <c r="E132" s="1608" t="s">
        <v>654</v>
      </c>
      <c r="F132" s="1608"/>
      <c r="G132" s="378" t="s">
        <v>655</v>
      </c>
      <c r="H132" s="380"/>
      <c r="I132" s="1415"/>
      <c r="J132" s="1142"/>
      <c r="K132" s="36"/>
      <c r="L132" s="36"/>
      <c r="M132" s="23"/>
      <c r="N132" s="46"/>
      <c r="O132" s="37"/>
      <c r="P132"/>
    </row>
    <row r="133" spans="1:17" ht="30" customHeight="1" x14ac:dyDescent="0.2">
      <c r="A133" s="23"/>
      <c r="B133" s="984"/>
      <c r="C133" s="1147" t="s">
        <v>656</v>
      </c>
      <c r="D133" s="1148"/>
      <c r="E133" s="1034"/>
      <c r="F133" s="1034"/>
      <c r="G133" s="50"/>
      <c r="H133" s="124"/>
      <c r="I133" s="1419"/>
      <c r="J133" s="1143"/>
      <c r="K133" s="36"/>
      <c r="L133" s="36"/>
      <c r="M133" s="23"/>
      <c r="N133" s="46"/>
      <c r="O133" s="37"/>
      <c r="P133"/>
    </row>
    <row r="134" spans="1:17" ht="30" customHeight="1" x14ac:dyDescent="0.2">
      <c r="A134" s="23"/>
      <c r="B134" s="952" t="s">
        <v>571</v>
      </c>
      <c r="C134" s="1150" t="s">
        <v>577</v>
      </c>
      <c r="D134" s="1149"/>
      <c r="E134" s="1149" t="s">
        <v>378</v>
      </c>
      <c r="F134" s="1149"/>
      <c r="G134" s="986" t="s">
        <v>342</v>
      </c>
      <c r="H134" s="987"/>
      <c r="I134" s="1138">
        <v>40</v>
      </c>
      <c r="J134" s="1141">
        <v>0.85</v>
      </c>
      <c r="K134" s="36"/>
      <c r="L134" s="36"/>
      <c r="M134" s="23"/>
      <c r="N134" s="46"/>
      <c r="O134" s="37"/>
      <c r="P134"/>
    </row>
    <row r="135" spans="1:17" ht="30" customHeight="1" x14ac:dyDescent="0.2">
      <c r="A135" s="23"/>
      <c r="B135" s="953"/>
      <c r="C135" s="1144" t="s">
        <v>657</v>
      </c>
      <c r="D135" s="1145"/>
      <c r="E135" s="1145" t="s">
        <v>574</v>
      </c>
      <c r="F135" s="1145"/>
      <c r="G135" s="1145" t="s">
        <v>580</v>
      </c>
      <c r="H135" s="1146"/>
      <c r="I135" s="1139"/>
      <c r="J135" s="1142"/>
      <c r="K135" s="36"/>
      <c r="L135" s="36"/>
      <c r="M135" s="23"/>
      <c r="N135" s="46"/>
      <c r="O135" s="37"/>
      <c r="P135"/>
    </row>
    <row r="136" spans="1:17" ht="30" customHeight="1" x14ac:dyDescent="0.2">
      <c r="A136" s="23"/>
      <c r="B136" s="953"/>
      <c r="C136" s="1147" t="s">
        <v>576</v>
      </c>
      <c r="D136" s="1148"/>
      <c r="E136" s="1148" t="s">
        <v>578</v>
      </c>
      <c r="F136" s="1148"/>
      <c r="G136" s="944"/>
      <c r="H136" s="945"/>
      <c r="I136" s="1139"/>
      <c r="J136" s="1142"/>
      <c r="K136" s="36"/>
      <c r="L136" s="36"/>
      <c r="M136" s="23"/>
      <c r="N136" s="46"/>
      <c r="O136" s="37"/>
      <c r="P136"/>
    </row>
    <row r="137" spans="1:17" ht="39.950000000000003" customHeight="1" x14ac:dyDescent="0.25">
      <c r="A137" s="23"/>
      <c r="B137" s="381" t="s">
        <v>584</v>
      </c>
      <c r="C137" s="1404" t="s">
        <v>587</v>
      </c>
      <c r="D137" s="1405"/>
      <c r="E137" s="1406" t="s">
        <v>658</v>
      </c>
      <c r="F137" s="1406"/>
      <c r="G137" s="1406"/>
      <c r="H137" s="1407"/>
      <c r="I137" s="382">
        <v>50</v>
      </c>
      <c r="J137" s="53">
        <v>0.85</v>
      </c>
      <c r="K137" s="43" t="s">
        <v>584</v>
      </c>
      <c r="L137" s="36" t="s">
        <v>319</v>
      </c>
      <c r="M137" s="181"/>
      <c r="N137" s="67"/>
      <c r="O137" s="183">
        <v>13</v>
      </c>
      <c r="P137"/>
      <c r="Q137" s="383"/>
    </row>
    <row r="138" spans="1:17" ht="30" customHeight="1" x14ac:dyDescent="0.25">
      <c r="A138" s="23"/>
      <c r="B138" s="1408" t="s">
        <v>595</v>
      </c>
      <c r="C138" s="1410" t="s">
        <v>596</v>
      </c>
      <c r="D138" s="1411"/>
      <c r="E138" s="1195" t="s">
        <v>597</v>
      </c>
      <c r="F138" s="1195"/>
      <c r="G138" s="1412" t="s">
        <v>598</v>
      </c>
      <c r="H138" s="1413"/>
      <c r="I138" s="1397">
        <v>40</v>
      </c>
      <c r="J138" s="915">
        <v>0.85</v>
      </c>
      <c r="K138" s="43" t="s">
        <v>571</v>
      </c>
      <c r="L138" s="36" t="s">
        <v>319</v>
      </c>
      <c r="M138" s="181"/>
      <c r="N138" s="182" t="s">
        <v>30</v>
      </c>
      <c r="O138" s="183">
        <v>13</v>
      </c>
      <c r="P138"/>
      <c r="Q138" s="383"/>
    </row>
    <row r="139" spans="1:17" ht="30" customHeight="1" x14ac:dyDescent="0.25">
      <c r="A139" s="23"/>
      <c r="B139" s="1409"/>
      <c r="C139" s="1399" t="s">
        <v>599</v>
      </c>
      <c r="D139" s="1400"/>
      <c r="E139" s="1400"/>
      <c r="F139" s="1400"/>
      <c r="G139" s="384"/>
      <c r="H139" s="385"/>
      <c r="I139" s="1398"/>
      <c r="J139" s="916"/>
      <c r="K139" s="43" t="s">
        <v>571</v>
      </c>
      <c r="L139" s="36" t="s">
        <v>319</v>
      </c>
      <c r="M139" s="181"/>
      <c r="N139" s="4"/>
      <c r="O139" s="183">
        <v>13</v>
      </c>
      <c r="P139"/>
      <c r="Q139" s="383"/>
    </row>
    <row r="140" spans="1:17" ht="30" customHeight="1" x14ac:dyDescent="0.25">
      <c r="A140" s="23"/>
      <c r="B140" s="386" t="s">
        <v>591</v>
      </c>
      <c r="C140" s="1401" t="s">
        <v>592</v>
      </c>
      <c r="D140" s="1402"/>
      <c r="E140" s="1402" t="s">
        <v>176</v>
      </c>
      <c r="F140" s="1402"/>
      <c r="G140" s="1402"/>
      <c r="H140" s="1403"/>
      <c r="I140" s="387">
        <v>80</v>
      </c>
      <c r="J140" s="388">
        <v>0.75</v>
      </c>
      <c r="K140" s="43"/>
      <c r="L140" s="36"/>
      <c r="M140" s="181"/>
      <c r="N140" s="4"/>
      <c r="O140" s="183"/>
      <c r="P140"/>
      <c r="Q140" s="383"/>
    </row>
    <row r="141" spans="1:17" ht="60" customHeight="1" x14ac:dyDescent="0.25">
      <c r="A141" s="23"/>
      <c r="B141" s="96" t="s">
        <v>312</v>
      </c>
      <c r="C141" s="901" t="s">
        <v>324</v>
      </c>
      <c r="D141" s="902"/>
      <c r="E141" s="902"/>
      <c r="F141" s="902"/>
      <c r="G141" s="902"/>
      <c r="H141" s="903"/>
      <c r="I141" s="74">
        <v>0</v>
      </c>
      <c r="J141" s="75">
        <v>1</v>
      </c>
      <c r="K141" s="36" t="s">
        <v>319</v>
      </c>
      <c r="L141" s="36" t="s">
        <v>319</v>
      </c>
      <c r="M141" s="383"/>
      <c r="N141" s="182" t="s">
        <v>30</v>
      </c>
      <c r="O141"/>
      <c r="P141"/>
      <c r="Q141" s="383"/>
    </row>
    <row r="142" spans="1:17" ht="30" customHeight="1" x14ac:dyDescent="0.25">
      <c r="A142" s="23"/>
      <c r="B142" s="901" t="s">
        <v>325</v>
      </c>
      <c r="C142" s="902"/>
      <c r="D142" s="902"/>
      <c r="E142" s="902"/>
      <c r="F142" s="902"/>
      <c r="G142" s="902"/>
      <c r="H142" s="902"/>
      <c r="I142" s="902"/>
      <c r="J142" s="903"/>
      <c r="K142" s="383"/>
      <c r="L142" s="383"/>
      <c r="M142" s="383"/>
      <c r="N142" s="383"/>
      <c r="O142" s="383"/>
      <c r="P142" s="383"/>
      <c r="Q142" s="383"/>
    </row>
    <row r="143" spans="1:17" ht="20.100000000000001" customHeight="1" x14ac:dyDescent="0.2">
      <c r="B143" s="31"/>
      <c r="C143" s="31"/>
      <c r="D143" s="31"/>
      <c r="E143" s="31"/>
      <c r="F143" s="31"/>
      <c r="G143" s="31"/>
      <c r="H143" s="31"/>
      <c r="I143" s="32"/>
      <c r="J143" s="33"/>
      <c r="K143" s="18"/>
      <c r="L143" s="18"/>
      <c r="O143" s="18"/>
    </row>
    <row r="144" spans="1:17" ht="30" customHeight="1" x14ac:dyDescent="0.2">
      <c r="B144" s="1135" t="s">
        <v>326</v>
      </c>
      <c r="C144" s="1136"/>
      <c r="D144" s="1136"/>
      <c r="E144" s="1136"/>
      <c r="F144" s="1136"/>
      <c r="G144" s="1136"/>
      <c r="H144" s="1137"/>
      <c r="I144" s="34" t="s">
        <v>17</v>
      </c>
      <c r="J144" s="35" t="s">
        <v>18</v>
      </c>
      <c r="K144" s="194" t="s">
        <v>327</v>
      </c>
      <c r="L144" s="195">
        <v>14</v>
      </c>
      <c r="M144" s="23"/>
      <c r="N144" s="46" t="s">
        <v>30</v>
      </c>
      <c r="O144" s="195">
        <v>14</v>
      </c>
    </row>
    <row r="145" spans="1:15" ht="39.950000000000003" customHeight="1" x14ac:dyDescent="0.2">
      <c r="B145" s="96" t="s">
        <v>328</v>
      </c>
      <c r="C145" s="1063" t="s">
        <v>659</v>
      </c>
      <c r="D145" s="1395"/>
      <c r="E145" s="1395"/>
      <c r="F145" s="1395"/>
      <c r="G145" s="1395"/>
      <c r="H145" s="1395"/>
      <c r="I145" s="74">
        <v>0</v>
      </c>
      <c r="J145" s="75">
        <v>1</v>
      </c>
      <c r="K145" s="194" t="s">
        <v>327</v>
      </c>
      <c r="L145" s="195">
        <v>14</v>
      </c>
      <c r="M145" s="23"/>
      <c r="O145" s="195">
        <v>14</v>
      </c>
    </row>
    <row r="146" spans="1:15" ht="20.100000000000001" customHeight="1" x14ac:dyDescent="0.2">
      <c r="B146" s="31"/>
      <c r="C146" s="31"/>
      <c r="D146" s="31"/>
      <c r="E146" s="31"/>
      <c r="F146" s="31"/>
      <c r="G146" s="31"/>
      <c r="H146" s="31"/>
      <c r="I146" s="32"/>
      <c r="J146" s="33"/>
      <c r="K146" s="18"/>
      <c r="L146" s="18"/>
      <c r="M146" s="23"/>
      <c r="O146" s="18"/>
    </row>
    <row r="147" spans="1:15" ht="30" customHeight="1" x14ac:dyDescent="0.2">
      <c r="B147" s="904" t="s">
        <v>330</v>
      </c>
      <c r="C147" s="905"/>
      <c r="D147" s="905"/>
      <c r="E147" s="905"/>
      <c r="F147" s="905"/>
      <c r="G147" s="905"/>
      <c r="H147" s="906"/>
      <c r="I147" s="34" t="s">
        <v>17</v>
      </c>
      <c r="J147" s="35" t="s">
        <v>18</v>
      </c>
      <c r="K147" s="197" t="s">
        <v>331</v>
      </c>
      <c r="L147" s="195">
        <v>15</v>
      </c>
      <c r="N147" s="46" t="s">
        <v>30</v>
      </c>
      <c r="O147" s="195">
        <v>15</v>
      </c>
    </row>
    <row r="148" spans="1:15" ht="30" customHeight="1" x14ac:dyDescent="0.2">
      <c r="B148" s="924" t="s">
        <v>854</v>
      </c>
      <c r="C148" s="925"/>
      <c r="D148" s="925"/>
      <c r="E148" s="925"/>
      <c r="F148" s="925"/>
      <c r="G148" s="925"/>
      <c r="H148" s="925"/>
      <c r="I148" s="925"/>
      <c r="J148" s="926"/>
      <c r="K148" s="197" t="s">
        <v>331</v>
      </c>
      <c r="L148" s="195">
        <v>15</v>
      </c>
      <c r="O148" s="195">
        <v>15</v>
      </c>
    </row>
    <row r="149" spans="1:15" ht="54.95" customHeight="1" x14ac:dyDescent="0.2">
      <c r="B149" s="60" t="s">
        <v>335</v>
      </c>
      <c r="C149" s="867" t="s">
        <v>855</v>
      </c>
      <c r="D149" s="868"/>
      <c r="E149" s="868"/>
      <c r="F149" s="868"/>
      <c r="G149" s="868"/>
      <c r="H149" s="869"/>
      <c r="I149" s="61">
        <v>0</v>
      </c>
      <c r="J149" s="42">
        <v>1</v>
      </c>
      <c r="K149" s="197" t="s">
        <v>331</v>
      </c>
      <c r="L149" s="195">
        <v>15</v>
      </c>
      <c r="O149" s="195">
        <v>15</v>
      </c>
    </row>
    <row r="150" spans="1:15" ht="46.5" customHeight="1" x14ac:dyDescent="0.2">
      <c r="A150" s="24"/>
      <c r="B150" s="60" t="s">
        <v>340</v>
      </c>
      <c r="C150" s="867" t="s">
        <v>661</v>
      </c>
      <c r="D150" s="868"/>
      <c r="E150" s="868"/>
      <c r="F150" s="868"/>
      <c r="G150" s="868"/>
      <c r="H150" s="869"/>
      <c r="I150" s="61">
        <v>0</v>
      </c>
      <c r="J150" s="42">
        <v>1</v>
      </c>
      <c r="K150" s="197" t="s">
        <v>331</v>
      </c>
      <c r="L150" s="195">
        <v>15</v>
      </c>
      <c r="M150" s="23"/>
      <c r="N150" s="46" t="s">
        <v>30</v>
      </c>
      <c r="O150" s="195">
        <v>15</v>
      </c>
    </row>
    <row r="151" spans="1:15" ht="51" customHeight="1" x14ac:dyDescent="0.2">
      <c r="A151" s="24"/>
      <c r="B151" s="1047" t="s">
        <v>352</v>
      </c>
      <c r="C151" s="867" t="s">
        <v>353</v>
      </c>
      <c r="D151" s="868"/>
      <c r="E151" s="868"/>
      <c r="F151" s="868"/>
      <c r="G151" s="868"/>
      <c r="H151" s="869"/>
      <c r="I151" s="1110">
        <v>0</v>
      </c>
      <c r="J151" s="915">
        <v>1</v>
      </c>
      <c r="K151" s="197" t="s">
        <v>331</v>
      </c>
      <c r="L151" s="195">
        <v>15</v>
      </c>
      <c r="N151" s="46" t="s">
        <v>30</v>
      </c>
      <c r="O151" s="195">
        <v>15</v>
      </c>
    </row>
    <row r="152" spans="1:15" ht="61.5" customHeight="1" x14ac:dyDescent="0.2">
      <c r="A152" s="24"/>
      <c r="B152" s="1109"/>
      <c r="C152" s="867" t="s">
        <v>354</v>
      </c>
      <c r="D152" s="868"/>
      <c r="E152" s="868"/>
      <c r="F152" s="868"/>
      <c r="G152" s="868"/>
      <c r="H152" s="869"/>
      <c r="I152" s="1111"/>
      <c r="J152" s="1045"/>
      <c r="K152" s="197" t="s">
        <v>331</v>
      </c>
      <c r="L152" s="195">
        <v>15</v>
      </c>
      <c r="N152" s="4"/>
      <c r="O152" s="195">
        <v>15</v>
      </c>
    </row>
    <row r="153" spans="1:15" ht="53.25" customHeight="1" x14ac:dyDescent="0.2">
      <c r="A153" s="24"/>
      <c r="B153" s="1109"/>
      <c r="C153" s="867" t="s">
        <v>355</v>
      </c>
      <c r="D153" s="868"/>
      <c r="E153" s="868"/>
      <c r="F153" s="868"/>
      <c r="G153" s="868"/>
      <c r="H153" s="869"/>
      <c r="I153" s="1111"/>
      <c r="J153" s="1045"/>
      <c r="K153" s="197" t="s">
        <v>331</v>
      </c>
      <c r="L153" s="195">
        <v>15</v>
      </c>
      <c r="N153" s="4"/>
      <c r="O153" s="195">
        <v>15</v>
      </c>
    </row>
    <row r="154" spans="1:15" ht="39.950000000000003" customHeight="1" x14ac:dyDescent="0.2">
      <c r="A154" s="24"/>
      <c r="B154" s="1109"/>
      <c r="C154" s="1113" t="s">
        <v>356</v>
      </c>
      <c r="D154" s="1114"/>
      <c r="E154" s="1114"/>
      <c r="F154" s="1114"/>
      <c r="G154" s="1114"/>
      <c r="H154" s="1115"/>
      <c r="I154" s="1111"/>
      <c r="J154" s="1045"/>
      <c r="K154" s="197" t="s">
        <v>331</v>
      </c>
      <c r="L154" s="195">
        <v>15</v>
      </c>
      <c r="N154" s="4"/>
      <c r="O154" s="195">
        <v>15</v>
      </c>
    </row>
    <row r="155" spans="1:15" ht="39.950000000000003" customHeight="1" x14ac:dyDescent="0.2">
      <c r="A155" s="24"/>
      <c r="B155" s="1109"/>
      <c r="C155" s="867" t="s">
        <v>357</v>
      </c>
      <c r="D155" s="868"/>
      <c r="E155" s="868"/>
      <c r="F155" s="868"/>
      <c r="G155" s="868"/>
      <c r="H155" s="869"/>
      <c r="I155" s="1112"/>
      <c r="J155" s="916"/>
      <c r="K155" s="197" t="s">
        <v>331</v>
      </c>
      <c r="L155" s="195">
        <v>15</v>
      </c>
      <c r="N155" s="4"/>
      <c r="O155" s="195">
        <v>15</v>
      </c>
    </row>
    <row r="156" spans="1:15" ht="48.75" customHeight="1" x14ac:dyDescent="0.2">
      <c r="A156" s="24"/>
      <c r="B156" s="1048"/>
      <c r="C156" s="867" t="s">
        <v>358</v>
      </c>
      <c r="D156" s="868"/>
      <c r="E156" s="868"/>
      <c r="F156" s="868"/>
      <c r="G156" s="868"/>
      <c r="H156" s="869"/>
      <c r="I156" s="198" t="s">
        <v>256</v>
      </c>
      <c r="J156" s="199" t="s">
        <v>256</v>
      </c>
      <c r="K156" s="197" t="s">
        <v>331</v>
      </c>
      <c r="L156" s="195">
        <v>15</v>
      </c>
      <c r="N156" s="4"/>
      <c r="O156" s="195">
        <v>15</v>
      </c>
    </row>
    <row r="157" spans="1:15" ht="39.950000000000003" customHeight="1" x14ac:dyDescent="0.2">
      <c r="A157" s="24"/>
      <c r="B157" s="60" t="s">
        <v>359</v>
      </c>
      <c r="C157" s="1050" t="s">
        <v>360</v>
      </c>
      <c r="D157" s="1050"/>
      <c r="E157" s="1050"/>
      <c r="F157" s="1050"/>
      <c r="G157" s="1050"/>
      <c r="H157" s="1050"/>
      <c r="I157" s="61">
        <v>0</v>
      </c>
      <c r="J157" s="42">
        <v>1</v>
      </c>
      <c r="K157" s="197" t="s">
        <v>331</v>
      </c>
      <c r="L157" s="195">
        <v>15</v>
      </c>
      <c r="N157" s="46" t="s">
        <v>30</v>
      </c>
      <c r="O157" s="195">
        <v>15</v>
      </c>
    </row>
    <row r="158" spans="1:15" ht="41.25" customHeight="1" x14ac:dyDescent="0.2">
      <c r="A158" s="24"/>
      <c r="B158" s="1050" t="s">
        <v>361</v>
      </c>
      <c r="C158" s="1050"/>
      <c r="D158" s="1050"/>
      <c r="E158" s="1050"/>
      <c r="F158" s="1050"/>
      <c r="G158" s="1050"/>
      <c r="H158" s="1050"/>
      <c r="I158" s="1050"/>
      <c r="J158" s="1050"/>
      <c r="K158" s="197" t="s">
        <v>331</v>
      </c>
      <c r="L158" s="195">
        <v>15</v>
      </c>
      <c r="N158" s="46" t="s">
        <v>30</v>
      </c>
      <c r="O158" s="195">
        <v>15</v>
      </c>
    </row>
    <row r="159" spans="1:15" ht="20.100000000000001" customHeight="1" x14ac:dyDescent="0.2">
      <c r="B159" s="31"/>
      <c r="C159" s="31"/>
      <c r="D159" s="31"/>
      <c r="E159" s="31"/>
      <c r="F159" s="31"/>
      <c r="G159" s="31"/>
      <c r="H159" s="31"/>
      <c r="I159" s="32"/>
      <c r="J159" s="33"/>
      <c r="K159" s="18"/>
      <c r="L159" s="18"/>
      <c r="O159" s="18"/>
    </row>
    <row r="160" spans="1:15" ht="30" customHeight="1" x14ac:dyDescent="0.2">
      <c r="A160" s="23"/>
      <c r="B160" s="904" t="s">
        <v>453</v>
      </c>
      <c r="C160" s="905"/>
      <c r="D160" s="905"/>
      <c r="E160" s="905"/>
      <c r="F160" s="905"/>
      <c r="G160" s="905"/>
      <c r="H160" s="906"/>
      <c r="I160" s="34" t="s">
        <v>17</v>
      </c>
      <c r="J160" s="35" t="s">
        <v>18</v>
      </c>
      <c r="K160" s="197" t="s">
        <v>454</v>
      </c>
      <c r="L160" s="195">
        <v>18</v>
      </c>
      <c r="N160" s="46" t="s">
        <v>30</v>
      </c>
      <c r="O160" s="195">
        <v>18</v>
      </c>
    </row>
    <row r="161" spans="1:15" ht="30" customHeight="1" x14ac:dyDescent="0.2">
      <c r="A161" s="23"/>
      <c r="B161" s="867" t="s">
        <v>455</v>
      </c>
      <c r="C161" s="1058"/>
      <c r="D161" s="1058"/>
      <c r="E161" s="1058"/>
      <c r="F161" s="1058"/>
      <c r="G161" s="1058"/>
      <c r="H161" s="1058"/>
      <c r="I161" s="1058"/>
      <c r="J161" s="1059"/>
      <c r="K161" s="197" t="s">
        <v>454</v>
      </c>
      <c r="L161" s="195">
        <v>18</v>
      </c>
      <c r="O161" s="195">
        <v>18</v>
      </c>
    </row>
    <row r="162" spans="1:15" ht="30" customHeight="1" x14ac:dyDescent="0.2">
      <c r="A162" s="23"/>
      <c r="B162" s="1047" t="s">
        <v>395</v>
      </c>
      <c r="C162" s="1217" t="s">
        <v>662</v>
      </c>
      <c r="D162" s="1016"/>
      <c r="E162" s="1016" t="s">
        <v>592</v>
      </c>
      <c r="F162" s="1016"/>
      <c r="G162" s="1016" t="s">
        <v>593</v>
      </c>
      <c r="H162" s="1125"/>
      <c r="I162" s="1110">
        <v>0</v>
      </c>
      <c r="J162" s="915">
        <v>1</v>
      </c>
      <c r="K162" s="197" t="s">
        <v>454</v>
      </c>
      <c r="L162" s="195">
        <v>18</v>
      </c>
      <c r="O162" s="195">
        <v>18</v>
      </c>
    </row>
    <row r="163" spans="1:15" ht="30" customHeight="1" x14ac:dyDescent="0.2">
      <c r="A163" s="23"/>
      <c r="B163" s="1048"/>
      <c r="C163" s="1119" t="s">
        <v>663</v>
      </c>
      <c r="D163" s="870"/>
      <c r="E163" s="895" t="s">
        <v>587</v>
      </c>
      <c r="F163" s="895"/>
      <c r="G163" s="895"/>
      <c r="H163" s="896"/>
      <c r="I163" s="1112"/>
      <c r="J163" s="916"/>
      <c r="K163" s="197"/>
      <c r="L163" s="195"/>
      <c r="O163" s="195"/>
    </row>
    <row r="164" spans="1:15" ht="20.100000000000001" customHeight="1" x14ac:dyDescent="0.2">
      <c r="A164" s="24"/>
      <c r="B164" s="62"/>
      <c r="C164" s="192"/>
      <c r="D164" s="192"/>
      <c r="E164" s="192"/>
      <c r="F164" s="192"/>
      <c r="G164" s="192"/>
      <c r="H164" s="192"/>
      <c r="I164" s="64"/>
      <c r="J164" s="65"/>
    </row>
    <row r="165" spans="1:15" ht="30" customHeight="1" x14ac:dyDescent="0.2">
      <c r="A165" s="24"/>
      <c r="B165" s="904" t="s">
        <v>145</v>
      </c>
      <c r="C165" s="1160"/>
      <c r="D165" s="1160"/>
      <c r="E165" s="1160"/>
      <c r="F165" s="1160"/>
      <c r="G165" s="1160"/>
      <c r="H165" s="1271"/>
      <c r="I165" s="34" t="s">
        <v>17</v>
      </c>
      <c r="J165" s="35" t="s">
        <v>18</v>
      </c>
    </row>
    <row r="166" spans="1:15" ht="30" customHeight="1" x14ac:dyDescent="0.2">
      <c r="A166" s="24"/>
      <c r="B166" s="1279" t="s">
        <v>87</v>
      </c>
      <c r="C166" s="1250" t="s">
        <v>215</v>
      </c>
      <c r="D166" s="1391"/>
      <c r="E166" s="1251" t="s">
        <v>592</v>
      </c>
      <c r="F166" s="1251"/>
      <c r="G166" s="1251" t="s">
        <v>593</v>
      </c>
      <c r="H166" s="1392"/>
      <c r="I166" s="1393">
        <v>0</v>
      </c>
      <c r="J166" s="962">
        <v>0.7</v>
      </c>
    </row>
    <row r="167" spans="1:15" ht="30" customHeight="1" x14ac:dyDescent="0.2">
      <c r="A167" s="24"/>
      <c r="B167" s="1280"/>
      <c r="C167" s="1264" t="s">
        <v>669</v>
      </c>
      <c r="D167" s="1387"/>
      <c r="E167" s="1388" t="s">
        <v>586</v>
      </c>
      <c r="F167" s="1388"/>
      <c r="G167" s="1265"/>
      <c r="H167" s="1389"/>
      <c r="I167" s="1394"/>
      <c r="J167" s="964"/>
    </row>
    <row r="168" spans="1:15" ht="20.100000000000001" customHeight="1" x14ac:dyDescent="0.2">
      <c r="A168" s="24"/>
      <c r="B168" s="62"/>
      <c r="C168" s="192"/>
      <c r="D168" s="192"/>
      <c r="E168" s="192"/>
      <c r="F168" s="192"/>
      <c r="G168" s="192"/>
      <c r="H168" s="192"/>
      <c r="I168" s="64"/>
      <c r="J168" s="65"/>
    </row>
    <row r="169" spans="1:15" ht="30" customHeight="1" x14ac:dyDescent="0.2">
      <c r="A169" s="24"/>
      <c r="B169" s="855" t="s">
        <v>489</v>
      </c>
      <c r="C169" s="856"/>
      <c r="D169" s="856"/>
      <c r="E169" s="856"/>
      <c r="F169" s="856"/>
      <c r="G169" s="856"/>
      <c r="H169" s="856"/>
      <c r="I169" s="856"/>
      <c r="J169" s="857"/>
      <c r="N169" s="46" t="s">
        <v>30</v>
      </c>
    </row>
    <row r="170" spans="1:15" ht="51.75" customHeight="1" x14ac:dyDescent="0.2">
      <c r="A170" s="24"/>
      <c r="B170" s="901" t="s">
        <v>671</v>
      </c>
      <c r="C170" s="902"/>
      <c r="D170" s="902"/>
      <c r="E170" s="902"/>
      <c r="F170" s="902"/>
      <c r="G170" s="902"/>
      <c r="H170" s="902"/>
      <c r="I170" s="902"/>
      <c r="J170" s="903"/>
    </row>
    <row r="171" spans="1:15" ht="20.100000000000001" customHeight="1" x14ac:dyDescent="0.2">
      <c r="A171" s="24"/>
      <c r="B171" s="62"/>
      <c r="C171" s="192"/>
      <c r="D171" s="192"/>
      <c r="E171" s="192"/>
      <c r="F171" s="192"/>
      <c r="G171" s="192"/>
      <c r="H171" s="192"/>
      <c r="I171" s="64"/>
      <c r="J171" s="65"/>
    </row>
    <row r="172" spans="1:15" s="1" customFormat="1" ht="27.75" customHeight="1" x14ac:dyDescent="0.2">
      <c r="B172" s="1087" t="s">
        <v>369</v>
      </c>
      <c r="C172" s="1088"/>
      <c r="D172" s="1088"/>
      <c r="E172" s="1088"/>
      <c r="F172" s="1088"/>
      <c r="G172" s="1088"/>
      <c r="H172" s="1088"/>
      <c r="I172" s="34" t="s">
        <v>130</v>
      </c>
      <c r="J172" s="35" t="s">
        <v>18</v>
      </c>
      <c r="K172" s="36" t="s">
        <v>370</v>
      </c>
      <c r="L172" s="37">
        <v>44</v>
      </c>
      <c r="M172" s="68"/>
      <c r="N172" s="182" t="s">
        <v>30</v>
      </c>
      <c r="O172" s="37">
        <v>44</v>
      </c>
    </row>
    <row r="173" spans="1:15" s="1" customFormat="1" ht="58.5" customHeight="1" x14ac:dyDescent="0.2">
      <c r="B173" s="1105" t="s">
        <v>833</v>
      </c>
      <c r="C173" s="1106"/>
      <c r="D173" s="1106"/>
      <c r="E173" s="1106"/>
      <c r="F173" s="1106"/>
      <c r="G173" s="1106"/>
      <c r="H173" s="1106"/>
      <c r="I173" s="1106"/>
      <c r="J173" s="1107"/>
      <c r="K173" s="36" t="s">
        <v>370</v>
      </c>
      <c r="L173" s="37">
        <v>44</v>
      </c>
      <c r="M173" s="181"/>
      <c r="N173" s="67"/>
      <c r="O173" s="37">
        <v>44</v>
      </c>
    </row>
    <row r="174" spans="1:15" s="1" customFormat="1" ht="30" customHeight="1" x14ac:dyDescent="0.2">
      <c r="B174" s="976" t="s">
        <v>372</v>
      </c>
      <c r="C174" s="1607"/>
      <c r="D174" s="1607"/>
      <c r="E174" s="1607"/>
      <c r="F174" s="1607"/>
      <c r="G174" s="1607"/>
      <c r="H174" s="1607"/>
      <c r="I174" s="977"/>
      <c r="J174" s="977"/>
      <c r="K174" s="36" t="s">
        <v>370</v>
      </c>
      <c r="L174" s="37">
        <v>44</v>
      </c>
      <c r="M174" s="181"/>
      <c r="N174" s="182" t="s">
        <v>30</v>
      </c>
      <c r="O174" s="37">
        <v>44</v>
      </c>
    </row>
    <row r="175" spans="1:15" s="1" customFormat="1" ht="30" customHeight="1" x14ac:dyDescent="0.2">
      <c r="B175" s="390" t="s">
        <v>512</v>
      </c>
      <c r="C175" s="1086" t="s">
        <v>383</v>
      </c>
      <c r="D175" s="1086"/>
      <c r="E175" s="1086"/>
      <c r="F175" s="1086"/>
      <c r="G175" s="1086"/>
      <c r="H175" s="1086"/>
      <c r="I175" s="391">
        <v>80</v>
      </c>
      <c r="J175" s="199">
        <v>0.5</v>
      </c>
      <c r="K175" s="36" t="s">
        <v>370</v>
      </c>
      <c r="L175" s="37">
        <v>44</v>
      </c>
      <c r="M175" s="181"/>
      <c r="N175" s="67"/>
      <c r="O175" s="37">
        <v>44</v>
      </c>
    </row>
    <row r="176" spans="1:15" s="1" customFormat="1" ht="30" customHeight="1" x14ac:dyDescent="0.2">
      <c r="B176" s="115" t="s">
        <v>670</v>
      </c>
      <c r="C176" s="1086" t="s">
        <v>383</v>
      </c>
      <c r="D176" s="1086"/>
      <c r="E176" s="1086"/>
      <c r="F176" s="1086"/>
      <c r="G176" s="1086"/>
      <c r="H176" s="1086"/>
      <c r="I176" s="392">
        <v>80</v>
      </c>
      <c r="J176" s="393">
        <v>0.5</v>
      </c>
      <c r="K176" s="36" t="s">
        <v>370</v>
      </c>
      <c r="L176" s="37">
        <v>44</v>
      </c>
      <c r="M176" s="181"/>
      <c r="N176" s="67"/>
      <c r="O176" s="37">
        <v>44</v>
      </c>
    </row>
    <row r="177" spans="1:15" s="1" customFormat="1" ht="30" customHeight="1" x14ac:dyDescent="0.2">
      <c r="B177" s="976" t="s">
        <v>384</v>
      </c>
      <c r="C177" s="977"/>
      <c r="D177" s="977"/>
      <c r="E177" s="1518"/>
      <c r="F177" s="1518"/>
      <c r="G177" s="977"/>
      <c r="H177" s="977"/>
      <c r="I177" s="977"/>
      <c r="J177" s="978"/>
      <c r="K177" s="36" t="s">
        <v>370</v>
      </c>
      <c r="L177" s="37">
        <v>44</v>
      </c>
      <c r="M177" s="181"/>
      <c r="N177" s="182" t="s">
        <v>30</v>
      </c>
      <c r="O177" s="37">
        <v>44</v>
      </c>
    </row>
    <row r="178" spans="1:15" s="1" customFormat="1" ht="30" customHeight="1" x14ac:dyDescent="0.2">
      <c r="B178" s="202" t="s">
        <v>512</v>
      </c>
      <c r="C178" s="1086" t="s">
        <v>383</v>
      </c>
      <c r="D178" s="1086"/>
      <c r="E178" s="1086"/>
      <c r="F178" s="1086"/>
      <c r="G178" s="1086"/>
      <c r="H178" s="1086"/>
      <c r="I178" s="205">
        <v>0</v>
      </c>
      <c r="J178" s="75">
        <v>0.5</v>
      </c>
      <c r="K178" s="36" t="s">
        <v>370</v>
      </c>
      <c r="L178" s="37">
        <v>44</v>
      </c>
      <c r="M178" s="181"/>
      <c r="N178" s="67"/>
      <c r="O178" s="37">
        <v>44</v>
      </c>
    </row>
    <row r="179" spans="1:15" s="1" customFormat="1" ht="30" customHeight="1" x14ac:dyDescent="0.2">
      <c r="B179" s="202" t="s">
        <v>670</v>
      </c>
      <c r="C179" s="1086" t="s">
        <v>383</v>
      </c>
      <c r="D179" s="1086"/>
      <c r="E179" s="1086"/>
      <c r="F179" s="1086"/>
      <c r="G179" s="1086"/>
      <c r="H179" s="1086"/>
      <c r="I179" s="205">
        <v>0</v>
      </c>
      <c r="J179" s="75">
        <v>0.5</v>
      </c>
      <c r="K179" s="36" t="s">
        <v>370</v>
      </c>
      <c r="L179" s="37">
        <v>44</v>
      </c>
      <c r="M179" s="181"/>
      <c r="N179" s="67"/>
      <c r="O179" s="37">
        <v>44</v>
      </c>
    </row>
    <row r="180" spans="1:15" s="1" customFormat="1" ht="30" customHeight="1" x14ac:dyDescent="0.2">
      <c r="B180" s="1089" t="s">
        <v>389</v>
      </c>
      <c r="C180" s="1090"/>
      <c r="D180" s="1090"/>
      <c r="E180" s="1090"/>
      <c r="F180" s="1090"/>
      <c r="G180" s="1090"/>
      <c r="H180" s="1091"/>
      <c r="I180" s="205">
        <v>0</v>
      </c>
      <c r="J180" s="75">
        <v>0.5</v>
      </c>
      <c r="K180" s="36" t="s">
        <v>370</v>
      </c>
      <c r="L180" s="37">
        <v>44</v>
      </c>
      <c r="M180" s="181"/>
      <c r="N180" s="182" t="s">
        <v>30</v>
      </c>
      <c r="O180" s="37">
        <v>44</v>
      </c>
    </row>
    <row r="181" spans="1:15" s="1" customFormat="1" ht="30" customHeight="1" x14ac:dyDescent="0.2">
      <c r="B181" s="949" t="s">
        <v>390</v>
      </c>
      <c r="C181" s="950"/>
      <c r="D181" s="950"/>
      <c r="E181" s="950"/>
      <c r="F181" s="950"/>
      <c r="G181" s="950"/>
      <c r="H181" s="950"/>
      <c r="I181" s="950"/>
      <c r="J181" s="951"/>
      <c r="K181" s="36" t="s">
        <v>370</v>
      </c>
      <c r="L181" s="37">
        <v>44</v>
      </c>
      <c r="M181" s="181"/>
      <c r="N181" s="67"/>
      <c r="O181" s="37">
        <v>44</v>
      </c>
    </row>
    <row r="182" spans="1:15" s="1" customFormat="1" ht="30" customHeight="1" x14ac:dyDescent="0.2">
      <c r="B182" s="390" t="s">
        <v>512</v>
      </c>
      <c r="C182" s="1086" t="s">
        <v>383</v>
      </c>
      <c r="D182" s="1086"/>
      <c r="E182" s="1086"/>
      <c r="F182" s="1086"/>
      <c r="G182" s="1086"/>
      <c r="H182" s="1086"/>
      <c r="I182" s="391">
        <v>600</v>
      </c>
      <c r="J182" s="451">
        <v>0.5</v>
      </c>
      <c r="K182" s="36" t="s">
        <v>370</v>
      </c>
      <c r="L182" s="37">
        <v>44</v>
      </c>
      <c r="M182" s="181"/>
      <c r="N182" s="67"/>
      <c r="O182" s="37">
        <v>44</v>
      </c>
    </row>
    <row r="183" spans="1:15" s="1" customFormat="1" ht="30" customHeight="1" x14ac:dyDescent="0.2">
      <c r="B183" s="115" t="s">
        <v>670</v>
      </c>
      <c r="C183" s="1086" t="s">
        <v>383</v>
      </c>
      <c r="D183" s="1086"/>
      <c r="E183" s="1086"/>
      <c r="F183" s="1086"/>
      <c r="G183" s="1086"/>
      <c r="H183" s="1086"/>
      <c r="I183" s="392">
        <v>600</v>
      </c>
      <c r="J183" s="393">
        <v>0.5</v>
      </c>
      <c r="K183" s="36" t="s">
        <v>370</v>
      </c>
      <c r="L183" s="37">
        <v>44</v>
      </c>
      <c r="M183" s="181"/>
      <c r="N183" s="67"/>
      <c r="O183" s="37">
        <v>44</v>
      </c>
    </row>
    <row r="184" spans="1:15" s="1" customFormat="1" ht="20.100000000000001" customHeight="1" x14ac:dyDescent="0.2">
      <c r="B184" s="390"/>
      <c r="C184" s="203"/>
      <c r="D184" s="203"/>
      <c r="E184" s="203"/>
      <c r="F184" s="203"/>
      <c r="G184" s="203"/>
      <c r="H184" s="203"/>
      <c r="I184" s="395"/>
      <c r="J184" s="396"/>
    </row>
    <row r="185" spans="1:15" ht="30" customHeight="1" x14ac:dyDescent="0.2">
      <c r="A185" s="24"/>
      <c r="B185" s="855" t="s">
        <v>491</v>
      </c>
      <c r="C185" s="856"/>
      <c r="D185" s="856"/>
      <c r="E185" s="856"/>
      <c r="F185" s="856"/>
      <c r="G185" s="856"/>
      <c r="H185" s="856"/>
      <c r="I185" s="856"/>
      <c r="J185" s="857"/>
      <c r="N185" s="46" t="s">
        <v>30</v>
      </c>
    </row>
    <row r="186" spans="1:15" ht="43.5" customHeight="1" x14ac:dyDescent="0.2">
      <c r="A186" s="24"/>
      <c r="B186" s="901" t="s">
        <v>672</v>
      </c>
      <c r="C186" s="902"/>
      <c r="D186" s="902"/>
      <c r="E186" s="902"/>
      <c r="F186" s="902"/>
      <c r="G186" s="902"/>
      <c r="H186" s="902"/>
      <c r="I186" s="902"/>
      <c r="J186" s="903"/>
    </row>
    <row r="187" spans="1:15" ht="20.100000000000001" customHeight="1" x14ac:dyDescent="0.2">
      <c r="A187" s="24"/>
      <c r="B187" s="62"/>
      <c r="C187" s="192"/>
      <c r="D187" s="192"/>
      <c r="E187" s="192"/>
      <c r="F187" s="192"/>
      <c r="G187" s="192"/>
      <c r="H187" s="192"/>
      <c r="I187" s="64"/>
      <c r="J187" s="65"/>
    </row>
    <row r="188" spans="1:15" ht="30" customHeight="1" x14ac:dyDescent="0.2">
      <c r="A188" s="24"/>
      <c r="B188" s="855" t="s">
        <v>493</v>
      </c>
      <c r="C188" s="856"/>
      <c r="D188" s="856"/>
      <c r="E188" s="856"/>
      <c r="F188" s="856"/>
      <c r="G188" s="856"/>
      <c r="H188" s="856"/>
      <c r="I188" s="856"/>
      <c r="J188" s="857"/>
      <c r="N188" s="46" t="s">
        <v>30</v>
      </c>
    </row>
    <row r="189" spans="1:15" ht="40.5" customHeight="1" x14ac:dyDescent="0.2">
      <c r="A189" s="24"/>
      <c r="B189" s="901" t="s">
        <v>494</v>
      </c>
      <c r="C189" s="902"/>
      <c r="D189" s="902"/>
      <c r="E189" s="902"/>
      <c r="F189" s="902"/>
      <c r="G189" s="902"/>
      <c r="H189" s="902"/>
      <c r="I189" s="902"/>
      <c r="J189" s="903"/>
    </row>
    <row r="190" spans="1:15" ht="20.100000000000001" customHeight="1" x14ac:dyDescent="0.2">
      <c r="A190" s="24"/>
      <c r="B190" s="62"/>
      <c r="C190" s="192"/>
      <c r="D190" s="192"/>
      <c r="E190" s="192"/>
      <c r="F190" s="192"/>
      <c r="G190" s="192"/>
      <c r="H190" s="192"/>
      <c r="I190" s="64"/>
      <c r="J190" s="65"/>
    </row>
    <row r="191" spans="1:15" ht="30" customHeight="1" x14ac:dyDescent="0.2">
      <c r="A191" s="24"/>
      <c r="B191" s="1606" t="s">
        <v>856</v>
      </c>
      <c r="C191" s="1606"/>
      <c r="D191" s="1606"/>
      <c r="E191" s="1606"/>
      <c r="F191" s="1606"/>
      <c r="G191" s="1606"/>
      <c r="H191" s="1606"/>
      <c r="I191" s="34" t="s">
        <v>17</v>
      </c>
      <c r="J191" s="193" t="s">
        <v>18</v>
      </c>
      <c r="K191" s="194" t="s">
        <v>665</v>
      </c>
      <c r="L191" s="195">
        <v>22</v>
      </c>
      <c r="N191" s="46" t="s">
        <v>30</v>
      </c>
      <c r="O191" s="195">
        <v>22</v>
      </c>
    </row>
    <row r="192" spans="1:15" ht="69.95" customHeight="1" x14ac:dyDescent="0.2">
      <c r="A192" s="24"/>
      <c r="B192" s="115" t="s">
        <v>666</v>
      </c>
      <c r="C192" s="1023" t="s">
        <v>667</v>
      </c>
      <c r="D192" s="1024"/>
      <c r="E192" s="1024"/>
      <c r="F192" s="1024"/>
      <c r="G192" s="1024"/>
      <c r="H192" s="1025"/>
      <c r="I192" s="116" t="s">
        <v>256</v>
      </c>
      <c r="J192" s="199" t="s">
        <v>256</v>
      </c>
      <c r="K192" s="194" t="s">
        <v>665</v>
      </c>
      <c r="L192" s="195">
        <v>22</v>
      </c>
      <c r="O192" s="195">
        <v>22</v>
      </c>
    </row>
    <row r="193" spans="1:16" ht="20.100000000000001" customHeight="1" x14ac:dyDescent="0.2">
      <c r="A193" s="24"/>
      <c r="B193" s="62"/>
      <c r="C193" s="192"/>
      <c r="D193" s="192"/>
      <c r="E193" s="192"/>
      <c r="F193" s="192"/>
      <c r="G193" s="192"/>
      <c r="H193" s="192"/>
      <c r="I193" s="64"/>
      <c r="J193" s="65"/>
    </row>
    <row r="194" spans="1:16" ht="30" customHeight="1" x14ac:dyDescent="0.2">
      <c r="A194" s="24"/>
      <c r="B194" s="1603" t="s">
        <v>857</v>
      </c>
      <c r="C194" s="1603"/>
      <c r="D194" s="1603"/>
      <c r="E194" s="1603"/>
      <c r="F194" s="1603"/>
      <c r="G194" s="1603"/>
      <c r="H194" s="1603"/>
      <c r="I194" s="1603"/>
      <c r="J194" s="1603"/>
      <c r="N194" s="46" t="s">
        <v>30</v>
      </c>
    </row>
    <row r="195" spans="1:16" ht="54.95" customHeight="1" x14ac:dyDescent="0.2">
      <c r="A195" s="24"/>
      <c r="B195" s="1063" t="s">
        <v>674</v>
      </c>
      <c r="C195" s="1063"/>
      <c r="D195" s="1063"/>
      <c r="E195" s="1063"/>
      <c r="F195" s="1063"/>
      <c r="G195" s="1063"/>
      <c r="H195" s="1063"/>
      <c r="I195" s="1063"/>
      <c r="J195" s="1063"/>
      <c r="K195" s="18"/>
      <c r="L195" s="18"/>
      <c r="O195" s="18"/>
    </row>
    <row r="196" spans="1:16" ht="20.100000000000001" customHeight="1" x14ac:dyDescent="0.2">
      <c r="A196" s="24"/>
      <c r="B196" s="85"/>
      <c r="C196" s="85"/>
      <c r="D196" s="85"/>
      <c r="E196" s="85"/>
      <c r="F196" s="85"/>
      <c r="G196" s="85"/>
      <c r="H196" s="85"/>
      <c r="I196" s="85"/>
      <c r="J196" s="253"/>
      <c r="K196" s="18"/>
      <c r="L196" s="18"/>
      <c r="O196" s="18"/>
    </row>
    <row r="197" spans="1:16" ht="30" customHeight="1" x14ac:dyDescent="0.2">
      <c r="A197" s="24"/>
      <c r="B197" s="1159" t="s">
        <v>675</v>
      </c>
      <c r="C197" s="1274"/>
      <c r="D197" s="1274"/>
      <c r="E197" s="1274"/>
      <c r="F197" s="1274"/>
      <c r="G197" s="1274"/>
      <c r="H197" s="1275"/>
      <c r="I197" s="1368" t="s">
        <v>676</v>
      </c>
      <c r="J197" s="1369"/>
      <c r="K197" s="18"/>
      <c r="L197" s="18"/>
      <c r="N197" s="46" t="s">
        <v>30</v>
      </c>
      <c r="O197" s="18"/>
    </row>
    <row r="198" spans="1:16" ht="85.5" customHeight="1" x14ac:dyDescent="0.2">
      <c r="A198" s="24"/>
      <c r="B198" s="1376" t="s">
        <v>677</v>
      </c>
      <c r="C198" s="1377"/>
      <c r="D198" s="1377"/>
      <c r="E198" s="1377"/>
      <c r="F198" s="1377"/>
      <c r="G198" s="1377"/>
      <c r="H198" s="1378"/>
      <c r="I198" s="1604" t="s">
        <v>678</v>
      </c>
      <c r="J198" s="1605"/>
      <c r="K198" s="18"/>
      <c r="L198" s="18"/>
      <c r="O198" s="18"/>
    </row>
    <row r="199" spans="1:16" ht="20.100000000000001" customHeight="1" x14ac:dyDescent="0.2">
      <c r="A199" s="24"/>
      <c r="B199" s="85"/>
      <c r="C199" s="85"/>
      <c r="D199" s="85"/>
      <c r="E199" s="85"/>
      <c r="F199" s="85"/>
      <c r="G199" s="85"/>
      <c r="H199" s="85"/>
      <c r="I199" s="85"/>
      <c r="J199" s="253"/>
      <c r="K199" s="18"/>
      <c r="L199" s="18"/>
      <c r="O199" s="18"/>
    </row>
    <row r="200" spans="1:16" s="24" customFormat="1" ht="30" customHeight="1" x14ac:dyDescent="0.2">
      <c r="B200" s="1159" t="s">
        <v>679</v>
      </c>
      <c r="C200" s="1274"/>
      <c r="D200" s="1274"/>
      <c r="E200" s="1274"/>
      <c r="F200" s="1274"/>
      <c r="G200" s="1274"/>
      <c r="H200" s="1275"/>
      <c r="I200" s="1368" t="s">
        <v>676</v>
      </c>
      <c r="J200" s="1369"/>
      <c r="K200" s="18"/>
      <c r="L200" s="18"/>
      <c r="M200" s="4"/>
      <c r="N200" s="46" t="s">
        <v>30</v>
      </c>
      <c r="O200" s="18"/>
      <c r="P200" s="18"/>
    </row>
    <row r="201" spans="1:16" s="24" customFormat="1" ht="164.25" customHeight="1" x14ac:dyDescent="0.2">
      <c r="A201" s="18"/>
      <c r="B201" s="1381" t="s">
        <v>680</v>
      </c>
      <c r="C201" s="1382"/>
      <c r="D201" s="1382"/>
      <c r="E201" s="1382"/>
      <c r="F201" s="1382"/>
      <c r="G201" s="1382"/>
      <c r="H201" s="1383"/>
      <c r="I201" s="1384" t="s">
        <v>681</v>
      </c>
      <c r="J201" s="1385"/>
      <c r="K201" s="18"/>
      <c r="L201" s="58"/>
      <c r="M201" s="79"/>
      <c r="N201" s="4"/>
      <c r="O201" s="4"/>
      <c r="P201" s="59"/>
    </row>
    <row r="202" spans="1:16" ht="20.100000000000001" customHeight="1" x14ac:dyDescent="0.2">
      <c r="B202" s="31"/>
      <c r="C202" s="31"/>
      <c r="D202" s="31"/>
      <c r="E202" s="31"/>
      <c r="F202" s="31"/>
      <c r="G202" s="31"/>
      <c r="H202" s="31"/>
      <c r="I202" s="32"/>
      <c r="J202" s="33"/>
      <c r="K202" s="18"/>
      <c r="L202" s="18"/>
      <c r="O202" s="18"/>
    </row>
    <row r="203" spans="1:16" ht="30" customHeight="1" x14ac:dyDescent="0.2">
      <c r="A203" s="24"/>
      <c r="B203" s="1600" t="s">
        <v>682</v>
      </c>
      <c r="C203" s="1601"/>
      <c r="D203" s="1601"/>
      <c r="E203" s="1601"/>
      <c r="F203" s="1601"/>
      <c r="G203" s="1601"/>
      <c r="H203" s="1601"/>
      <c r="I203" s="34" t="s">
        <v>17</v>
      </c>
      <c r="J203" s="35" t="s">
        <v>18</v>
      </c>
      <c r="K203" s="36" t="s">
        <v>683</v>
      </c>
      <c r="L203" s="37">
        <v>23</v>
      </c>
      <c r="N203" s="46" t="s">
        <v>30</v>
      </c>
      <c r="O203" s="37">
        <v>23</v>
      </c>
    </row>
    <row r="204" spans="1:16" ht="30" customHeight="1" x14ac:dyDescent="0.2">
      <c r="A204" s="24"/>
      <c r="B204" s="1602" t="s">
        <v>684</v>
      </c>
      <c r="C204" s="1602"/>
      <c r="D204" s="1602"/>
      <c r="E204" s="1602"/>
      <c r="F204" s="1602"/>
      <c r="G204" s="1602"/>
      <c r="H204" s="1602"/>
      <c r="I204" s="1602"/>
      <c r="J204" s="1602"/>
      <c r="K204" s="36" t="s">
        <v>683</v>
      </c>
      <c r="L204" s="37">
        <v>23</v>
      </c>
      <c r="O204" s="37">
        <v>23</v>
      </c>
    </row>
    <row r="205" spans="1:16" ht="54.95" customHeight="1" x14ac:dyDescent="0.2">
      <c r="A205" s="24"/>
      <c r="B205" s="400"/>
      <c r="C205" s="1050" t="s">
        <v>685</v>
      </c>
      <c r="D205" s="1050"/>
      <c r="E205" s="1050"/>
      <c r="F205" s="1050"/>
      <c r="G205" s="1050"/>
      <c r="H205" s="1050"/>
      <c r="I205" s="61">
        <v>35</v>
      </c>
      <c r="J205" s="42">
        <v>1</v>
      </c>
      <c r="K205" s="36" t="s">
        <v>683</v>
      </c>
      <c r="L205" s="37">
        <v>23</v>
      </c>
      <c r="O205" s="37">
        <v>23</v>
      </c>
    </row>
    <row r="206" spans="1:16" ht="20.100000000000001" customHeight="1" x14ac:dyDescent="0.2">
      <c r="B206" s="31"/>
      <c r="C206" s="31"/>
      <c r="D206" s="31"/>
      <c r="E206" s="31"/>
      <c r="F206" s="31"/>
      <c r="G206" s="31"/>
      <c r="H206" s="31"/>
      <c r="I206" s="32"/>
      <c r="J206" s="33"/>
      <c r="K206" s="18"/>
      <c r="L206" s="18"/>
      <c r="O206" s="18"/>
    </row>
    <row r="207" spans="1:16" ht="30" customHeight="1" x14ac:dyDescent="0.2">
      <c r="B207" s="1600" t="s">
        <v>686</v>
      </c>
      <c r="C207" s="1601"/>
      <c r="D207" s="1601"/>
      <c r="E207" s="1601"/>
      <c r="F207" s="1601"/>
      <c r="G207" s="1601"/>
      <c r="H207" s="1601"/>
      <c r="I207" s="34" t="s">
        <v>17</v>
      </c>
      <c r="J207" s="35" t="s">
        <v>18</v>
      </c>
      <c r="K207" s="36" t="s">
        <v>687</v>
      </c>
      <c r="L207" s="37">
        <v>24</v>
      </c>
      <c r="N207" s="46" t="s">
        <v>30</v>
      </c>
      <c r="O207" s="37">
        <v>24</v>
      </c>
    </row>
    <row r="208" spans="1:16" ht="30" customHeight="1" x14ac:dyDescent="0.2">
      <c r="A208" s="24"/>
      <c r="B208" s="1602" t="s">
        <v>688</v>
      </c>
      <c r="C208" s="1602"/>
      <c r="D208" s="1602"/>
      <c r="E208" s="1602"/>
      <c r="F208" s="1602"/>
      <c r="G208" s="1602"/>
      <c r="H208" s="1602"/>
      <c r="I208" s="1602"/>
      <c r="J208" s="1602"/>
      <c r="K208" s="36" t="s">
        <v>687</v>
      </c>
      <c r="L208" s="37">
        <v>24</v>
      </c>
      <c r="O208" s="37">
        <v>24</v>
      </c>
    </row>
    <row r="209" spans="1:15" ht="69.95" customHeight="1" x14ac:dyDescent="0.2">
      <c r="A209" s="24"/>
      <c r="B209" s="401"/>
      <c r="C209" s="1063" t="s">
        <v>689</v>
      </c>
      <c r="D209" s="1063"/>
      <c r="E209" s="1063"/>
      <c r="F209" s="1063"/>
      <c r="G209" s="1063"/>
      <c r="H209" s="1063"/>
      <c r="I209" s="74">
        <v>51</v>
      </c>
      <c r="J209" s="75">
        <v>1</v>
      </c>
      <c r="K209" s="36" t="s">
        <v>687</v>
      </c>
      <c r="L209" s="37">
        <v>24</v>
      </c>
      <c r="O209" s="37">
        <v>24</v>
      </c>
    </row>
    <row r="210" spans="1:15" ht="20.100000000000001" customHeight="1" x14ac:dyDescent="0.2">
      <c r="B210" s="31"/>
      <c r="C210" s="31"/>
      <c r="D210" s="31"/>
      <c r="E210" s="31"/>
      <c r="F210" s="31"/>
      <c r="G210" s="31"/>
      <c r="H210" s="31"/>
      <c r="I210" s="32"/>
      <c r="J210" s="33"/>
      <c r="K210" s="18"/>
      <c r="L210" s="18"/>
      <c r="O210" s="18"/>
    </row>
    <row r="211" spans="1:15" ht="30" customHeight="1" x14ac:dyDescent="0.2">
      <c r="A211" s="24"/>
      <c r="B211" s="1600" t="s">
        <v>690</v>
      </c>
      <c r="C211" s="1601"/>
      <c r="D211" s="1601"/>
      <c r="E211" s="1601"/>
      <c r="F211" s="1601"/>
      <c r="G211" s="1601"/>
      <c r="H211" s="1601"/>
      <c r="I211" s="34" t="s">
        <v>17</v>
      </c>
      <c r="J211" s="35" t="s">
        <v>18</v>
      </c>
      <c r="K211" s="194" t="s">
        <v>691</v>
      </c>
      <c r="L211" s="195">
        <v>25</v>
      </c>
      <c r="N211" s="46" t="s">
        <v>30</v>
      </c>
      <c r="O211" s="195">
        <v>25</v>
      </c>
    </row>
    <row r="212" spans="1:15" ht="30" customHeight="1" x14ac:dyDescent="0.2">
      <c r="A212" s="24"/>
      <c r="B212" s="1370" t="s">
        <v>692</v>
      </c>
      <c r="C212" s="1371"/>
      <c r="D212" s="1371"/>
      <c r="E212" s="1371"/>
      <c r="F212" s="1371"/>
      <c r="G212" s="1371"/>
      <c r="H212" s="1371"/>
      <c r="I212" s="1371"/>
      <c r="J212" s="1372"/>
      <c r="K212" s="194" t="s">
        <v>691</v>
      </c>
      <c r="L212" s="195">
        <v>25</v>
      </c>
      <c r="O212" s="195">
        <v>25</v>
      </c>
    </row>
    <row r="213" spans="1:15" ht="54.95" customHeight="1" x14ac:dyDescent="0.2">
      <c r="A213" s="24"/>
      <c r="B213" s="1373"/>
      <c r="C213" s="1129" t="s">
        <v>693</v>
      </c>
      <c r="D213" s="1130"/>
      <c r="E213" s="1130"/>
      <c r="F213" s="1130"/>
      <c r="G213" s="1130"/>
      <c r="H213" s="1131"/>
      <c r="I213" s="1110">
        <v>0</v>
      </c>
      <c r="J213" s="915">
        <v>1</v>
      </c>
      <c r="K213" s="194" t="s">
        <v>691</v>
      </c>
      <c r="L213" s="195">
        <v>25</v>
      </c>
      <c r="O213" s="195">
        <v>25</v>
      </c>
    </row>
    <row r="214" spans="1:15" ht="30" customHeight="1" x14ac:dyDescent="0.2">
      <c r="A214" s="24"/>
      <c r="B214" s="1374"/>
      <c r="C214" s="1211" t="s">
        <v>694</v>
      </c>
      <c r="D214" s="1190"/>
      <c r="E214" s="1190" t="s">
        <v>695</v>
      </c>
      <c r="F214" s="1190"/>
      <c r="G214" s="1190" t="s">
        <v>696</v>
      </c>
      <c r="H214" s="1212"/>
      <c r="I214" s="1111"/>
      <c r="J214" s="1045"/>
      <c r="K214" s="194" t="s">
        <v>691</v>
      </c>
      <c r="L214" s="195">
        <v>25</v>
      </c>
      <c r="O214" s="195">
        <v>25</v>
      </c>
    </row>
    <row r="215" spans="1:15" ht="30" customHeight="1" x14ac:dyDescent="0.2">
      <c r="A215" s="24"/>
      <c r="B215" s="1375"/>
      <c r="C215" s="1206" t="s">
        <v>697</v>
      </c>
      <c r="D215" s="1207"/>
      <c r="E215" s="1207"/>
      <c r="F215" s="1207"/>
      <c r="G215" s="1207"/>
      <c r="H215" s="1222"/>
      <c r="I215" s="1112"/>
      <c r="J215" s="916"/>
      <c r="K215" s="194" t="s">
        <v>691</v>
      </c>
      <c r="L215" s="195">
        <v>25</v>
      </c>
      <c r="O215" s="195">
        <v>25</v>
      </c>
    </row>
    <row r="216" spans="1:15" ht="20.100000000000001" customHeight="1" x14ac:dyDescent="0.2">
      <c r="A216" s="24"/>
      <c r="B216" s="192"/>
      <c r="C216" s="192"/>
      <c r="D216" s="192"/>
      <c r="E216" s="192"/>
      <c r="F216" s="192"/>
      <c r="G216" s="192"/>
      <c r="H216" s="192"/>
      <c r="I216" s="64"/>
      <c r="J216" s="65"/>
    </row>
    <row r="217" spans="1:15" ht="30" customHeight="1" x14ac:dyDescent="0.2">
      <c r="A217" s="24"/>
      <c r="B217" s="1341" t="s">
        <v>737</v>
      </c>
      <c r="C217" s="1342"/>
      <c r="D217" s="1342"/>
      <c r="E217" s="1342"/>
      <c r="F217" s="1342"/>
      <c r="G217" s="1342"/>
      <c r="H217" s="1343"/>
      <c r="I217" s="34" t="s">
        <v>17</v>
      </c>
      <c r="J217" s="193" t="s">
        <v>18</v>
      </c>
      <c r="K217" s="194" t="s">
        <v>738</v>
      </c>
      <c r="L217" s="195">
        <v>31</v>
      </c>
      <c r="N217" s="46" t="s">
        <v>30</v>
      </c>
      <c r="O217" s="195">
        <v>31</v>
      </c>
    </row>
    <row r="218" spans="1:15" ht="54.95" customHeight="1" x14ac:dyDescent="0.2">
      <c r="A218" s="24"/>
      <c r="B218" s="1023" t="s">
        <v>739</v>
      </c>
      <c r="C218" s="1024"/>
      <c r="D218" s="1024"/>
      <c r="E218" s="1024"/>
      <c r="F218" s="1024"/>
      <c r="G218" s="1024"/>
      <c r="H218" s="1025"/>
      <c r="I218" s="116">
        <v>0</v>
      </c>
      <c r="J218" s="199">
        <v>1</v>
      </c>
      <c r="K218" s="194" t="s">
        <v>738</v>
      </c>
      <c r="L218" s="195">
        <v>31</v>
      </c>
      <c r="O218" s="195">
        <v>31</v>
      </c>
    </row>
    <row r="219" spans="1:15" ht="20.100000000000001" customHeight="1" x14ac:dyDescent="0.2">
      <c r="A219" s="24"/>
      <c r="B219" s="192"/>
      <c r="C219" s="192"/>
      <c r="D219" s="192"/>
      <c r="E219" s="192"/>
      <c r="F219" s="192"/>
      <c r="G219" s="192"/>
      <c r="H219" s="192"/>
      <c r="I219" s="64"/>
      <c r="J219" s="65"/>
    </row>
    <row r="220" spans="1:15" ht="30" customHeight="1" x14ac:dyDescent="0.2">
      <c r="B220" s="972" t="s">
        <v>698</v>
      </c>
      <c r="C220" s="975"/>
      <c r="D220" s="975"/>
      <c r="E220" s="975"/>
      <c r="F220" s="975"/>
      <c r="G220" s="975"/>
      <c r="H220" s="1340"/>
      <c r="I220" s="34" t="s">
        <v>17</v>
      </c>
      <c r="J220" s="35" t="s">
        <v>18</v>
      </c>
      <c r="K220" s="36" t="s">
        <v>699</v>
      </c>
      <c r="L220" s="37">
        <v>26</v>
      </c>
      <c r="N220" s="46" t="s">
        <v>30</v>
      </c>
      <c r="O220" s="37">
        <v>26</v>
      </c>
    </row>
    <row r="221" spans="1:15" ht="30" customHeight="1" x14ac:dyDescent="0.2">
      <c r="B221" s="949" t="s">
        <v>700</v>
      </c>
      <c r="C221" s="1371"/>
      <c r="D221" s="1371"/>
      <c r="E221" s="1371"/>
      <c r="F221" s="1371"/>
      <c r="G221" s="1371"/>
      <c r="H221" s="1371"/>
      <c r="I221" s="1371"/>
      <c r="J221" s="1372"/>
      <c r="K221" s="36" t="s">
        <v>699</v>
      </c>
      <c r="L221" s="37">
        <v>26</v>
      </c>
      <c r="O221" s="37">
        <v>26</v>
      </c>
    </row>
    <row r="222" spans="1:15" ht="69.95" customHeight="1" x14ac:dyDescent="0.2">
      <c r="B222" s="400" t="s">
        <v>701</v>
      </c>
      <c r="C222" s="1119" t="s">
        <v>702</v>
      </c>
      <c r="D222" s="870"/>
      <c r="E222" s="870"/>
      <c r="F222" s="870"/>
      <c r="G222" s="870"/>
      <c r="H222" s="870"/>
      <c r="I222" s="404">
        <v>0</v>
      </c>
      <c r="J222" s="405">
        <v>1</v>
      </c>
      <c r="K222" s="36" t="s">
        <v>699</v>
      </c>
      <c r="L222" s="37">
        <v>26</v>
      </c>
      <c r="O222" s="37">
        <v>26</v>
      </c>
    </row>
    <row r="223" spans="1:15" ht="20.100000000000001" customHeight="1" x14ac:dyDescent="0.2">
      <c r="A223" s="24"/>
      <c r="B223" s="62"/>
      <c r="C223" s="192"/>
      <c r="D223" s="192"/>
      <c r="E223" s="192"/>
      <c r="F223" s="192"/>
      <c r="G223" s="192"/>
      <c r="H223" s="192"/>
      <c r="I223" s="64"/>
      <c r="J223" s="65"/>
    </row>
    <row r="224" spans="1:15" ht="30" customHeight="1" x14ac:dyDescent="0.2">
      <c r="A224" s="24"/>
      <c r="B224" s="972" t="s">
        <v>703</v>
      </c>
      <c r="C224" s="975"/>
      <c r="D224" s="975"/>
      <c r="E224" s="975"/>
      <c r="F224" s="975"/>
      <c r="G224" s="975"/>
      <c r="H224" s="1340"/>
      <c r="I224" s="1368" t="s">
        <v>17</v>
      </c>
      <c r="J224" s="1369"/>
      <c r="K224" s="36" t="s">
        <v>704</v>
      </c>
      <c r="L224" s="37">
        <v>27</v>
      </c>
      <c r="N224" s="46" t="s">
        <v>30</v>
      </c>
      <c r="O224" s="37">
        <v>27</v>
      </c>
    </row>
    <row r="225" spans="1:16" s="24" customFormat="1" ht="90" customHeight="1" x14ac:dyDescent="0.2">
      <c r="B225" s="401" t="s">
        <v>705</v>
      </c>
      <c r="C225" s="901" t="s">
        <v>706</v>
      </c>
      <c r="D225" s="902"/>
      <c r="E225" s="902"/>
      <c r="F225" s="902"/>
      <c r="G225" s="902"/>
      <c r="H225" s="903"/>
      <c r="I225" s="1598">
        <v>145</v>
      </c>
      <c r="J225" s="1598"/>
      <c r="K225" s="36" t="s">
        <v>704</v>
      </c>
      <c r="L225" s="37">
        <v>27</v>
      </c>
      <c r="M225" s="23"/>
      <c r="O225" s="37">
        <v>27</v>
      </c>
    </row>
    <row r="226" spans="1:16" ht="80.099999999999994" customHeight="1" x14ac:dyDescent="0.2">
      <c r="A226" s="24"/>
      <c r="B226" s="401" t="s">
        <v>707</v>
      </c>
      <c r="C226" s="901" t="s">
        <v>708</v>
      </c>
      <c r="D226" s="902"/>
      <c r="E226" s="902"/>
      <c r="F226" s="902"/>
      <c r="G226" s="902"/>
      <c r="H226" s="903"/>
      <c r="I226" s="1364">
        <v>120</v>
      </c>
      <c r="J226" s="1270"/>
      <c r="K226" s="36" t="s">
        <v>704</v>
      </c>
      <c r="L226" s="37">
        <v>27</v>
      </c>
      <c r="N226" s="46" t="s">
        <v>30</v>
      </c>
      <c r="O226" s="37">
        <v>27</v>
      </c>
      <c r="P226" s="24"/>
    </row>
    <row r="227" spans="1:16" ht="30" customHeight="1" x14ac:dyDescent="0.2">
      <c r="A227" s="24"/>
      <c r="B227" s="1365" t="s">
        <v>709</v>
      </c>
      <c r="C227" s="901" t="s">
        <v>710</v>
      </c>
      <c r="D227" s="902"/>
      <c r="E227" s="902"/>
      <c r="F227" s="902"/>
      <c r="G227" s="902"/>
      <c r="H227" s="903"/>
      <c r="I227" s="1364">
        <v>50</v>
      </c>
      <c r="J227" s="1270"/>
      <c r="K227" s="36" t="s">
        <v>704</v>
      </c>
      <c r="L227" s="37">
        <v>27</v>
      </c>
      <c r="N227" s="46" t="s">
        <v>30</v>
      </c>
      <c r="O227" s="37">
        <v>27</v>
      </c>
    </row>
    <row r="228" spans="1:16" ht="30" customHeight="1" x14ac:dyDescent="0.2">
      <c r="A228" s="24"/>
      <c r="B228" s="1366"/>
      <c r="C228" s="902" t="s">
        <v>711</v>
      </c>
      <c r="D228" s="902"/>
      <c r="E228" s="902"/>
      <c r="F228" s="902"/>
      <c r="G228" s="902"/>
      <c r="H228" s="902"/>
      <c r="I228" s="1598">
        <v>50</v>
      </c>
      <c r="J228" s="1598"/>
      <c r="K228" s="36" t="s">
        <v>704</v>
      </c>
      <c r="L228" s="37">
        <v>27</v>
      </c>
      <c r="O228" s="37">
        <v>27</v>
      </c>
    </row>
    <row r="229" spans="1:16" ht="30" customHeight="1" x14ac:dyDescent="0.2">
      <c r="A229" s="24"/>
      <c r="B229" s="1366"/>
      <c r="C229" s="1034" t="s">
        <v>712</v>
      </c>
      <c r="D229" s="1034"/>
      <c r="E229" s="1034"/>
      <c r="F229" s="1034"/>
      <c r="G229" s="1034"/>
      <c r="H229" s="1034"/>
      <c r="I229" s="1598">
        <v>40</v>
      </c>
      <c r="J229" s="1598"/>
      <c r="K229" s="36" t="s">
        <v>704</v>
      </c>
      <c r="L229" s="37">
        <v>27</v>
      </c>
      <c r="O229" s="37">
        <v>27</v>
      </c>
    </row>
    <row r="230" spans="1:16" ht="39.950000000000003" customHeight="1" x14ac:dyDescent="0.2">
      <c r="A230" s="24"/>
      <c r="B230" s="1366"/>
      <c r="C230" s="902" t="s">
        <v>713</v>
      </c>
      <c r="D230" s="902"/>
      <c r="E230" s="902"/>
      <c r="F230" s="902"/>
      <c r="G230" s="902"/>
      <c r="H230" s="902"/>
      <c r="I230" s="1598">
        <v>30</v>
      </c>
      <c r="J230" s="1598"/>
      <c r="K230" s="36" t="s">
        <v>704</v>
      </c>
      <c r="L230" s="37">
        <v>27</v>
      </c>
      <c r="O230" s="37">
        <v>27</v>
      </c>
    </row>
    <row r="231" spans="1:16" ht="30" customHeight="1" x14ac:dyDescent="0.2">
      <c r="A231" s="24"/>
      <c r="B231" s="1366"/>
      <c r="C231" s="1063" t="s">
        <v>714</v>
      </c>
      <c r="D231" s="1063"/>
      <c r="E231" s="1063"/>
      <c r="F231" s="1063"/>
      <c r="G231" s="1063"/>
      <c r="H231" s="1063"/>
      <c r="I231" s="1598">
        <v>25</v>
      </c>
      <c r="J231" s="1598"/>
      <c r="K231" s="36" t="s">
        <v>704</v>
      </c>
      <c r="L231" s="37">
        <v>27</v>
      </c>
      <c r="N231" s="4"/>
      <c r="O231" s="37">
        <v>27</v>
      </c>
    </row>
    <row r="232" spans="1:16" ht="30" customHeight="1" x14ac:dyDescent="0.2">
      <c r="A232" s="24"/>
      <c r="B232" s="1366"/>
      <c r="C232" s="1063" t="s">
        <v>715</v>
      </c>
      <c r="D232" s="1599"/>
      <c r="E232" s="1599"/>
      <c r="F232" s="1599"/>
      <c r="G232" s="1599"/>
      <c r="H232" s="1599"/>
      <c r="I232" s="1598">
        <v>30</v>
      </c>
      <c r="J232" s="1598"/>
      <c r="K232" s="36" t="s">
        <v>704</v>
      </c>
      <c r="L232" s="37">
        <v>27</v>
      </c>
      <c r="O232" s="37">
        <v>27</v>
      </c>
    </row>
    <row r="233" spans="1:16" ht="30" customHeight="1" x14ac:dyDescent="0.2">
      <c r="A233" s="24"/>
      <c r="B233" s="1366"/>
      <c r="C233" s="1063" t="s">
        <v>716</v>
      </c>
      <c r="D233" s="1599"/>
      <c r="E233" s="1599"/>
      <c r="F233" s="1599"/>
      <c r="G233" s="1599"/>
      <c r="H233" s="1599"/>
      <c r="I233" s="1598">
        <v>18</v>
      </c>
      <c r="J233" s="1598"/>
      <c r="K233" s="36" t="s">
        <v>704</v>
      </c>
      <c r="L233" s="37">
        <v>27</v>
      </c>
      <c r="O233" s="37">
        <v>27</v>
      </c>
    </row>
    <row r="234" spans="1:16" ht="30" customHeight="1" x14ac:dyDescent="0.2">
      <c r="A234" s="24"/>
      <c r="B234" s="1366"/>
      <c r="C234" s="1063" t="s">
        <v>717</v>
      </c>
      <c r="D234" s="1599"/>
      <c r="E234" s="1599"/>
      <c r="F234" s="1599"/>
      <c r="G234" s="1599"/>
      <c r="H234" s="1599"/>
      <c r="I234" s="1598">
        <v>18</v>
      </c>
      <c r="J234" s="1598"/>
      <c r="K234" s="36" t="s">
        <v>704</v>
      </c>
      <c r="L234" s="37">
        <v>27</v>
      </c>
      <c r="O234" s="37">
        <v>27</v>
      </c>
    </row>
    <row r="235" spans="1:16" ht="30" customHeight="1" x14ac:dyDescent="0.2">
      <c r="A235" s="24"/>
      <c r="B235" s="1366"/>
      <c r="C235" s="1063" t="s">
        <v>718</v>
      </c>
      <c r="D235" s="1063"/>
      <c r="E235" s="1063"/>
      <c r="F235" s="1063"/>
      <c r="G235" s="1063"/>
      <c r="H235" s="1063"/>
      <c r="I235" s="1598">
        <v>25</v>
      </c>
      <c r="J235" s="1598"/>
      <c r="K235" s="36" t="s">
        <v>704</v>
      </c>
      <c r="L235" s="37">
        <v>27</v>
      </c>
      <c r="O235" s="37">
        <v>27</v>
      </c>
    </row>
    <row r="236" spans="1:16" ht="30" customHeight="1" x14ac:dyDescent="0.2">
      <c r="A236" s="24"/>
      <c r="B236" s="1366"/>
      <c r="C236" s="1063" t="s">
        <v>719</v>
      </c>
      <c r="D236" s="1063"/>
      <c r="E236" s="1063"/>
      <c r="F236" s="1063"/>
      <c r="G236" s="1063"/>
      <c r="H236" s="1063"/>
      <c r="I236" s="1598">
        <v>18</v>
      </c>
      <c r="J236" s="1598"/>
      <c r="K236" s="36" t="s">
        <v>704</v>
      </c>
      <c r="L236" s="37">
        <v>27</v>
      </c>
      <c r="O236" s="37">
        <v>27</v>
      </c>
    </row>
    <row r="237" spans="1:16" ht="30" customHeight="1" x14ac:dyDescent="0.2">
      <c r="A237" s="24"/>
      <c r="B237" s="1366"/>
      <c r="C237" s="1063" t="s">
        <v>720</v>
      </c>
      <c r="D237" s="1063"/>
      <c r="E237" s="1063"/>
      <c r="F237" s="1063"/>
      <c r="G237" s="1063"/>
      <c r="H237" s="1063"/>
      <c r="I237" s="1598">
        <v>10</v>
      </c>
      <c r="J237" s="1598"/>
      <c r="K237" s="36" t="s">
        <v>704</v>
      </c>
      <c r="L237" s="37">
        <v>27</v>
      </c>
      <c r="O237" s="37">
        <v>27</v>
      </c>
    </row>
    <row r="238" spans="1:16" ht="30" customHeight="1" x14ac:dyDescent="0.2">
      <c r="A238" s="24"/>
      <c r="B238" s="1366"/>
      <c r="C238" s="1063" t="s">
        <v>721</v>
      </c>
      <c r="D238" s="1063"/>
      <c r="E238" s="1063"/>
      <c r="F238" s="1063"/>
      <c r="G238" s="1063"/>
      <c r="H238" s="1063"/>
      <c r="I238" s="1598">
        <v>18</v>
      </c>
      <c r="J238" s="1598"/>
      <c r="K238" s="36" t="s">
        <v>704</v>
      </c>
      <c r="L238" s="37">
        <v>27</v>
      </c>
      <c r="O238" s="37">
        <v>27</v>
      </c>
    </row>
    <row r="239" spans="1:16" ht="53.25" customHeight="1" x14ac:dyDescent="0.2">
      <c r="A239" s="24"/>
      <c r="B239" s="1352" t="s">
        <v>722</v>
      </c>
      <c r="C239" s="1353"/>
      <c r="D239" s="1353"/>
      <c r="E239" s="1353"/>
      <c r="F239" s="1353"/>
      <c r="G239" s="1353"/>
      <c r="H239" s="1353"/>
      <c r="I239" s="1353"/>
      <c r="J239" s="1354"/>
      <c r="K239" s="36" t="s">
        <v>704</v>
      </c>
      <c r="L239" s="37">
        <v>27</v>
      </c>
      <c r="N239" s="46" t="s">
        <v>30</v>
      </c>
      <c r="O239" s="37">
        <v>27</v>
      </c>
    </row>
    <row r="240" spans="1:16" ht="20.100000000000001" customHeight="1" x14ac:dyDescent="0.2">
      <c r="A240" s="24"/>
      <c r="B240" s="62"/>
      <c r="C240" s="192"/>
      <c r="D240" s="192"/>
      <c r="E240" s="192"/>
      <c r="F240" s="192"/>
      <c r="G240" s="192"/>
      <c r="H240" s="192"/>
      <c r="I240" s="64"/>
      <c r="J240" s="65"/>
    </row>
    <row r="241" spans="1:15" ht="30" customHeight="1" x14ac:dyDescent="0.2">
      <c r="A241" s="24"/>
      <c r="B241" s="972" t="s">
        <v>730</v>
      </c>
      <c r="C241" s="975"/>
      <c r="D241" s="975"/>
      <c r="E241" s="975"/>
      <c r="F241" s="975"/>
      <c r="G241" s="975"/>
      <c r="H241" s="1340"/>
      <c r="I241" s="34" t="s">
        <v>17</v>
      </c>
      <c r="J241" s="35" t="s">
        <v>18</v>
      </c>
      <c r="K241" s="118" t="s">
        <v>731</v>
      </c>
      <c r="L241" s="411">
        <v>29</v>
      </c>
      <c r="N241" s="46" t="s">
        <v>30</v>
      </c>
      <c r="O241" s="411">
        <v>29</v>
      </c>
    </row>
    <row r="242" spans="1:15" ht="27" customHeight="1" x14ac:dyDescent="0.2">
      <c r="A242" s="24"/>
      <c r="B242" s="1596" t="s">
        <v>732</v>
      </c>
      <c r="C242" s="1597"/>
      <c r="D242" s="220"/>
      <c r="E242" s="220"/>
      <c r="F242" s="220"/>
      <c r="G242" s="220"/>
      <c r="H242" s="220"/>
      <c r="I242" s="413"/>
      <c r="J242" s="523"/>
      <c r="K242" s="118" t="s">
        <v>731</v>
      </c>
      <c r="L242" s="411">
        <v>29</v>
      </c>
      <c r="O242" s="411">
        <v>29</v>
      </c>
    </row>
    <row r="243" spans="1:15" ht="279.95" customHeight="1" x14ac:dyDescent="0.2">
      <c r="A243" s="24"/>
      <c r="B243" s="60" t="s">
        <v>328</v>
      </c>
      <c r="C243" s="867" t="s">
        <v>858</v>
      </c>
      <c r="D243" s="868"/>
      <c r="E243" s="868"/>
      <c r="F243" s="868"/>
      <c r="G243" s="868"/>
      <c r="H243" s="869"/>
      <c r="I243" s="61">
        <v>0</v>
      </c>
      <c r="J243" s="42">
        <v>1</v>
      </c>
      <c r="K243" s="118" t="s">
        <v>731</v>
      </c>
      <c r="L243" s="411">
        <v>29</v>
      </c>
      <c r="O243" s="411">
        <v>29</v>
      </c>
    </row>
    <row r="244" spans="1:15" ht="20.100000000000001" customHeight="1" x14ac:dyDescent="0.2">
      <c r="A244" s="24"/>
      <c r="B244" s="62"/>
      <c r="C244" s="192"/>
      <c r="D244" s="192"/>
      <c r="E244" s="192"/>
      <c r="F244" s="192"/>
      <c r="G244" s="192"/>
      <c r="H244" s="192"/>
      <c r="I244" s="64"/>
      <c r="J244" s="65"/>
    </row>
    <row r="245" spans="1:15" ht="30" customHeight="1" x14ac:dyDescent="0.2">
      <c r="A245" s="24"/>
      <c r="B245" s="1135" t="s">
        <v>740</v>
      </c>
      <c r="C245" s="1136"/>
      <c r="D245" s="1136"/>
      <c r="E245" s="1136"/>
      <c r="F245" s="1136"/>
      <c r="G245" s="1136"/>
      <c r="H245" s="1137"/>
      <c r="I245" s="34" t="s">
        <v>17</v>
      </c>
      <c r="J245" s="193" t="s">
        <v>18</v>
      </c>
      <c r="K245" s="194" t="s">
        <v>741</v>
      </c>
      <c r="L245" s="195">
        <v>32</v>
      </c>
      <c r="N245" s="46" t="s">
        <v>30</v>
      </c>
      <c r="O245" s="195">
        <v>32</v>
      </c>
    </row>
    <row r="246" spans="1:15" ht="66.75" customHeight="1" x14ac:dyDescent="0.2">
      <c r="A246" s="24"/>
      <c r="B246" s="1023" t="s">
        <v>742</v>
      </c>
      <c r="C246" s="1024"/>
      <c r="D246" s="1024"/>
      <c r="E246" s="1024"/>
      <c r="F246" s="1024"/>
      <c r="G246" s="1024"/>
      <c r="H246" s="1025"/>
      <c r="I246" s="116">
        <v>0</v>
      </c>
      <c r="J246" s="199">
        <v>1</v>
      </c>
      <c r="K246" s="194" t="s">
        <v>741</v>
      </c>
      <c r="L246" s="195">
        <v>32</v>
      </c>
      <c r="O246" s="195">
        <v>32</v>
      </c>
    </row>
    <row r="247" spans="1:15" ht="20.100000000000001" customHeight="1" x14ac:dyDescent="0.2">
      <c r="A247" s="24"/>
      <c r="B247" s="62"/>
      <c r="C247" s="192"/>
      <c r="D247" s="192"/>
      <c r="E247" s="192"/>
      <c r="F247" s="192"/>
      <c r="G247" s="192"/>
      <c r="H247" s="192"/>
      <c r="I247" s="64"/>
      <c r="J247" s="65"/>
    </row>
    <row r="248" spans="1:15" ht="30" customHeight="1" x14ac:dyDescent="0.2">
      <c r="A248" s="24"/>
      <c r="B248" s="855" t="s">
        <v>859</v>
      </c>
      <c r="C248" s="856"/>
      <c r="D248" s="856"/>
      <c r="E248" s="856"/>
      <c r="F248" s="856"/>
      <c r="G248" s="856"/>
      <c r="H248" s="856"/>
      <c r="I248" s="856"/>
      <c r="J248" s="857"/>
      <c r="N248" s="46" t="s">
        <v>30</v>
      </c>
    </row>
    <row r="249" spans="1:15" ht="20.100000000000001" customHeight="1" x14ac:dyDescent="0.2">
      <c r="A249" s="24"/>
    </row>
    <row r="250" spans="1:15" ht="30" customHeight="1" x14ac:dyDescent="0.2">
      <c r="A250" s="24"/>
      <c r="B250" s="904" t="s">
        <v>810</v>
      </c>
      <c r="C250" s="905"/>
      <c r="D250" s="905"/>
      <c r="E250" s="905"/>
      <c r="F250" s="905"/>
      <c r="G250" s="905"/>
      <c r="H250" s="905"/>
      <c r="I250" s="905"/>
      <c r="J250" s="906"/>
    </row>
    <row r="251" spans="1:15" ht="20.100000000000001" customHeight="1" x14ac:dyDescent="0.2">
      <c r="A251" s="24"/>
      <c r="B251" s="277"/>
    </row>
    <row r="252" spans="1:15" ht="24.95" customHeight="1" x14ac:dyDescent="0.2">
      <c r="A252" s="24"/>
      <c r="B252" s="907" t="s">
        <v>523</v>
      </c>
      <c r="C252" s="908"/>
      <c r="D252" s="908"/>
      <c r="E252" s="907" t="s">
        <v>750</v>
      </c>
      <c r="F252" s="909"/>
    </row>
    <row r="253" spans="1:15" ht="24.95" customHeight="1" x14ac:dyDescent="0.2">
      <c r="A253" s="24"/>
      <c r="B253" s="912" t="s">
        <v>525</v>
      </c>
      <c r="C253" s="913"/>
      <c r="D253" s="913"/>
      <c r="E253" s="910"/>
      <c r="F253" s="911"/>
      <c r="G253" s="914"/>
      <c r="H253" s="914"/>
      <c r="I253" s="914"/>
      <c r="J253" s="914"/>
    </row>
    <row r="254" spans="1:15" ht="24.95" customHeight="1" x14ac:dyDescent="0.2">
      <c r="A254" s="24"/>
      <c r="B254" s="1592" t="s">
        <v>840</v>
      </c>
      <c r="C254" s="1593"/>
      <c r="D254" s="1593"/>
      <c r="E254" s="1594">
        <v>41.356492215612974</v>
      </c>
      <c r="F254" s="1595"/>
      <c r="G254" s="278"/>
      <c r="H254" s="279"/>
      <c r="I254" s="893"/>
      <c r="J254" s="893"/>
    </row>
    <row r="255" spans="1:15" ht="20.100000000000001" customHeight="1" x14ac:dyDescent="0.2">
      <c r="A255" s="24"/>
      <c r="B255" s="47"/>
      <c r="C255" s="47"/>
      <c r="D255" s="47"/>
      <c r="E255" s="282"/>
      <c r="F255" s="282"/>
      <c r="G255" s="283"/>
      <c r="H255" s="283"/>
      <c r="I255" s="284"/>
      <c r="J255" s="281"/>
    </row>
    <row r="256" spans="1:15" ht="30" customHeight="1" x14ac:dyDescent="0.2">
      <c r="A256" s="24"/>
      <c r="B256" s="855" t="s">
        <v>527</v>
      </c>
      <c r="C256" s="856"/>
      <c r="D256" s="856"/>
      <c r="E256" s="856"/>
      <c r="F256" s="856"/>
      <c r="G256" s="856"/>
      <c r="H256" s="856"/>
      <c r="I256" s="856"/>
      <c r="J256" s="857"/>
      <c r="N256" s="46" t="s">
        <v>30</v>
      </c>
    </row>
    <row r="257" spans="1:15" ht="20.100000000000001" customHeight="1" x14ac:dyDescent="0.2">
      <c r="A257" s="24"/>
    </row>
    <row r="258" spans="1:15" ht="24.95" customHeight="1" x14ac:dyDescent="0.2">
      <c r="A258" s="24"/>
      <c r="B258" s="881" t="s">
        <v>529</v>
      </c>
      <c r="C258" s="881"/>
      <c r="D258" s="881"/>
      <c r="E258" s="881" t="s">
        <v>530</v>
      </c>
      <c r="F258" s="881"/>
      <c r="G258" s="285" t="s">
        <v>531</v>
      </c>
      <c r="H258" s="881" t="s">
        <v>532</v>
      </c>
      <c r="I258" s="881"/>
      <c r="J258" s="881"/>
    </row>
    <row r="259" spans="1:15" ht="24.95" customHeight="1" x14ac:dyDescent="0.2">
      <c r="A259" s="24"/>
      <c r="B259" s="286" t="s">
        <v>533</v>
      </c>
      <c r="C259" s="287">
        <v>0.75</v>
      </c>
      <c r="D259" s="288"/>
      <c r="E259" s="878" t="s">
        <v>534</v>
      </c>
      <c r="F259" s="878"/>
      <c r="G259" s="289" t="s">
        <v>534</v>
      </c>
      <c r="H259" s="878" t="s">
        <v>534</v>
      </c>
      <c r="I259" s="878"/>
      <c r="J259" s="878"/>
    </row>
    <row r="260" spans="1:15" ht="24.95" customHeight="1" x14ac:dyDescent="0.2">
      <c r="A260" s="24"/>
      <c r="B260" s="290">
        <v>0.75</v>
      </c>
      <c r="C260" s="291" t="s">
        <v>535</v>
      </c>
      <c r="D260" s="288"/>
      <c r="E260" s="878" t="s">
        <v>536</v>
      </c>
      <c r="F260" s="878"/>
      <c r="G260" s="289" t="s">
        <v>534</v>
      </c>
      <c r="H260" s="292" t="s">
        <v>537</v>
      </c>
      <c r="I260" s="293">
        <v>0.75</v>
      </c>
      <c r="J260" s="294"/>
    </row>
    <row r="261" spans="1:15" ht="24.95" customHeight="1" x14ac:dyDescent="0.2">
      <c r="A261" s="24"/>
      <c r="B261" s="879" t="s">
        <v>538</v>
      </c>
      <c r="C261" s="879"/>
      <c r="D261" s="879"/>
      <c r="E261" s="878" t="s">
        <v>536</v>
      </c>
      <c r="F261" s="878"/>
      <c r="G261" s="289" t="s">
        <v>539</v>
      </c>
      <c r="H261" s="292" t="s">
        <v>540</v>
      </c>
      <c r="I261" s="293">
        <v>0.75</v>
      </c>
      <c r="J261" s="295" t="s">
        <v>541</v>
      </c>
    </row>
    <row r="262" spans="1:15" ht="24.95" customHeight="1" x14ac:dyDescent="0.2">
      <c r="A262" s="24"/>
      <c r="B262" s="879" t="s">
        <v>542</v>
      </c>
      <c r="C262" s="879"/>
      <c r="D262" s="879"/>
      <c r="E262" s="878" t="s">
        <v>536</v>
      </c>
      <c r="F262" s="878"/>
      <c r="G262" s="289" t="s">
        <v>543</v>
      </c>
      <c r="H262" s="292" t="s">
        <v>540</v>
      </c>
      <c r="I262" s="293">
        <v>0.75</v>
      </c>
      <c r="J262" s="295" t="s">
        <v>544</v>
      </c>
      <c r="K262" s="402"/>
      <c r="L262" s="402"/>
      <c r="M262" s="415"/>
      <c r="O262" s="402"/>
    </row>
    <row r="263" spans="1:15" ht="20.100000000000001" customHeight="1" x14ac:dyDescent="0.2">
      <c r="A263" s="24"/>
      <c r="B263" s="505"/>
      <c r="C263" s="506"/>
      <c r="D263" s="506"/>
      <c r="E263" s="507"/>
      <c r="F263" s="507"/>
      <c r="G263" s="507"/>
      <c r="H263" s="507"/>
      <c r="I263" s="508"/>
      <c r="J263" s="509"/>
      <c r="N263" s="46" t="s">
        <v>30</v>
      </c>
    </row>
    <row r="264" spans="1:15" ht="135" customHeight="1" x14ac:dyDescent="0.2">
      <c r="A264" s="24"/>
      <c r="B264" s="920" t="s">
        <v>751</v>
      </c>
      <c r="C264" s="1590"/>
      <c r="D264" s="1590"/>
      <c r="E264" s="1590"/>
      <c r="F264" s="1590"/>
      <c r="G264" s="1590"/>
      <c r="H264" s="1590"/>
      <c r="I264" s="1590"/>
      <c r="J264" s="1591"/>
    </row>
    <row r="265" spans="1:15" ht="35.1" customHeight="1" x14ac:dyDescent="0.2">
      <c r="A265" s="24"/>
      <c r="B265" s="298" t="s">
        <v>546</v>
      </c>
      <c r="C265" s="299"/>
      <c r="D265" s="299"/>
      <c r="E265" s="300"/>
      <c r="F265" s="300"/>
      <c r="G265" s="300"/>
      <c r="H265" s="300"/>
      <c r="I265" s="301"/>
      <c r="J265" s="302"/>
      <c r="N265" s="46" t="s">
        <v>30</v>
      </c>
    </row>
    <row r="266" spans="1:15" ht="50.1" customHeight="1" x14ac:dyDescent="0.2">
      <c r="A266" s="24"/>
      <c r="B266" s="303"/>
      <c r="C266" s="304"/>
      <c r="D266" s="161"/>
      <c r="E266" s="305" t="s">
        <v>547</v>
      </c>
      <c r="F266" s="306" t="s">
        <v>548</v>
      </c>
      <c r="G266" s="307"/>
      <c r="H266" s="308"/>
      <c r="I266" s="284"/>
      <c r="J266" s="309"/>
    </row>
    <row r="267" spans="1:15" ht="110.1" customHeight="1" x14ac:dyDescent="0.2">
      <c r="A267" s="24"/>
      <c r="B267" s="130"/>
      <c r="C267" s="131"/>
      <c r="D267" s="870" t="s">
        <v>549</v>
      </c>
      <c r="E267" s="870"/>
      <c r="F267" s="870"/>
      <c r="G267" s="870"/>
      <c r="H267" s="870"/>
      <c r="I267" s="870"/>
      <c r="J267" s="871"/>
    </row>
    <row r="268" spans="1:15" ht="20.100000000000001" customHeight="1" x14ac:dyDescent="0.2">
      <c r="A268" s="24"/>
    </row>
    <row r="269" spans="1:15" ht="30" customHeight="1" x14ac:dyDescent="0.2">
      <c r="A269" s="24"/>
      <c r="B269" s="855" t="s">
        <v>860</v>
      </c>
      <c r="C269" s="856"/>
      <c r="D269" s="856"/>
      <c r="E269" s="856"/>
      <c r="F269" s="856"/>
      <c r="G269" s="856"/>
      <c r="H269" s="856"/>
      <c r="I269" s="856"/>
      <c r="J269" s="857"/>
      <c r="N269" s="46" t="s">
        <v>30</v>
      </c>
    </row>
    <row r="270" spans="1:15" ht="12" customHeight="1" x14ac:dyDescent="0.2">
      <c r="A270" s="24"/>
      <c r="B270" s="314"/>
      <c r="C270" s="314"/>
      <c r="D270" s="314"/>
      <c r="E270" s="314"/>
      <c r="F270" s="314"/>
      <c r="G270" s="314"/>
      <c r="H270" s="314"/>
      <c r="I270" s="315"/>
      <c r="J270" s="316"/>
    </row>
    <row r="271" spans="1:15" ht="24.95" customHeight="1" x14ac:dyDescent="0.2">
      <c r="A271" s="24"/>
      <c r="B271" s="1232" t="s">
        <v>753</v>
      </c>
      <c r="C271" s="1233"/>
      <c r="D271" s="1233"/>
      <c r="E271" s="1233"/>
      <c r="F271" s="1233"/>
      <c r="G271" s="1233"/>
      <c r="H271" s="1233"/>
      <c r="I271" s="1233"/>
      <c r="J271" s="1234"/>
    </row>
    <row r="272" spans="1:15" ht="12" customHeight="1" x14ac:dyDescent="0.2">
      <c r="A272" s="24"/>
      <c r="B272" s="427"/>
      <c r="C272" s="47"/>
      <c r="D272" s="47"/>
      <c r="E272" s="47"/>
      <c r="F272" s="47"/>
      <c r="G272" s="47"/>
      <c r="H272" s="47"/>
      <c r="I272" s="284"/>
      <c r="J272" s="281"/>
    </row>
    <row r="273" spans="1:14" ht="30" customHeight="1" x14ac:dyDescent="0.2">
      <c r="A273" s="24"/>
      <c r="B273" s="855" t="s">
        <v>861</v>
      </c>
      <c r="C273" s="856"/>
      <c r="D273" s="856"/>
      <c r="E273" s="856"/>
      <c r="F273" s="856"/>
      <c r="G273" s="856"/>
      <c r="H273" s="856"/>
      <c r="I273" s="856"/>
      <c r="J273" s="857"/>
      <c r="N273" s="46" t="s">
        <v>30</v>
      </c>
    </row>
    <row r="274" spans="1:14" ht="12" customHeight="1" x14ac:dyDescent="0.2">
      <c r="A274" s="24"/>
      <c r="B274" s="314"/>
      <c r="C274" s="314"/>
      <c r="D274" s="314"/>
      <c r="E274" s="314"/>
      <c r="F274" s="314"/>
      <c r="G274" s="314"/>
      <c r="H274" s="314"/>
      <c r="I274" s="314"/>
      <c r="J274" s="316"/>
    </row>
    <row r="275" spans="1:14" ht="24.95" customHeight="1" x14ac:dyDescent="0.2">
      <c r="A275" s="24"/>
      <c r="B275" s="864" t="s">
        <v>559</v>
      </c>
      <c r="C275" s="865"/>
      <c r="D275" s="865"/>
      <c r="E275" s="865"/>
      <c r="F275" s="865"/>
      <c r="G275" s="865"/>
      <c r="H275" s="865"/>
      <c r="I275" s="865"/>
      <c r="J275" s="866"/>
    </row>
    <row r="276" spans="1:14" ht="12" customHeight="1" x14ac:dyDescent="0.2">
      <c r="A276" s="24"/>
      <c r="B276" s="47"/>
      <c r="C276" s="47"/>
      <c r="D276" s="47"/>
      <c r="E276" s="47"/>
      <c r="F276" s="47"/>
      <c r="G276" s="47"/>
      <c r="H276" s="47"/>
      <c r="I276" s="284"/>
      <c r="J276" s="281"/>
    </row>
    <row r="277" spans="1:14" ht="84.95" customHeight="1" x14ac:dyDescent="0.2">
      <c r="A277" s="24"/>
      <c r="B277" s="867" t="s">
        <v>560</v>
      </c>
      <c r="C277" s="868"/>
      <c r="D277" s="868"/>
      <c r="E277" s="868"/>
      <c r="F277" s="868"/>
      <c r="G277" s="868"/>
      <c r="H277" s="868"/>
      <c r="I277" s="868"/>
      <c r="J277" s="869"/>
    </row>
  </sheetData>
  <mergeCells count="470">
    <mergeCell ref="B1:J1"/>
    <mergeCell ref="B3:D3"/>
    <mergeCell ref="E3:J3"/>
    <mergeCell ref="B4:D4"/>
    <mergeCell ref="E4:J4"/>
    <mergeCell ref="B5:D5"/>
    <mergeCell ref="E5:F5"/>
    <mergeCell ref="H5:I5"/>
    <mergeCell ref="B13:J13"/>
    <mergeCell ref="B15:J15"/>
    <mergeCell ref="I17:J17"/>
    <mergeCell ref="B19:J19"/>
    <mergeCell ref="B21:H21"/>
    <mergeCell ref="B22:J22"/>
    <mergeCell ref="B6:D6"/>
    <mergeCell ref="E6:F6"/>
    <mergeCell ref="B7:J7"/>
    <mergeCell ref="B9:J9"/>
    <mergeCell ref="B10:J10"/>
    <mergeCell ref="B12:J12"/>
    <mergeCell ref="I25:I31"/>
    <mergeCell ref="J25:J31"/>
    <mergeCell ref="C26:D26"/>
    <mergeCell ref="E26:F26"/>
    <mergeCell ref="G26:H26"/>
    <mergeCell ref="C27:D27"/>
    <mergeCell ref="B23:B24"/>
    <mergeCell ref="C23:D23"/>
    <mergeCell ref="E23:F23"/>
    <mergeCell ref="G23:H23"/>
    <mergeCell ref="I23:I24"/>
    <mergeCell ref="J23:J24"/>
    <mergeCell ref="C24:D24"/>
    <mergeCell ref="E24:F24"/>
    <mergeCell ref="G24:H24"/>
    <mergeCell ref="C30:H30"/>
    <mergeCell ref="C31:H31"/>
    <mergeCell ref="E27:F27"/>
    <mergeCell ref="G27:H27"/>
    <mergeCell ref="C28:D28"/>
    <mergeCell ref="E28:F28"/>
    <mergeCell ref="G28:H28"/>
    <mergeCell ref="C29:D29"/>
    <mergeCell ref="E29:F29"/>
    <mergeCell ref="G29:H29"/>
    <mergeCell ref="B25:B31"/>
    <mergeCell ref="C25:D25"/>
    <mergeCell ref="E25:F25"/>
    <mergeCell ref="G25:H25"/>
    <mergeCell ref="B36:B37"/>
    <mergeCell ref="C36:D36"/>
    <mergeCell ref="E36:F36"/>
    <mergeCell ref="G36:H36"/>
    <mergeCell ref="I36:I37"/>
    <mergeCell ref="J36:J37"/>
    <mergeCell ref="C37:D37"/>
    <mergeCell ref="J32:J35"/>
    <mergeCell ref="C33:D33"/>
    <mergeCell ref="E33:F33"/>
    <mergeCell ref="G33:H33"/>
    <mergeCell ref="C34:H34"/>
    <mergeCell ref="C35:H35"/>
    <mergeCell ref="B32:B35"/>
    <mergeCell ref="C32:D32"/>
    <mergeCell ref="E32:F32"/>
    <mergeCell ref="I32:I35"/>
    <mergeCell ref="C40:H40"/>
    <mergeCell ref="C41:H41"/>
    <mergeCell ref="B43:H43"/>
    <mergeCell ref="B44:J44"/>
    <mergeCell ref="C45:H45"/>
    <mergeCell ref="B47:H47"/>
    <mergeCell ref="B38:B39"/>
    <mergeCell ref="C38:D38"/>
    <mergeCell ref="E38:F38"/>
    <mergeCell ref="G38:H38"/>
    <mergeCell ref="I38:I39"/>
    <mergeCell ref="J38:J39"/>
    <mergeCell ref="C39:D39"/>
    <mergeCell ref="E39:F39"/>
    <mergeCell ref="B48:J48"/>
    <mergeCell ref="B49:B51"/>
    <mergeCell ref="C49:D49"/>
    <mergeCell ref="E49:F49"/>
    <mergeCell ref="G49:H49"/>
    <mergeCell ref="I49:I51"/>
    <mergeCell ref="J49:J51"/>
    <mergeCell ref="C50:D50"/>
    <mergeCell ref="E50:F50"/>
    <mergeCell ref="G50:H50"/>
    <mergeCell ref="C51:D51"/>
    <mergeCell ref="E51:F51"/>
    <mergeCell ref="B52:B56"/>
    <mergeCell ref="C52:D52"/>
    <mergeCell ref="E52:F52"/>
    <mergeCell ref="G52:H52"/>
    <mergeCell ref="G55:H55"/>
    <mergeCell ref="C56:D56"/>
    <mergeCell ref="E56:F56"/>
    <mergeCell ref="G56:H56"/>
    <mergeCell ref="I52:I56"/>
    <mergeCell ref="J52:J56"/>
    <mergeCell ref="C53:D53"/>
    <mergeCell ref="E53:F53"/>
    <mergeCell ref="G53:H53"/>
    <mergeCell ref="C54:D54"/>
    <mergeCell ref="E54:F54"/>
    <mergeCell ref="G54:H54"/>
    <mergeCell ref="C55:D55"/>
    <mergeCell ref="E55:F55"/>
    <mergeCell ref="B57:B58"/>
    <mergeCell ref="C57:D57"/>
    <mergeCell ref="E57:F57"/>
    <mergeCell ref="G57:H57"/>
    <mergeCell ref="I57:I58"/>
    <mergeCell ref="J57:J58"/>
    <mergeCell ref="C58:D58"/>
    <mergeCell ref="E58:F58"/>
    <mergeCell ref="G58:H58"/>
    <mergeCell ref="B61:B62"/>
    <mergeCell ref="C61:D61"/>
    <mergeCell ref="E61:F61"/>
    <mergeCell ref="G61:H61"/>
    <mergeCell ref="I61:I62"/>
    <mergeCell ref="J61:J62"/>
    <mergeCell ref="C62:D62"/>
    <mergeCell ref="E62:F62"/>
    <mergeCell ref="B59:B60"/>
    <mergeCell ref="C59:D59"/>
    <mergeCell ref="E59:F59"/>
    <mergeCell ref="G59:H59"/>
    <mergeCell ref="I59:I60"/>
    <mergeCell ref="J59:J60"/>
    <mergeCell ref="C60:D60"/>
    <mergeCell ref="C63:H63"/>
    <mergeCell ref="C64:H64"/>
    <mergeCell ref="B66:H66"/>
    <mergeCell ref="B67:J67"/>
    <mergeCell ref="C68:D68"/>
    <mergeCell ref="E68:F68"/>
    <mergeCell ref="G68:H68"/>
    <mergeCell ref="E71:F71"/>
    <mergeCell ref="G71:H71"/>
    <mergeCell ref="B69:B72"/>
    <mergeCell ref="C69:D69"/>
    <mergeCell ref="E69:F69"/>
    <mergeCell ref="G69:H69"/>
    <mergeCell ref="C76:D76"/>
    <mergeCell ref="E76:F76"/>
    <mergeCell ref="G76:H76"/>
    <mergeCell ref="I69:I72"/>
    <mergeCell ref="J69:J72"/>
    <mergeCell ref="C70:D70"/>
    <mergeCell ref="E70:F70"/>
    <mergeCell ref="G70:H70"/>
    <mergeCell ref="C71:D71"/>
    <mergeCell ref="C72:D72"/>
    <mergeCell ref="E72:F72"/>
    <mergeCell ref="G72:H72"/>
    <mergeCell ref="C77:H77"/>
    <mergeCell ref="C78:H78"/>
    <mergeCell ref="B80:H80"/>
    <mergeCell ref="I73:I74"/>
    <mergeCell ref="J73:J74"/>
    <mergeCell ref="C74:D74"/>
    <mergeCell ref="E74:F74"/>
    <mergeCell ref="G74:H74"/>
    <mergeCell ref="C75:D75"/>
    <mergeCell ref="E75:F75"/>
    <mergeCell ref="G75:H75"/>
    <mergeCell ref="B73:B74"/>
    <mergeCell ref="C73:D73"/>
    <mergeCell ref="E73:F73"/>
    <mergeCell ref="G73:H73"/>
    <mergeCell ref="B85:H85"/>
    <mergeCell ref="B86:B87"/>
    <mergeCell ref="C86:H86"/>
    <mergeCell ref="I86:I87"/>
    <mergeCell ref="J86:J87"/>
    <mergeCell ref="C87:H87"/>
    <mergeCell ref="B81:J81"/>
    <mergeCell ref="B82:H82"/>
    <mergeCell ref="B83:B84"/>
    <mergeCell ref="C83:H83"/>
    <mergeCell ref="I83:I84"/>
    <mergeCell ref="J83:J84"/>
    <mergeCell ref="C84:H84"/>
    <mergeCell ref="I93:I99"/>
    <mergeCell ref="J93:J99"/>
    <mergeCell ref="C94:D94"/>
    <mergeCell ref="E94:F94"/>
    <mergeCell ref="G94:H94"/>
    <mergeCell ref="C95:D95"/>
    <mergeCell ref="B89:H89"/>
    <mergeCell ref="B90:J90"/>
    <mergeCell ref="B91:J91"/>
    <mergeCell ref="C92:D92"/>
    <mergeCell ref="E92:F92"/>
    <mergeCell ref="G92:H92"/>
    <mergeCell ref="C98:H98"/>
    <mergeCell ref="C99:H99"/>
    <mergeCell ref="E95:F95"/>
    <mergeCell ref="G95:H95"/>
    <mergeCell ref="C96:D96"/>
    <mergeCell ref="E96:F96"/>
    <mergeCell ref="G96:H96"/>
    <mergeCell ref="C97:D97"/>
    <mergeCell ref="E97:F97"/>
    <mergeCell ref="B93:B99"/>
    <mergeCell ref="C93:D93"/>
    <mergeCell ref="E93:F93"/>
    <mergeCell ref="G93:H93"/>
    <mergeCell ref="B103:B104"/>
    <mergeCell ref="C103:D103"/>
    <mergeCell ref="E103:F103"/>
    <mergeCell ref="G103:H103"/>
    <mergeCell ref="I103:I104"/>
    <mergeCell ref="J103:J104"/>
    <mergeCell ref="C104:D104"/>
    <mergeCell ref="I100:I101"/>
    <mergeCell ref="J100:J101"/>
    <mergeCell ref="C101:D101"/>
    <mergeCell ref="C102:D102"/>
    <mergeCell ref="E102:F102"/>
    <mergeCell ref="G102:H102"/>
    <mergeCell ref="B100:B101"/>
    <mergeCell ref="C100:D100"/>
    <mergeCell ref="E100:F100"/>
    <mergeCell ref="G100:H100"/>
    <mergeCell ref="C105:H105"/>
    <mergeCell ref="C106:H106"/>
    <mergeCell ref="B107:J107"/>
    <mergeCell ref="C108:D108"/>
    <mergeCell ref="E108:F108"/>
    <mergeCell ref="B109:B112"/>
    <mergeCell ref="C109:D109"/>
    <mergeCell ref="E109:F109"/>
    <mergeCell ref="G109:H109"/>
    <mergeCell ref="I109:I112"/>
    <mergeCell ref="B113:B114"/>
    <mergeCell ref="C113:D113"/>
    <mergeCell ref="E113:F113"/>
    <mergeCell ref="G113:H113"/>
    <mergeCell ref="I113:I114"/>
    <mergeCell ref="I116:I119"/>
    <mergeCell ref="J113:J114"/>
    <mergeCell ref="C114:D114"/>
    <mergeCell ref="J109:J112"/>
    <mergeCell ref="C110:D110"/>
    <mergeCell ref="E110:F110"/>
    <mergeCell ref="G110:H110"/>
    <mergeCell ref="C111:D111"/>
    <mergeCell ref="E111:F111"/>
    <mergeCell ref="G111:H111"/>
    <mergeCell ref="C112:D112"/>
    <mergeCell ref="E112:F112"/>
    <mergeCell ref="G112:H112"/>
    <mergeCell ref="J116:J119"/>
    <mergeCell ref="C117:D117"/>
    <mergeCell ref="C119:H119"/>
    <mergeCell ref="C120:H120"/>
    <mergeCell ref="C121:H121"/>
    <mergeCell ref="C115:D115"/>
    <mergeCell ref="E115:F115"/>
    <mergeCell ref="G115:H115"/>
    <mergeCell ref="B130:H130"/>
    <mergeCell ref="B116:B119"/>
    <mergeCell ref="C116:D116"/>
    <mergeCell ref="E116:F116"/>
    <mergeCell ref="G116:H116"/>
    <mergeCell ref="B131:B133"/>
    <mergeCell ref="C131:D131"/>
    <mergeCell ref="E131:F131"/>
    <mergeCell ref="G131:H131"/>
    <mergeCell ref="I131:I133"/>
    <mergeCell ref="B123:H123"/>
    <mergeCell ref="B124:J124"/>
    <mergeCell ref="B125:J125"/>
    <mergeCell ref="B126:J126"/>
    <mergeCell ref="C127:H127"/>
    <mergeCell ref="C128:H128"/>
    <mergeCell ref="J131:J133"/>
    <mergeCell ref="C132:D132"/>
    <mergeCell ref="E132:F132"/>
    <mergeCell ref="C133:D133"/>
    <mergeCell ref="E133:F133"/>
    <mergeCell ref="J134:J136"/>
    <mergeCell ref="C135:D135"/>
    <mergeCell ref="E135:F135"/>
    <mergeCell ref="G135:H135"/>
    <mergeCell ref="C136:D136"/>
    <mergeCell ref="E136:F136"/>
    <mergeCell ref="G136:H136"/>
    <mergeCell ref="C141:H141"/>
    <mergeCell ref="B142:J142"/>
    <mergeCell ref="B134:B136"/>
    <mergeCell ref="C134:D134"/>
    <mergeCell ref="E134:F134"/>
    <mergeCell ref="G134:H134"/>
    <mergeCell ref="I134:I136"/>
    <mergeCell ref="C137:D137"/>
    <mergeCell ref="E137:F137"/>
    <mergeCell ref="G137:H137"/>
    <mergeCell ref="B138:B139"/>
    <mergeCell ref="C138:D138"/>
    <mergeCell ref="E138:F138"/>
    <mergeCell ref="G138:H138"/>
    <mergeCell ref="B144:H144"/>
    <mergeCell ref="C145:H145"/>
    <mergeCell ref="B147:H147"/>
    <mergeCell ref="B148:J148"/>
    <mergeCell ref="I138:I139"/>
    <mergeCell ref="J138:J139"/>
    <mergeCell ref="C139:D139"/>
    <mergeCell ref="E139:F139"/>
    <mergeCell ref="C140:D140"/>
    <mergeCell ref="E140:F140"/>
    <mergeCell ref="G140:H140"/>
    <mergeCell ref="C149:H149"/>
    <mergeCell ref="C150:H150"/>
    <mergeCell ref="B151:B156"/>
    <mergeCell ref="C151:H151"/>
    <mergeCell ref="I151:I155"/>
    <mergeCell ref="J151:J155"/>
    <mergeCell ref="C152:H152"/>
    <mergeCell ref="C153:H153"/>
    <mergeCell ref="C154:H154"/>
    <mergeCell ref="C155:H155"/>
    <mergeCell ref="C156:H156"/>
    <mergeCell ref="C157:H157"/>
    <mergeCell ref="B158:J158"/>
    <mergeCell ref="B160:H160"/>
    <mergeCell ref="B161:J161"/>
    <mergeCell ref="B162:B163"/>
    <mergeCell ref="C162:D162"/>
    <mergeCell ref="E162:F162"/>
    <mergeCell ref="G162:H162"/>
    <mergeCell ref="I162:I163"/>
    <mergeCell ref="J166:J167"/>
    <mergeCell ref="C167:D167"/>
    <mergeCell ref="E167:F167"/>
    <mergeCell ref="G167:H167"/>
    <mergeCell ref="B169:J169"/>
    <mergeCell ref="B170:J170"/>
    <mergeCell ref="J162:J163"/>
    <mergeCell ref="C163:D163"/>
    <mergeCell ref="E163:F163"/>
    <mergeCell ref="G163:H163"/>
    <mergeCell ref="B165:H165"/>
    <mergeCell ref="B166:B167"/>
    <mergeCell ref="C166:D166"/>
    <mergeCell ref="E166:F166"/>
    <mergeCell ref="G166:H166"/>
    <mergeCell ref="I166:I167"/>
    <mergeCell ref="C178:H178"/>
    <mergeCell ref="C179:H179"/>
    <mergeCell ref="B180:H180"/>
    <mergeCell ref="B181:J181"/>
    <mergeCell ref="C182:H182"/>
    <mergeCell ref="C183:H183"/>
    <mergeCell ref="B172:H172"/>
    <mergeCell ref="B173:J173"/>
    <mergeCell ref="B174:J174"/>
    <mergeCell ref="C175:H175"/>
    <mergeCell ref="C176:H176"/>
    <mergeCell ref="B177:J177"/>
    <mergeCell ref="B194:J194"/>
    <mergeCell ref="B195:J195"/>
    <mergeCell ref="B197:H197"/>
    <mergeCell ref="I197:J197"/>
    <mergeCell ref="B198:H198"/>
    <mergeCell ref="I198:J198"/>
    <mergeCell ref="B185:J185"/>
    <mergeCell ref="B186:J186"/>
    <mergeCell ref="B188:J188"/>
    <mergeCell ref="B189:J189"/>
    <mergeCell ref="B191:H191"/>
    <mergeCell ref="C192:H192"/>
    <mergeCell ref="C205:H205"/>
    <mergeCell ref="B207:H207"/>
    <mergeCell ref="B208:J208"/>
    <mergeCell ref="C209:H209"/>
    <mergeCell ref="B211:H211"/>
    <mergeCell ref="B212:J212"/>
    <mergeCell ref="B200:H200"/>
    <mergeCell ref="I200:J200"/>
    <mergeCell ref="B201:H201"/>
    <mergeCell ref="I201:J201"/>
    <mergeCell ref="B203:H203"/>
    <mergeCell ref="B204:J204"/>
    <mergeCell ref="B217:H217"/>
    <mergeCell ref="B218:H218"/>
    <mergeCell ref="B220:H220"/>
    <mergeCell ref="B221:J221"/>
    <mergeCell ref="C222:H222"/>
    <mergeCell ref="B224:H224"/>
    <mergeCell ref="I224:J224"/>
    <mergeCell ref="B213:B215"/>
    <mergeCell ref="C213:H213"/>
    <mergeCell ref="I213:I215"/>
    <mergeCell ref="J213:J215"/>
    <mergeCell ref="C214:D214"/>
    <mergeCell ref="E214:F214"/>
    <mergeCell ref="G214:H214"/>
    <mergeCell ref="C215:D215"/>
    <mergeCell ref="E215:F215"/>
    <mergeCell ref="G215:H215"/>
    <mergeCell ref="C225:H225"/>
    <mergeCell ref="I225:J225"/>
    <mergeCell ref="C226:H226"/>
    <mergeCell ref="I226:J226"/>
    <mergeCell ref="B227:B238"/>
    <mergeCell ref="C227:H227"/>
    <mergeCell ref="I227:J227"/>
    <mergeCell ref="C228:H228"/>
    <mergeCell ref="I228:J228"/>
    <mergeCell ref="C229:H229"/>
    <mergeCell ref="C233:H233"/>
    <mergeCell ref="I233:J233"/>
    <mergeCell ref="C234:H234"/>
    <mergeCell ref="I234:J234"/>
    <mergeCell ref="C235:H235"/>
    <mergeCell ref="I235:J235"/>
    <mergeCell ref="I229:J229"/>
    <mergeCell ref="C230:H230"/>
    <mergeCell ref="I230:J230"/>
    <mergeCell ref="C231:H231"/>
    <mergeCell ref="I231:J231"/>
    <mergeCell ref="C232:H232"/>
    <mergeCell ref="I232:J232"/>
    <mergeCell ref="B239:J239"/>
    <mergeCell ref="B241:H241"/>
    <mergeCell ref="B242:C242"/>
    <mergeCell ref="C243:H243"/>
    <mergeCell ref="B245:H245"/>
    <mergeCell ref="B246:H246"/>
    <mergeCell ref="C236:H236"/>
    <mergeCell ref="I236:J236"/>
    <mergeCell ref="C237:H237"/>
    <mergeCell ref="I237:J237"/>
    <mergeCell ref="C238:H238"/>
    <mergeCell ref="I238:J238"/>
    <mergeCell ref="B254:D254"/>
    <mergeCell ref="E254:F254"/>
    <mergeCell ref="I254:J254"/>
    <mergeCell ref="B256:J256"/>
    <mergeCell ref="B258:D258"/>
    <mergeCell ref="E258:F258"/>
    <mergeCell ref="H258:J258"/>
    <mergeCell ref="B248:J248"/>
    <mergeCell ref="B250:J250"/>
    <mergeCell ref="B252:D252"/>
    <mergeCell ref="E252:F253"/>
    <mergeCell ref="B253:D253"/>
    <mergeCell ref="G253:H253"/>
    <mergeCell ref="I253:J253"/>
    <mergeCell ref="B277:J277"/>
    <mergeCell ref="B264:J264"/>
    <mergeCell ref="D267:J267"/>
    <mergeCell ref="B269:J269"/>
    <mergeCell ref="B271:J271"/>
    <mergeCell ref="B273:J273"/>
    <mergeCell ref="B275:J275"/>
    <mergeCell ref="E259:F259"/>
    <mergeCell ref="H259:J259"/>
    <mergeCell ref="E260:F260"/>
    <mergeCell ref="B261:D261"/>
    <mergeCell ref="E261:F261"/>
    <mergeCell ref="B262:D262"/>
    <mergeCell ref="E262:F262"/>
  </mergeCells>
  <conditionalFormatting sqref="I17:J17 E5:F5 E3:J4 J5">
    <cfRule type="containsBlanks" dxfId="18" priority="6" stopIfTrue="1">
      <formula>LEN(TRIM(E3))=0</formula>
    </cfRule>
  </conditionalFormatting>
  <conditionalFormatting sqref="E254:F254">
    <cfRule type="containsBlanks" dxfId="17" priority="5" stopIfTrue="1">
      <formula>LEN(TRIM(E254))=0</formula>
    </cfRule>
  </conditionalFormatting>
  <conditionalFormatting sqref="J5">
    <cfRule type="containsBlanks" dxfId="16" priority="4" stopIfTrue="1">
      <formula>LEN(TRIM(J5))=0</formula>
    </cfRule>
  </conditionalFormatting>
  <conditionalFormatting sqref="J5">
    <cfRule type="containsBlanks" dxfId="15" priority="3" stopIfTrue="1">
      <formula>LEN(TRIM(J5))=0</formula>
    </cfRule>
  </conditionalFormatting>
  <conditionalFormatting sqref="J5">
    <cfRule type="containsBlanks" dxfId="14" priority="2" stopIfTrue="1">
      <formula>LEN(TRIM(J5))=0</formula>
    </cfRule>
  </conditionalFormatting>
  <conditionalFormatting sqref="J5">
    <cfRule type="containsBlanks" dxfId="13" priority="1" stopIfTrue="1">
      <formula>LEN(TRIM(J5))=0</formula>
    </cfRule>
  </conditionalFormatting>
  <dataValidations count="7">
    <dataValidation allowBlank="1" showInputMessage="1" showErrorMessage="1" prompt="Ingresar El tipo de  Plan: Hijastros, Padres, etc." sqref="B7:J8"/>
    <dataValidation allowBlank="1" showInputMessage="1" showErrorMessage="1" prompt="Ingresar Datos De FTPS" sqref="E3:E5 F5:J5"/>
    <dataValidation allowBlank="1" showInputMessage="1" showErrorMessage="1" prompt="Verificar BMA" sqref="I17:J17"/>
    <dataValidation allowBlank="1" showInputMessage="1" showErrorMessage="1" prompt="Verificar Aportes" sqref="E254:F254"/>
    <dataValidation errorStyle="warning" allowBlank="1" showInputMessage="1" showErrorMessage="1" errorTitle="Verificar Grupal o Etario" error="Verificar Grupal o Etario" prompt="Verificar Grupal o Etario" sqref="B254:D254"/>
    <dataValidation allowBlank="1" showInputMessage="1" showErrorMessage="1" prompt="Verificar tipo de Plan" sqref="B250:J250"/>
    <dataValidation allowBlank="1" showInputMessage="1" showErrorMessage="1" prompt="Verificar Siniestralidad objetivo" sqref="B259:J262"/>
  </dataValidations>
  <printOptions horizontalCentered="1"/>
  <pageMargins left="0.39370078740157483" right="0.39370078740157483" top="1.7716535433070868" bottom="0.98425196850393704" header="0" footer="0"/>
  <pageSetup paperSize="9" scale="75" fitToHeight="0" orientation="portrait" r:id="rId1"/>
  <headerFooter alignWithMargins="0">
    <oddFooter>Página &amp;P de &amp;N</oddFooter>
  </headerFooter>
  <rowBreaks count="12" manualBreakCount="12">
    <brk id="31" max="16383" man="1"/>
    <brk id="48" max="16383" man="1"/>
    <brk id="67" max="16383" man="1"/>
    <brk id="91" max="16383" man="1"/>
    <brk id="115" max="16383" man="1"/>
    <brk id="140" max="16383" man="1"/>
    <brk id="159" max="16383" man="1"/>
    <brk id="187" max="16383" man="1"/>
    <brk id="206" max="16383" man="1"/>
    <brk id="226" max="16383" man="1"/>
    <brk id="244" max="16383" man="1"/>
    <brk id="268"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9" tint="-0.249977111117893"/>
  </sheetPr>
  <dimension ref="A1:Q169"/>
  <sheetViews>
    <sheetView showGridLines="0" view="pageBreakPreview" topLeftCell="B31" zoomScale="90" zoomScaleSheetLayoutView="90" workbookViewId="0">
      <selection activeCell="B9" sqref="B9"/>
    </sheetView>
  </sheetViews>
  <sheetFormatPr baseColWidth="10" defaultColWidth="11.42578125" defaultRowHeight="12.75" x14ac:dyDescent="0.2"/>
  <cols>
    <col min="1" max="1" width="16.7109375" style="18" hidden="1" customWidth="1"/>
    <col min="2" max="2" width="20.85546875" style="1" customWidth="1"/>
    <col min="3" max="3" width="13.140625" style="1" customWidth="1"/>
    <col min="4" max="7" width="14.42578125" style="1" customWidth="1"/>
    <col min="8" max="8" width="11.7109375" style="1" customWidth="1"/>
    <col min="9" max="9" width="11.7109375" style="11" customWidth="1"/>
    <col min="10" max="10" width="11.7109375" style="234" customWidth="1"/>
    <col min="11" max="11" width="17.7109375" style="1" hidden="1" customWidth="1"/>
    <col min="12" max="12" width="11.28515625" style="1" hidden="1" customWidth="1"/>
    <col min="13" max="13" width="11.28515625" style="4" hidden="1" customWidth="1"/>
    <col min="14" max="14" width="11.28515625" style="18" hidden="1" customWidth="1"/>
    <col min="15" max="15" width="11.28515625" style="1" hidden="1" customWidth="1"/>
    <col min="16" max="16" width="16.85546875" style="18" hidden="1" customWidth="1"/>
    <col min="17" max="18" width="11.42578125" style="18" customWidth="1"/>
    <col min="19" max="16384" width="11.42578125" style="18"/>
  </cols>
  <sheetData>
    <row r="1" spans="1:16" ht="18.75" customHeight="1" x14ac:dyDescent="0.2">
      <c r="B1" s="1331" t="s">
        <v>755</v>
      </c>
      <c r="C1" s="1331"/>
      <c r="D1" s="1331"/>
      <c r="E1" s="1331"/>
      <c r="F1" s="1331"/>
      <c r="G1" s="1331"/>
      <c r="H1" s="1331"/>
      <c r="I1" s="1331"/>
      <c r="J1" s="1331"/>
    </row>
    <row r="2" spans="1:16" ht="20.100000000000001" customHeight="1" x14ac:dyDescent="0.2">
      <c r="B2" s="458"/>
      <c r="C2" s="458"/>
      <c r="D2" s="458"/>
      <c r="E2" s="458"/>
      <c r="F2" s="458"/>
      <c r="G2" s="458"/>
      <c r="H2" s="458"/>
      <c r="I2" s="458"/>
      <c r="J2" s="459"/>
    </row>
    <row r="3" spans="1:16" ht="20.100000000000001" customHeight="1" x14ac:dyDescent="0.2">
      <c r="B3" s="1332"/>
      <c r="C3" s="1332"/>
      <c r="D3" s="1332"/>
      <c r="E3" s="1332"/>
      <c r="F3" s="1332"/>
      <c r="G3" s="1332"/>
      <c r="H3" s="1332"/>
      <c r="I3" s="1332"/>
      <c r="J3" s="1332"/>
      <c r="K3" s="5"/>
      <c r="L3" s="510"/>
      <c r="M3" s="460"/>
      <c r="N3" s="460"/>
      <c r="O3" s="510"/>
      <c r="P3" s="460"/>
    </row>
    <row r="4" spans="1:16" ht="18.75" customHeight="1" x14ac:dyDescent="0.2">
      <c r="B4" s="1325" t="s">
        <v>2</v>
      </c>
      <c r="C4" s="1325"/>
      <c r="D4" s="1325"/>
      <c r="E4" s="1327" t="s">
        <v>922</v>
      </c>
      <c r="F4" s="1327"/>
      <c r="G4" s="1327"/>
      <c r="H4" s="1327"/>
      <c r="I4" s="1327"/>
      <c r="J4" s="1327"/>
      <c r="K4" s="7"/>
      <c r="L4" s="510"/>
      <c r="M4" s="460"/>
      <c r="N4" s="460"/>
      <c r="O4" s="510"/>
      <c r="P4" s="460"/>
    </row>
    <row r="5" spans="1:16" ht="30.75" customHeight="1" x14ac:dyDescent="0.2">
      <c r="B5" s="1325" t="s">
        <v>3</v>
      </c>
      <c r="C5" s="1325"/>
      <c r="D5" s="1325"/>
      <c r="E5" s="1333" t="s">
        <v>923</v>
      </c>
      <c r="F5" s="1327"/>
      <c r="G5" s="1327"/>
      <c r="H5" s="1327"/>
      <c r="I5" s="1327"/>
      <c r="J5" s="1327"/>
      <c r="K5" s="7"/>
      <c r="M5" s="171"/>
    </row>
    <row r="6" spans="1:16" ht="18.75" customHeight="1" x14ac:dyDescent="0.2">
      <c r="B6" s="1325" t="s">
        <v>4</v>
      </c>
      <c r="C6" s="1325"/>
      <c r="D6" s="1325"/>
      <c r="E6" s="1326">
        <v>43922</v>
      </c>
      <c r="F6" s="1327"/>
      <c r="G6" s="8"/>
      <c r="H6" s="1328" t="s">
        <v>5</v>
      </c>
      <c r="I6" s="1328"/>
      <c r="J6" s="9">
        <v>231002</v>
      </c>
    </row>
    <row r="7" spans="1:16" ht="20.100000000000001" customHeight="1" x14ac:dyDescent="0.2">
      <c r="B7" s="1325"/>
      <c r="C7" s="1325"/>
      <c r="D7" s="1325"/>
      <c r="E7" s="1329"/>
      <c r="F7" s="1329"/>
      <c r="G7" s="10"/>
      <c r="J7" s="9"/>
    </row>
    <row r="8" spans="1:16" ht="14.25" customHeight="1" x14ac:dyDescent="0.2">
      <c r="B8" s="1330" t="s">
        <v>810</v>
      </c>
      <c r="C8" s="1330"/>
      <c r="D8" s="1330"/>
      <c r="E8" s="1330"/>
      <c r="F8" s="1330"/>
      <c r="G8" s="1330"/>
      <c r="H8" s="1330"/>
      <c r="I8" s="1330"/>
      <c r="J8" s="1330"/>
      <c r="K8" s="12"/>
      <c r="M8" s="318"/>
    </row>
    <row r="9" spans="1:16" ht="20.100000000000001" customHeight="1" x14ac:dyDescent="0.2">
      <c r="B9" s="14"/>
      <c r="C9" s="14"/>
      <c r="D9" s="14"/>
      <c r="E9" s="14"/>
      <c r="F9" s="14"/>
      <c r="G9" s="14"/>
      <c r="H9" s="14"/>
      <c r="I9" s="14"/>
      <c r="J9" s="15"/>
      <c r="K9" s="12"/>
      <c r="M9" s="318"/>
    </row>
    <row r="10" spans="1:16" ht="30" customHeight="1" x14ac:dyDescent="0.2">
      <c r="B10" s="855" t="s">
        <v>7</v>
      </c>
      <c r="C10" s="856"/>
      <c r="D10" s="856"/>
      <c r="E10" s="856"/>
      <c r="F10" s="856"/>
      <c r="G10" s="856"/>
      <c r="H10" s="856"/>
      <c r="I10" s="856"/>
      <c r="J10" s="857"/>
      <c r="K10" s="12"/>
      <c r="M10" s="318"/>
    </row>
    <row r="11" spans="1:16" ht="50.1" customHeight="1" x14ac:dyDescent="0.2">
      <c r="A11" s="24"/>
      <c r="B11" s="1320" t="s">
        <v>811</v>
      </c>
      <c r="C11" s="1321"/>
      <c r="D11" s="1321"/>
      <c r="E11" s="1321"/>
      <c r="F11" s="1321"/>
      <c r="G11" s="1321"/>
      <c r="H11" s="1321"/>
      <c r="I11" s="1321"/>
      <c r="J11" s="1322"/>
    </row>
    <row r="12" spans="1:16" ht="20.100000000000001" customHeight="1" x14ac:dyDescent="0.2">
      <c r="A12" s="24"/>
      <c r="B12" s="16"/>
      <c r="C12" s="16"/>
      <c r="D12" s="16"/>
      <c r="E12" s="16"/>
      <c r="F12" s="16"/>
      <c r="G12" s="16"/>
      <c r="H12" s="16"/>
      <c r="I12" s="16"/>
      <c r="J12" s="17"/>
    </row>
    <row r="13" spans="1:16" s="24" customFormat="1" ht="30" customHeight="1" x14ac:dyDescent="0.2">
      <c r="B13" s="855" t="s">
        <v>812</v>
      </c>
      <c r="C13" s="856"/>
      <c r="D13" s="856"/>
      <c r="E13" s="856"/>
      <c r="F13" s="856"/>
      <c r="G13" s="856"/>
      <c r="H13" s="856"/>
      <c r="I13" s="856"/>
      <c r="J13" s="857"/>
      <c r="K13" s="47"/>
      <c r="L13" s="47"/>
      <c r="M13" s="23"/>
      <c r="O13" s="47"/>
    </row>
    <row r="14" spans="1:16" ht="39.950000000000003" customHeight="1" x14ac:dyDescent="0.2">
      <c r="A14" s="24"/>
      <c r="B14" s="1320" t="s">
        <v>813</v>
      </c>
      <c r="C14" s="1321"/>
      <c r="D14" s="1321"/>
      <c r="E14" s="1321"/>
      <c r="F14" s="1321"/>
      <c r="G14" s="1321"/>
      <c r="H14" s="1321"/>
      <c r="I14" s="1321"/>
      <c r="J14" s="1322"/>
    </row>
    <row r="15" spans="1:16" s="59" customFormat="1" ht="20.100000000000001" customHeight="1" x14ac:dyDescent="0.2">
      <c r="A15" s="322"/>
      <c r="B15" s="320" t="s">
        <v>934</v>
      </c>
      <c r="C15" s="320"/>
      <c r="D15" s="320" t="s">
        <v>934</v>
      </c>
      <c r="E15" s="524"/>
      <c r="F15" s="524"/>
      <c r="G15" s="524"/>
      <c r="H15" s="524"/>
      <c r="I15" s="524"/>
      <c r="J15" s="525"/>
      <c r="K15" s="526"/>
      <c r="L15" s="526"/>
      <c r="M15" s="99"/>
      <c r="O15" s="526"/>
    </row>
    <row r="16" spans="1:16" ht="30" customHeight="1" x14ac:dyDescent="0.2">
      <c r="A16" s="24"/>
      <c r="B16" s="855" t="s">
        <v>862</v>
      </c>
      <c r="C16" s="856"/>
      <c r="D16" s="856"/>
      <c r="E16" s="856"/>
      <c r="F16" s="856"/>
      <c r="G16" s="856"/>
      <c r="H16" s="856"/>
      <c r="I16" s="856"/>
      <c r="J16" s="857"/>
    </row>
    <row r="17" spans="1:16" s="322" customFormat="1" ht="20.100000000000001" customHeight="1" x14ac:dyDescent="0.2">
      <c r="B17" s="320" t="s">
        <v>934</v>
      </c>
      <c r="C17" s="320" t="s">
        <v>934</v>
      </c>
      <c r="D17" s="320" t="s">
        <v>934</v>
      </c>
      <c r="E17" s="320"/>
      <c r="F17" s="320"/>
      <c r="G17" s="320"/>
      <c r="H17" s="320"/>
      <c r="I17" s="320"/>
      <c r="J17" s="428"/>
      <c r="K17" s="429"/>
      <c r="L17" s="429"/>
      <c r="M17" s="319"/>
      <c r="O17" s="429"/>
    </row>
    <row r="18" spans="1:16" ht="24.95" customHeight="1" x14ac:dyDescent="0.2">
      <c r="A18" s="24"/>
      <c r="B18" s="25" t="s">
        <v>935</v>
      </c>
      <c r="C18" s="26"/>
      <c r="D18" s="26"/>
      <c r="E18" s="26"/>
      <c r="F18" s="27"/>
      <c r="G18" s="26"/>
      <c r="H18" s="26"/>
      <c r="I18" s="1315" t="s">
        <v>13</v>
      </c>
      <c r="J18" s="1316"/>
    </row>
    <row r="19" spans="1:16" ht="20.100000000000001" customHeight="1" x14ac:dyDescent="0.2">
      <c r="A19" s="24"/>
      <c r="B19" s="28"/>
      <c r="C19" s="28"/>
      <c r="D19" s="28"/>
      <c r="E19" s="28"/>
      <c r="F19" s="29"/>
      <c r="G19" s="28"/>
      <c r="H19" s="28"/>
      <c r="I19" s="28"/>
      <c r="J19" s="30"/>
    </row>
    <row r="20" spans="1:16" ht="30" customHeight="1" x14ac:dyDescent="0.2">
      <c r="A20" s="24"/>
      <c r="B20" s="855" t="s">
        <v>15</v>
      </c>
      <c r="C20" s="856"/>
      <c r="D20" s="856"/>
      <c r="E20" s="856"/>
      <c r="F20" s="856"/>
      <c r="G20" s="856"/>
      <c r="H20" s="856"/>
      <c r="I20" s="856"/>
      <c r="J20" s="857"/>
      <c r="K20" s="272"/>
      <c r="L20" s="272"/>
      <c r="O20" s="272"/>
    </row>
    <row r="21" spans="1:16" ht="20.100000000000001" customHeight="1" x14ac:dyDescent="0.2">
      <c r="A21" s="24"/>
      <c r="B21" s="31"/>
      <c r="C21" s="31"/>
      <c r="D21" s="31"/>
      <c r="E21" s="31"/>
      <c r="F21" s="31"/>
      <c r="G21" s="31"/>
      <c r="H21" s="31"/>
      <c r="I21" s="32"/>
      <c r="J21" s="33"/>
      <c r="K21" s="272"/>
      <c r="L21" s="272"/>
      <c r="O21" s="272"/>
    </row>
    <row r="22" spans="1:16" ht="30" customHeight="1" x14ac:dyDescent="0.2">
      <c r="A22" s="24"/>
      <c r="B22" s="904" t="s">
        <v>16</v>
      </c>
      <c r="C22" s="905"/>
      <c r="D22" s="905"/>
      <c r="E22" s="905"/>
      <c r="F22" s="905"/>
      <c r="G22" s="905"/>
      <c r="H22" s="906"/>
      <c r="I22" s="34" t="s">
        <v>229</v>
      </c>
      <c r="J22" s="35" t="s">
        <v>18</v>
      </c>
      <c r="K22" s="36" t="s">
        <v>19</v>
      </c>
      <c r="L22" s="37">
        <v>1</v>
      </c>
      <c r="M22" s="431" t="s">
        <v>757</v>
      </c>
      <c r="O22" s="37">
        <v>1</v>
      </c>
      <c r="P22" s="38" t="s">
        <v>20</v>
      </c>
    </row>
    <row r="23" spans="1:16" ht="36.950000000000003" customHeight="1" x14ac:dyDescent="0.2">
      <c r="A23" s="24"/>
      <c r="B23" s="946" t="s">
        <v>21</v>
      </c>
      <c r="C23" s="947"/>
      <c r="D23" s="947"/>
      <c r="E23" s="947"/>
      <c r="F23" s="947"/>
      <c r="G23" s="947"/>
      <c r="H23" s="947"/>
      <c r="I23" s="947"/>
      <c r="J23" s="948"/>
      <c r="K23" s="272"/>
      <c r="L23" s="272"/>
      <c r="M23" s="431" t="s">
        <v>757</v>
      </c>
      <c r="O23" s="37">
        <v>1</v>
      </c>
      <c r="P23" s="38" t="s">
        <v>20</v>
      </c>
    </row>
    <row r="24" spans="1:16" ht="36.950000000000003" customHeight="1" x14ac:dyDescent="0.2">
      <c r="A24" s="24"/>
      <c r="B24" s="1236" t="s">
        <v>758</v>
      </c>
      <c r="C24" s="1461" t="s">
        <v>759</v>
      </c>
      <c r="D24" s="1462"/>
      <c r="E24" s="1462" t="s">
        <v>779</v>
      </c>
      <c r="F24" s="1462"/>
      <c r="G24" s="1462" t="s">
        <v>761</v>
      </c>
      <c r="H24" s="1463"/>
      <c r="I24" s="1446">
        <v>90</v>
      </c>
      <c r="J24" s="1449">
        <v>0.7</v>
      </c>
      <c r="K24" s="272"/>
      <c r="L24" s="272"/>
      <c r="M24" s="431"/>
      <c r="O24" s="37"/>
      <c r="P24" s="38"/>
    </row>
    <row r="25" spans="1:16" ht="36.950000000000003" customHeight="1" x14ac:dyDescent="0.2">
      <c r="A25" s="24"/>
      <c r="B25" s="1237"/>
      <c r="C25" s="1452" t="s">
        <v>762</v>
      </c>
      <c r="D25" s="1192"/>
      <c r="E25" s="1192" t="s">
        <v>606</v>
      </c>
      <c r="F25" s="1192"/>
      <c r="G25" s="1192" t="s">
        <v>763</v>
      </c>
      <c r="H25" s="1215"/>
      <c r="I25" s="1447"/>
      <c r="J25" s="1450"/>
      <c r="K25" s="272"/>
      <c r="L25" s="272"/>
      <c r="M25" s="431"/>
      <c r="O25" s="37"/>
      <c r="P25" s="38"/>
    </row>
    <row r="26" spans="1:16" ht="36.950000000000003" customHeight="1" x14ac:dyDescent="0.2">
      <c r="A26" s="24"/>
      <c r="B26" s="1237"/>
      <c r="C26" s="1452" t="s">
        <v>764</v>
      </c>
      <c r="D26" s="1192"/>
      <c r="E26" s="346"/>
      <c r="F26" s="346"/>
      <c r="G26" s="346"/>
      <c r="H26" s="347"/>
      <c r="I26" s="1447"/>
      <c r="J26" s="1450"/>
      <c r="K26" s="272"/>
      <c r="L26" s="272"/>
      <c r="M26" s="431"/>
      <c r="O26" s="37"/>
      <c r="P26" s="38"/>
    </row>
    <row r="27" spans="1:16" ht="36.950000000000003" customHeight="1" x14ac:dyDescent="0.2">
      <c r="A27" s="24"/>
      <c r="B27" s="1237"/>
      <c r="C27" s="1452" t="s">
        <v>765</v>
      </c>
      <c r="D27" s="1192"/>
      <c r="E27" s="1192"/>
      <c r="F27" s="1192"/>
      <c r="G27" s="1192"/>
      <c r="H27" s="1215"/>
      <c r="I27" s="1447"/>
      <c r="J27" s="1450"/>
      <c r="K27" s="272"/>
      <c r="L27" s="272"/>
      <c r="M27" s="431"/>
      <c r="O27" s="37"/>
      <c r="P27" s="38"/>
    </row>
    <row r="28" spans="1:16" ht="36.950000000000003" customHeight="1" x14ac:dyDescent="0.2">
      <c r="A28" s="24"/>
      <c r="B28" s="1237"/>
      <c r="C28" s="1452" t="s">
        <v>98</v>
      </c>
      <c r="D28" s="1192"/>
      <c r="E28" s="1192"/>
      <c r="F28" s="1192"/>
      <c r="G28" s="1192"/>
      <c r="H28" s="1215"/>
      <c r="I28" s="1447"/>
      <c r="J28" s="1450"/>
      <c r="K28" s="272"/>
      <c r="L28" s="272"/>
      <c r="M28" s="431"/>
      <c r="O28" s="37"/>
      <c r="P28" s="38"/>
    </row>
    <row r="29" spans="1:16" ht="36.950000000000003" customHeight="1" x14ac:dyDescent="0.2">
      <c r="A29" s="24"/>
      <c r="B29" s="1238"/>
      <c r="C29" s="1453" t="s">
        <v>766</v>
      </c>
      <c r="D29" s="1213"/>
      <c r="E29" s="1213"/>
      <c r="F29" s="1213"/>
      <c r="G29" s="1213"/>
      <c r="H29" s="1454"/>
      <c r="I29" s="1448"/>
      <c r="J29" s="1451"/>
      <c r="K29" s="272"/>
      <c r="L29" s="272"/>
      <c r="M29" s="431"/>
      <c r="O29" s="37"/>
      <c r="P29" s="38"/>
    </row>
    <row r="30" spans="1:16" ht="36.950000000000003" customHeight="1" x14ac:dyDescent="0.2">
      <c r="A30" s="24"/>
      <c r="B30" s="527" t="s">
        <v>767</v>
      </c>
      <c r="C30" s="1432" t="s">
        <v>768</v>
      </c>
      <c r="D30" s="1433"/>
      <c r="E30" s="166"/>
      <c r="F30" s="166"/>
      <c r="G30" s="166"/>
      <c r="H30" s="442"/>
      <c r="I30" s="528">
        <v>120</v>
      </c>
      <c r="J30" s="529">
        <v>0.6</v>
      </c>
      <c r="K30" s="272"/>
      <c r="L30" s="272"/>
      <c r="M30" s="431"/>
      <c r="O30" s="37"/>
      <c r="P30" s="38"/>
    </row>
    <row r="31" spans="1:16" s="24" customFormat="1" ht="39.950000000000003" customHeight="1" x14ac:dyDescent="0.2">
      <c r="B31" s="136" t="s">
        <v>769</v>
      </c>
      <c r="C31" s="1063" t="s">
        <v>770</v>
      </c>
      <c r="D31" s="1063"/>
      <c r="E31" s="1063"/>
      <c r="F31" s="1063"/>
      <c r="G31" s="1063"/>
      <c r="H31" s="1063"/>
      <c r="I31" s="328">
        <v>115</v>
      </c>
      <c r="J31" s="353">
        <v>0.65</v>
      </c>
      <c r="K31" s="43" t="s">
        <v>769</v>
      </c>
      <c r="L31" s="44" t="s">
        <v>25</v>
      </c>
      <c r="M31" s="18"/>
      <c r="N31" s="46" t="s">
        <v>30</v>
      </c>
      <c r="O31" s="37">
        <v>1</v>
      </c>
      <c r="P31" s="38" t="s">
        <v>20</v>
      </c>
    </row>
    <row r="32" spans="1:16" ht="20.100000000000001" customHeight="1" x14ac:dyDescent="0.2">
      <c r="A32" s="4"/>
      <c r="B32" s="125"/>
      <c r="C32" s="346"/>
      <c r="D32" s="346"/>
      <c r="E32" s="346"/>
      <c r="F32" s="346"/>
      <c r="G32" s="346"/>
      <c r="H32" s="346"/>
      <c r="I32" s="141"/>
      <c r="J32" s="142"/>
      <c r="K32" s="18"/>
      <c r="L32" s="58"/>
      <c r="M32" s="18"/>
      <c r="O32" s="4"/>
      <c r="P32" s="59"/>
    </row>
    <row r="33" spans="1:16" ht="30" customHeight="1" x14ac:dyDescent="0.2">
      <c r="A33" s="24"/>
      <c r="B33" s="904" t="s">
        <v>155</v>
      </c>
      <c r="C33" s="905"/>
      <c r="D33" s="905"/>
      <c r="E33" s="905"/>
      <c r="F33" s="905"/>
      <c r="G33" s="905"/>
      <c r="H33" s="906"/>
      <c r="I33" s="34" t="s">
        <v>229</v>
      </c>
      <c r="J33" s="35" t="s">
        <v>18</v>
      </c>
      <c r="K33" s="36" t="s">
        <v>156</v>
      </c>
      <c r="L33" s="37">
        <v>7</v>
      </c>
      <c r="M33" s="431" t="s">
        <v>757</v>
      </c>
      <c r="N33" s="46" t="s">
        <v>30</v>
      </c>
      <c r="O33" s="37">
        <v>7</v>
      </c>
      <c r="P33" s="38" t="s">
        <v>157</v>
      </c>
    </row>
    <row r="34" spans="1:16" ht="36" customHeight="1" x14ac:dyDescent="0.2">
      <c r="A34" s="24"/>
      <c r="B34" s="1478" t="s">
        <v>21</v>
      </c>
      <c r="C34" s="1268"/>
      <c r="D34" s="1268"/>
      <c r="E34" s="1268"/>
      <c r="F34" s="1268"/>
      <c r="G34" s="1268"/>
      <c r="H34" s="1268"/>
      <c r="I34" s="1268"/>
      <c r="J34" s="1268"/>
      <c r="K34" s="272"/>
      <c r="L34" s="272"/>
      <c r="M34" s="431" t="s">
        <v>757</v>
      </c>
      <c r="O34" s="37">
        <v>7</v>
      </c>
      <c r="P34" s="38" t="s">
        <v>157</v>
      </c>
    </row>
    <row r="35" spans="1:16" ht="54.95" customHeight="1" x14ac:dyDescent="0.2">
      <c r="A35" s="104"/>
      <c r="B35" s="96" t="s">
        <v>772</v>
      </c>
      <c r="C35" s="1488" t="s">
        <v>773</v>
      </c>
      <c r="D35" s="1488"/>
      <c r="E35" s="1488"/>
      <c r="F35" s="1488"/>
      <c r="G35" s="1488"/>
      <c r="H35" s="1489"/>
      <c r="I35" s="341">
        <v>50</v>
      </c>
      <c r="J35" s="271">
        <v>0.8</v>
      </c>
      <c r="K35" s="101" t="s">
        <v>774</v>
      </c>
      <c r="L35" s="342" t="s">
        <v>618</v>
      </c>
      <c r="M35" s="18"/>
      <c r="O35" s="37">
        <v>7</v>
      </c>
      <c r="P35" s="38" t="s">
        <v>157</v>
      </c>
    </row>
    <row r="36" spans="1:16" ht="20.100000000000001" customHeight="1" x14ac:dyDescent="0.2">
      <c r="A36" s="24"/>
      <c r="B36" s="31"/>
      <c r="C36" s="31"/>
      <c r="D36" s="31"/>
      <c r="E36" s="31"/>
      <c r="F36" s="31"/>
      <c r="G36" s="31"/>
      <c r="H36" s="31"/>
      <c r="I36" s="32"/>
      <c r="J36" s="33"/>
      <c r="K36" s="272"/>
      <c r="L36" s="272"/>
      <c r="M36" s="431" t="s">
        <v>757</v>
      </c>
      <c r="O36" s="272"/>
    </row>
    <row r="37" spans="1:16" ht="30" customHeight="1" x14ac:dyDescent="0.2">
      <c r="B37" s="904" t="s">
        <v>185</v>
      </c>
      <c r="C37" s="905"/>
      <c r="D37" s="905"/>
      <c r="E37" s="905"/>
      <c r="F37" s="905"/>
      <c r="G37" s="905"/>
      <c r="H37" s="906"/>
      <c r="I37" s="34" t="s">
        <v>229</v>
      </c>
      <c r="J37" s="35" t="s">
        <v>18</v>
      </c>
      <c r="K37" s="36" t="s">
        <v>186</v>
      </c>
      <c r="L37" s="37">
        <v>8</v>
      </c>
      <c r="M37" s="431" t="s">
        <v>757</v>
      </c>
      <c r="N37" s="46" t="s">
        <v>30</v>
      </c>
      <c r="O37" s="37">
        <v>8</v>
      </c>
      <c r="P37" s="38" t="s">
        <v>187</v>
      </c>
    </row>
    <row r="38" spans="1:16" ht="36" customHeight="1" x14ac:dyDescent="0.2">
      <c r="B38" s="946" t="s">
        <v>21</v>
      </c>
      <c r="C38" s="947"/>
      <c r="D38" s="947"/>
      <c r="E38" s="947"/>
      <c r="F38" s="947"/>
      <c r="G38" s="947"/>
      <c r="H38" s="947"/>
      <c r="I38" s="947"/>
      <c r="J38" s="948"/>
      <c r="M38" s="431" t="s">
        <v>757</v>
      </c>
      <c r="O38" s="37">
        <v>8</v>
      </c>
      <c r="P38" s="38" t="s">
        <v>187</v>
      </c>
    </row>
    <row r="39" spans="1:16" ht="36" customHeight="1" x14ac:dyDescent="0.2">
      <c r="B39" s="1236" t="s">
        <v>775</v>
      </c>
      <c r="C39" s="1461" t="s">
        <v>776</v>
      </c>
      <c r="D39" s="1462"/>
      <c r="E39" s="440"/>
      <c r="F39" s="440"/>
      <c r="G39" s="440"/>
      <c r="H39" s="441"/>
      <c r="I39" s="1110">
        <v>90</v>
      </c>
      <c r="J39" s="915">
        <v>0.7</v>
      </c>
      <c r="M39" s="431"/>
      <c r="O39" s="37"/>
      <c r="P39" s="38"/>
    </row>
    <row r="40" spans="1:16" ht="36" customHeight="1" x14ac:dyDescent="0.2">
      <c r="B40" s="1238"/>
      <c r="C40" s="1453" t="s">
        <v>765</v>
      </c>
      <c r="D40" s="1213"/>
      <c r="E40" s="1213"/>
      <c r="F40" s="1213"/>
      <c r="G40" s="1213"/>
      <c r="H40" s="1454"/>
      <c r="I40" s="1112"/>
      <c r="J40" s="916"/>
      <c r="M40" s="431"/>
      <c r="O40" s="37"/>
      <c r="P40" s="38"/>
    </row>
    <row r="41" spans="1:16" ht="36" customHeight="1" x14ac:dyDescent="0.2">
      <c r="B41" s="327" t="s">
        <v>777</v>
      </c>
      <c r="C41" s="1432" t="s">
        <v>768</v>
      </c>
      <c r="D41" s="1433"/>
      <c r="E41" s="166"/>
      <c r="F41" s="166"/>
      <c r="G41" s="166"/>
      <c r="H41" s="442"/>
      <c r="I41" s="495">
        <v>120</v>
      </c>
      <c r="J41" s="146">
        <v>0.6</v>
      </c>
      <c r="M41" s="431"/>
      <c r="O41" s="37"/>
      <c r="P41" s="38"/>
    </row>
    <row r="42" spans="1:16" ht="39.950000000000003" customHeight="1" x14ac:dyDescent="0.2">
      <c r="B42" s="327" t="s">
        <v>778</v>
      </c>
      <c r="C42" s="1063" t="s">
        <v>770</v>
      </c>
      <c r="D42" s="1063"/>
      <c r="E42" s="1063"/>
      <c r="F42" s="1063"/>
      <c r="G42" s="1063"/>
      <c r="H42" s="1063"/>
      <c r="I42" s="74">
        <v>115</v>
      </c>
      <c r="J42" s="75">
        <v>0.65</v>
      </c>
      <c r="K42" s="118" t="s">
        <v>769</v>
      </c>
      <c r="L42" s="117" t="s">
        <v>190</v>
      </c>
      <c r="M42" s="18"/>
      <c r="N42" s="46" t="s">
        <v>30</v>
      </c>
      <c r="O42" s="37">
        <v>8</v>
      </c>
      <c r="P42" s="38" t="s">
        <v>187</v>
      </c>
    </row>
    <row r="43" spans="1:16" ht="20.100000000000001" customHeight="1" x14ac:dyDescent="0.2">
      <c r="B43" s="31"/>
      <c r="C43" s="31"/>
      <c r="D43" s="31"/>
      <c r="E43" s="31"/>
      <c r="F43" s="31"/>
      <c r="G43" s="31"/>
      <c r="H43" s="31"/>
      <c r="I43" s="32"/>
      <c r="J43" s="33"/>
      <c r="K43" s="272"/>
      <c r="L43" s="272"/>
      <c r="M43" s="431" t="s">
        <v>757</v>
      </c>
      <c r="O43" s="272"/>
    </row>
    <row r="44" spans="1:16" ht="30" customHeight="1" x14ac:dyDescent="0.2">
      <c r="A44" s="24"/>
      <c r="B44" s="1223" t="s">
        <v>240</v>
      </c>
      <c r="C44" s="1223"/>
      <c r="D44" s="1223"/>
      <c r="E44" s="1223"/>
      <c r="F44" s="1223"/>
      <c r="G44" s="1223"/>
      <c r="H44" s="1223"/>
      <c r="I44" s="34" t="s">
        <v>229</v>
      </c>
      <c r="J44" s="35" t="s">
        <v>18</v>
      </c>
      <c r="K44" s="36" t="s">
        <v>242</v>
      </c>
      <c r="L44" s="37">
        <v>10</v>
      </c>
      <c r="M44" s="431" t="s">
        <v>757</v>
      </c>
      <c r="N44" s="46" t="s">
        <v>30</v>
      </c>
      <c r="O44" s="37">
        <v>10</v>
      </c>
      <c r="P44" s="38" t="s">
        <v>243</v>
      </c>
    </row>
    <row r="45" spans="1:16" ht="40.5" customHeight="1" x14ac:dyDescent="0.2">
      <c r="A45" s="24"/>
      <c r="B45" s="1268" t="s">
        <v>823</v>
      </c>
      <c r="C45" s="1268"/>
      <c r="D45" s="1268"/>
      <c r="E45" s="1268"/>
      <c r="F45" s="1268"/>
      <c r="G45" s="1268"/>
      <c r="H45" s="1268"/>
      <c r="I45" s="1268"/>
      <c r="J45" s="1268"/>
      <c r="M45" s="431" t="s">
        <v>757</v>
      </c>
      <c r="O45" s="37">
        <v>10</v>
      </c>
      <c r="P45" s="38" t="s">
        <v>243</v>
      </c>
    </row>
    <row r="46" spans="1:16" ht="40.5" customHeight="1" x14ac:dyDescent="0.2">
      <c r="A46" s="24"/>
      <c r="B46" s="1236" t="s">
        <v>758</v>
      </c>
      <c r="C46" s="1461" t="s">
        <v>759</v>
      </c>
      <c r="D46" s="1462"/>
      <c r="E46" s="1462" t="s">
        <v>779</v>
      </c>
      <c r="F46" s="1462"/>
      <c r="G46" s="1462" t="s">
        <v>762</v>
      </c>
      <c r="H46" s="1463"/>
      <c r="I46" s="1446" t="s">
        <v>924</v>
      </c>
      <c r="J46" s="1449">
        <v>0.7</v>
      </c>
      <c r="M46" s="431"/>
      <c r="O46" s="37"/>
      <c r="P46" s="38"/>
    </row>
    <row r="47" spans="1:16" ht="40.5" customHeight="1" x14ac:dyDescent="0.2">
      <c r="A47" s="24"/>
      <c r="B47" s="1237"/>
      <c r="C47" s="1192" t="s">
        <v>215</v>
      </c>
      <c r="D47" s="1192"/>
      <c r="E47" s="1192"/>
      <c r="F47" s="1192"/>
      <c r="G47" s="47"/>
      <c r="H47" s="47"/>
      <c r="I47" s="1447"/>
      <c r="J47" s="1450"/>
      <c r="M47" s="431"/>
      <c r="O47" s="37"/>
      <c r="P47" s="38"/>
    </row>
    <row r="48" spans="1:16" ht="40.5" customHeight="1" x14ac:dyDescent="0.2">
      <c r="A48" s="24"/>
      <c r="B48" s="1237"/>
      <c r="C48" s="1452" t="s">
        <v>765</v>
      </c>
      <c r="D48" s="1192"/>
      <c r="E48" s="1192"/>
      <c r="F48" s="1192"/>
      <c r="G48" s="1192"/>
      <c r="H48" s="1215"/>
      <c r="I48" s="1447"/>
      <c r="J48" s="1450"/>
      <c r="M48" s="431"/>
      <c r="O48" s="37"/>
      <c r="P48" s="38"/>
    </row>
    <row r="49" spans="1:16" ht="40.5" customHeight="1" x14ac:dyDescent="0.2">
      <c r="A49" s="24"/>
      <c r="B49" s="1237"/>
      <c r="C49" s="1452" t="s">
        <v>98</v>
      </c>
      <c r="D49" s="1192"/>
      <c r="E49" s="1192"/>
      <c r="F49" s="1192"/>
      <c r="G49" s="1192"/>
      <c r="H49" s="1215"/>
      <c r="I49" s="1447"/>
      <c r="J49" s="1450"/>
      <c r="M49" s="431"/>
      <c r="O49" s="37"/>
      <c r="P49" s="38"/>
    </row>
    <row r="50" spans="1:16" ht="40.5" customHeight="1" x14ac:dyDescent="0.2">
      <c r="A50" s="24"/>
      <c r="B50" s="1238"/>
      <c r="C50" s="1453" t="s">
        <v>766</v>
      </c>
      <c r="D50" s="1213"/>
      <c r="E50" s="1213"/>
      <c r="F50" s="1213"/>
      <c r="G50" s="1213"/>
      <c r="H50" s="1454"/>
      <c r="I50" s="1448"/>
      <c r="J50" s="1451"/>
      <c r="M50" s="431"/>
      <c r="O50" s="37"/>
      <c r="P50" s="38"/>
    </row>
    <row r="51" spans="1:16" ht="40.5" customHeight="1" x14ac:dyDescent="0.2">
      <c r="A51" s="24"/>
      <c r="B51" s="527" t="s">
        <v>767</v>
      </c>
      <c r="C51" s="1432" t="s">
        <v>768</v>
      </c>
      <c r="D51" s="1433"/>
      <c r="E51" s="166"/>
      <c r="F51" s="166"/>
      <c r="G51" s="166"/>
      <c r="H51" s="442"/>
      <c r="I51" s="528" t="s">
        <v>410</v>
      </c>
      <c r="J51" s="529">
        <v>0.6</v>
      </c>
      <c r="M51" s="431"/>
      <c r="O51" s="37"/>
      <c r="P51" s="38"/>
    </row>
    <row r="52" spans="1:16" ht="39.950000000000003" customHeight="1" x14ac:dyDescent="0.2">
      <c r="B52" s="327" t="s">
        <v>769</v>
      </c>
      <c r="C52" s="1063" t="s">
        <v>770</v>
      </c>
      <c r="D52" s="1063"/>
      <c r="E52" s="1063"/>
      <c r="F52" s="1063"/>
      <c r="G52" s="1063"/>
      <c r="H52" s="1063"/>
      <c r="I52" s="328" t="s">
        <v>924</v>
      </c>
      <c r="J52" s="353">
        <v>0.6</v>
      </c>
      <c r="K52" s="43" t="s">
        <v>769</v>
      </c>
      <c r="L52" s="44" t="s">
        <v>246</v>
      </c>
      <c r="M52" s="18"/>
      <c r="N52" s="46" t="s">
        <v>30</v>
      </c>
      <c r="O52" s="37">
        <v>10</v>
      </c>
      <c r="P52" s="38" t="s">
        <v>243</v>
      </c>
    </row>
    <row r="53" spans="1:16" ht="20.100000000000001" customHeight="1" x14ac:dyDescent="0.2">
      <c r="B53" s="31"/>
      <c r="C53" s="31"/>
      <c r="D53" s="31"/>
      <c r="E53" s="31"/>
      <c r="F53" s="31"/>
      <c r="G53" s="31"/>
      <c r="H53" s="31"/>
      <c r="I53" s="32"/>
      <c r="J53" s="33"/>
      <c r="K53" s="272"/>
      <c r="L53" s="272"/>
      <c r="M53" s="431" t="s">
        <v>757</v>
      </c>
      <c r="O53" s="272"/>
    </row>
    <row r="54" spans="1:16" ht="30" customHeight="1" x14ac:dyDescent="0.2">
      <c r="B54" s="1223" t="s">
        <v>257</v>
      </c>
      <c r="C54" s="1223"/>
      <c r="D54" s="1223"/>
      <c r="E54" s="1223"/>
      <c r="F54" s="1223"/>
      <c r="G54" s="1223"/>
      <c r="H54" s="1223"/>
      <c r="I54" s="34" t="s">
        <v>17</v>
      </c>
      <c r="J54" s="35" t="s">
        <v>18</v>
      </c>
      <c r="K54" s="36" t="s">
        <v>258</v>
      </c>
      <c r="L54" s="37">
        <v>11</v>
      </c>
      <c r="M54" s="431" t="s">
        <v>757</v>
      </c>
      <c r="N54" s="46" t="s">
        <v>30</v>
      </c>
      <c r="O54" s="37">
        <v>11</v>
      </c>
      <c r="P54" s="38" t="s">
        <v>259</v>
      </c>
    </row>
    <row r="55" spans="1:16" ht="63" customHeight="1" x14ac:dyDescent="0.2">
      <c r="B55" s="949" t="s">
        <v>863</v>
      </c>
      <c r="C55" s="950"/>
      <c r="D55" s="950"/>
      <c r="E55" s="950"/>
      <c r="F55" s="950"/>
      <c r="G55" s="950"/>
      <c r="H55" s="950"/>
      <c r="I55" s="950"/>
      <c r="J55" s="951"/>
      <c r="K55" s="47"/>
      <c r="L55" s="47"/>
      <c r="M55" s="431" t="s">
        <v>757</v>
      </c>
      <c r="O55" s="37">
        <v>11</v>
      </c>
      <c r="P55" s="38" t="s">
        <v>259</v>
      </c>
    </row>
    <row r="56" spans="1:16" ht="30" customHeight="1" x14ac:dyDescent="0.2">
      <c r="B56" s="979" t="s">
        <v>260</v>
      </c>
      <c r="C56" s="980"/>
      <c r="D56" s="980"/>
      <c r="E56" s="980"/>
      <c r="F56" s="980"/>
      <c r="G56" s="980"/>
      <c r="H56" s="980"/>
      <c r="I56" s="980"/>
      <c r="J56" s="981"/>
      <c r="K56" s="24"/>
      <c r="L56" s="24"/>
      <c r="M56" s="431" t="s">
        <v>757</v>
      </c>
      <c r="O56" s="37">
        <v>11</v>
      </c>
      <c r="P56" s="38" t="s">
        <v>259</v>
      </c>
    </row>
    <row r="57" spans="1:16" ht="30" customHeight="1" x14ac:dyDescent="0.2">
      <c r="B57" s="1622" t="s">
        <v>758</v>
      </c>
      <c r="C57" s="1014" t="s">
        <v>759</v>
      </c>
      <c r="D57" s="1015"/>
      <c r="E57" s="1462" t="s">
        <v>779</v>
      </c>
      <c r="F57" s="1462"/>
      <c r="G57" s="1462" t="s">
        <v>762</v>
      </c>
      <c r="H57" s="1463"/>
      <c r="I57" s="1446" t="s">
        <v>924</v>
      </c>
      <c r="J57" s="1449">
        <v>0.8</v>
      </c>
      <c r="K57" s="24"/>
      <c r="L57" s="24"/>
      <c r="M57" s="431"/>
      <c r="O57" s="37"/>
      <c r="P57" s="38"/>
    </row>
    <row r="58" spans="1:16" ht="30" customHeight="1" x14ac:dyDescent="0.2">
      <c r="B58" s="1622"/>
      <c r="C58" s="1452" t="s">
        <v>215</v>
      </c>
      <c r="D58" s="1192"/>
      <c r="E58" s="346"/>
      <c r="F58" s="346"/>
      <c r="G58" s="346"/>
      <c r="H58" s="347"/>
      <c r="I58" s="1447"/>
      <c r="J58" s="1450"/>
      <c r="K58" s="24"/>
      <c r="L58" s="24"/>
      <c r="M58" s="431"/>
      <c r="O58" s="37"/>
      <c r="P58" s="38"/>
    </row>
    <row r="59" spans="1:16" ht="30" customHeight="1" x14ac:dyDescent="0.2">
      <c r="B59" s="1622"/>
      <c r="C59" s="1453" t="s">
        <v>765</v>
      </c>
      <c r="D59" s="1213"/>
      <c r="E59" s="1213"/>
      <c r="F59" s="1213"/>
      <c r="G59" s="1213"/>
      <c r="H59" s="1454"/>
      <c r="I59" s="1448"/>
      <c r="J59" s="1451"/>
      <c r="K59" s="24"/>
      <c r="L59" s="24"/>
      <c r="M59" s="431"/>
      <c r="O59" s="37"/>
      <c r="P59" s="38"/>
    </row>
    <row r="60" spans="1:16" ht="30" customHeight="1" x14ac:dyDescent="0.2">
      <c r="B60" s="327" t="s">
        <v>767</v>
      </c>
      <c r="C60" s="1432" t="s">
        <v>768</v>
      </c>
      <c r="D60" s="1433"/>
      <c r="E60" s="166"/>
      <c r="F60" s="166"/>
      <c r="G60" s="166"/>
      <c r="H60" s="442"/>
      <c r="I60" s="528">
        <v>0</v>
      </c>
      <c r="J60" s="529">
        <v>0.6</v>
      </c>
      <c r="K60" s="24"/>
      <c r="L60" s="24"/>
      <c r="M60" s="431"/>
      <c r="O60" s="37"/>
      <c r="P60" s="38"/>
    </row>
    <row r="61" spans="1:16" ht="39.950000000000003" customHeight="1" x14ac:dyDescent="0.2">
      <c r="A61" s="24"/>
      <c r="B61" s="327" t="s">
        <v>769</v>
      </c>
      <c r="C61" s="1063" t="s">
        <v>770</v>
      </c>
      <c r="D61" s="1063"/>
      <c r="E61" s="1063"/>
      <c r="F61" s="1063"/>
      <c r="G61" s="1063"/>
      <c r="H61" s="1063"/>
      <c r="I61" s="328" t="s">
        <v>924</v>
      </c>
      <c r="J61" s="353">
        <v>0.7</v>
      </c>
      <c r="K61" s="43" t="s">
        <v>769</v>
      </c>
      <c r="L61" s="44" t="s">
        <v>262</v>
      </c>
      <c r="M61" s="18"/>
      <c r="N61" s="46" t="s">
        <v>30</v>
      </c>
      <c r="O61" s="37">
        <v>11</v>
      </c>
      <c r="P61" s="38" t="s">
        <v>259</v>
      </c>
    </row>
    <row r="62" spans="1:16" ht="30" customHeight="1" x14ac:dyDescent="0.2">
      <c r="A62" s="24"/>
      <c r="B62" s="1621" t="s">
        <v>264</v>
      </c>
      <c r="C62" s="1621"/>
      <c r="D62" s="1621"/>
      <c r="E62" s="1621"/>
      <c r="F62" s="1621"/>
      <c r="G62" s="1621"/>
      <c r="H62" s="1621"/>
      <c r="I62" s="1621"/>
      <c r="J62" s="1621"/>
      <c r="L62" s="2"/>
      <c r="M62" s="431" t="s">
        <v>757</v>
      </c>
      <c r="N62" s="46" t="s">
        <v>30</v>
      </c>
      <c r="O62" s="37">
        <v>11</v>
      </c>
      <c r="P62" s="157" t="s">
        <v>265</v>
      </c>
    </row>
    <row r="63" spans="1:16" ht="30" customHeight="1" x14ac:dyDescent="0.2">
      <c r="A63" s="24"/>
      <c r="B63" s="1236" t="s">
        <v>758</v>
      </c>
      <c r="C63" s="1461" t="s">
        <v>759</v>
      </c>
      <c r="D63" s="1462"/>
      <c r="E63" s="1462" t="s">
        <v>776</v>
      </c>
      <c r="F63" s="1462"/>
      <c r="G63" s="1462" t="s">
        <v>762</v>
      </c>
      <c r="H63" s="1463"/>
      <c r="I63" s="1446" t="s">
        <v>924</v>
      </c>
      <c r="J63" s="1449">
        <v>0.7</v>
      </c>
      <c r="L63" s="2"/>
      <c r="M63" s="431"/>
      <c r="N63" s="46"/>
      <c r="O63" s="37"/>
      <c r="P63" s="157"/>
    </row>
    <row r="64" spans="1:16" ht="30" customHeight="1" x14ac:dyDescent="0.2">
      <c r="A64" s="24"/>
      <c r="B64" s="1237"/>
      <c r="C64" s="1452" t="s">
        <v>215</v>
      </c>
      <c r="D64" s="1192"/>
      <c r="E64" s="346"/>
      <c r="F64" s="346"/>
      <c r="G64" s="47"/>
      <c r="H64" s="48"/>
      <c r="I64" s="1447"/>
      <c r="J64" s="1450"/>
      <c r="L64" s="2"/>
      <c r="M64" s="431"/>
      <c r="N64" s="46"/>
      <c r="O64" s="37"/>
      <c r="P64" s="157"/>
    </row>
    <row r="65" spans="1:17" ht="30" customHeight="1" x14ac:dyDescent="0.2">
      <c r="A65" s="24"/>
      <c r="B65" s="1238"/>
      <c r="C65" s="1453" t="s">
        <v>765</v>
      </c>
      <c r="D65" s="1213"/>
      <c r="E65" s="1213"/>
      <c r="F65" s="1213"/>
      <c r="G65" s="1213"/>
      <c r="H65" s="1454"/>
      <c r="I65" s="1448"/>
      <c r="J65" s="1451"/>
      <c r="L65" s="2"/>
      <c r="M65" s="431"/>
      <c r="N65" s="46"/>
      <c r="O65" s="37"/>
      <c r="P65" s="157"/>
    </row>
    <row r="66" spans="1:17" ht="44.25" customHeight="1" x14ac:dyDescent="0.2">
      <c r="A66" s="24"/>
      <c r="B66" s="327" t="s">
        <v>767</v>
      </c>
      <c r="C66" s="1432" t="s">
        <v>768</v>
      </c>
      <c r="D66" s="1433"/>
      <c r="E66" s="432"/>
      <c r="F66" s="432"/>
      <c r="G66" s="432"/>
      <c r="H66" s="433"/>
      <c r="I66" s="328" t="s">
        <v>410</v>
      </c>
      <c r="J66" s="353">
        <v>0.6</v>
      </c>
      <c r="L66" s="2"/>
      <c r="M66" s="431"/>
      <c r="N66" s="46"/>
      <c r="O66" s="37"/>
      <c r="P66" s="157"/>
    </row>
    <row r="67" spans="1:17" ht="39.950000000000003" customHeight="1" x14ac:dyDescent="0.2">
      <c r="A67" s="24"/>
      <c r="B67" s="327" t="s">
        <v>769</v>
      </c>
      <c r="C67" s="1063" t="s">
        <v>770</v>
      </c>
      <c r="D67" s="1063"/>
      <c r="E67" s="1063"/>
      <c r="F67" s="1063"/>
      <c r="G67" s="1063"/>
      <c r="H67" s="1063"/>
      <c r="I67" s="328" t="s">
        <v>924</v>
      </c>
      <c r="J67" s="353">
        <v>0.65</v>
      </c>
      <c r="K67" s="43" t="s">
        <v>769</v>
      </c>
      <c r="L67" s="44" t="s">
        <v>266</v>
      </c>
      <c r="M67" s="18"/>
      <c r="N67" s="46" t="s">
        <v>30</v>
      </c>
      <c r="O67" s="37">
        <v>11</v>
      </c>
      <c r="P67" s="157" t="s">
        <v>265</v>
      </c>
    </row>
    <row r="68" spans="1:17" ht="20.100000000000001" customHeight="1" x14ac:dyDescent="0.2">
      <c r="A68" s="24"/>
      <c r="B68" s="31"/>
      <c r="C68" s="31"/>
      <c r="D68" s="31"/>
      <c r="E68" s="31"/>
      <c r="F68" s="31"/>
      <c r="G68" s="31"/>
      <c r="H68" s="31"/>
      <c r="I68" s="32"/>
      <c r="J68" s="33"/>
      <c r="K68" s="272"/>
      <c r="L68" s="272"/>
      <c r="M68" s="431" t="s">
        <v>757</v>
      </c>
      <c r="O68" s="272"/>
    </row>
    <row r="69" spans="1:17" ht="30" customHeight="1" x14ac:dyDescent="0.2">
      <c r="A69" s="24"/>
      <c r="B69" s="972" t="s">
        <v>864</v>
      </c>
      <c r="C69" s="975"/>
      <c r="D69" s="975"/>
      <c r="E69" s="975"/>
      <c r="F69" s="975"/>
      <c r="G69" s="975"/>
      <c r="H69" s="975"/>
      <c r="I69" s="34" t="s">
        <v>466</v>
      </c>
      <c r="J69" s="259" t="s">
        <v>18</v>
      </c>
      <c r="K69" s="36" t="s">
        <v>506</v>
      </c>
      <c r="L69" s="37">
        <v>47</v>
      </c>
      <c r="M69" s="181"/>
      <c r="N69" s="182" t="s">
        <v>30</v>
      </c>
      <c r="O69" s="37">
        <v>47</v>
      </c>
    </row>
    <row r="70" spans="1:17" ht="30" customHeight="1" x14ac:dyDescent="0.2">
      <c r="A70" s="24"/>
      <c r="B70" s="1105" t="s">
        <v>853</v>
      </c>
      <c r="C70" s="1106"/>
      <c r="D70" s="1106"/>
      <c r="E70" s="1106"/>
      <c r="F70" s="1106"/>
      <c r="G70" s="1106"/>
      <c r="H70" s="1106"/>
      <c r="I70" s="1106"/>
      <c r="J70" s="1107"/>
      <c r="K70" s="36" t="s">
        <v>506</v>
      </c>
      <c r="L70" s="37">
        <v>47</v>
      </c>
      <c r="M70" s="181"/>
      <c r="N70" s="67"/>
      <c r="O70" s="37">
        <v>47</v>
      </c>
    </row>
    <row r="71" spans="1:17" ht="30" customHeight="1" x14ac:dyDescent="0.2">
      <c r="A71" s="24"/>
      <c r="B71" s="946" t="s">
        <v>649</v>
      </c>
      <c r="C71" s="947"/>
      <c r="D71" s="947"/>
      <c r="E71" s="947"/>
      <c r="F71" s="947"/>
      <c r="G71" s="947"/>
      <c r="H71" s="947"/>
      <c r="I71" s="947"/>
      <c r="J71" s="948"/>
      <c r="K71" s="36" t="s">
        <v>506</v>
      </c>
      <c r="L71" s="37">
        <v>47</v>
      </c>
      <c r="M71" s="181"/>
      <c r="N71" s="67"/>
      <c r="O71" s="37">
        <v>47</v>
      </c>
    </row>
    <row r="72" spans="1:17" ht="30" customHeight="1" x14ac:dyDescent="0.2">
      <c r="A72" s="24"/>
      <c r="B72" s="1217" t="s">
        <v>510</v>
      </c>
      <c r="C72" s="1016"/>
      <c r="D72" s="1016"/>
      <c r="E72" s="1016"/>
      <c r="F72" s="1016"/>
      <c r="G72" s="1016"/>
      <c r="H72" s="1016"/>
      <c r="I72" s="1016"/>
      <c r="J72" s="1125"/>
      <c r="K72" s="36" t="s">
        <v>506</v>
      </c>
      <c r="L72" s="37">
        <v>47</v>
      </c>
      <c r="M72" s="181"/>
      <c r="N72" s="67"/>
      <c r="O72" s="37">
        <v>47</v>
      </c>
    </row>
    <row r="73" spans="1:17" ht="30" customHeight="1" x14ac:dyDescent="0.2">
      <c r="A73" s="24"/>
      <c r="B73" s="136" t="s">
        <v>782</v>
      </c>
      <c r="C73" s="919" t="s">
        <v>651</v>
      </c>
      <c r="D73" s="919"/>
      <c r="E73" s="919"/>
      <c r="F73" s="919"/>
      <c r="G73" s="919"/>
      <c r="H73" s="919"/>
      <c r="I73" s="335">
        <v>600</v>
      </c>
      <c r="J73" s="271">
        <v>0.5</v>
      </c>
      <c r="K73" s="36" t="s">
        <v>506</v>
      </c>
      <c r="L73" s="37">
        <v>47</v>
      </c>
      <c r="M73" s="181"/>
      <c r="N73" s="67"/>
      <c r="O73" s="37">
        <v>47</v>
      </c>
    </row>
    <row r="74" spans="1:17" ht="20.100000000000001" customHeight="1" x14ac:dyDescent="0.2">
      <c r="A74" s="24"/>
      <c r="B74" s="31"/>
      <c r="C74" s="31"/>
      <c r="D74" s="31"/>
      <c r="E74" s="31"/>
      <c r="F74" s="31"/>
      <c r="G74" s="31"/>
      <c r="H74" s="31"/>
      <c r="I74" s="32"/>
      <c r="J74" s="33"/>
      <c r="K74" s="272"/>
      <c r="L74" s="272"/>
      <c r="M74" s="431" t="s">
        <v>757</v>
      </c>
      <c r="O74" s="272"/>
    </row>
    <row r="75" spans="1:17" ht="30" customHeight="1" x14ac:dyDescent="0.2">
      <c r="B75" s="904" t="s">
        <v>318</v>
      </c>
      <c r="C75" s="905"/>
      <c r="D75" s="905"/>
      <c r="E75" s="905"/>
      <c r="F75" s="905"/>
      <c r="G75" s="905"/>
      <c r="H75" s="906"/>
      <c r="I75" s="34" t="s">
        <v>17</v>
      </c>
      <c r="J75" s="35" t="s">
        <v>18</v>
      </c>
      <c r="K75" s="36" t="s">
        <v>319</v>
      </c>
      <c r="L75" s="36" t="s">
        <v>319</v>
      </c>
      <c r="M75" s="431" t="s">
        <v>757</v>
      </c>
      <c r="N75" s="46" t="s">
        <v>30</v>
      </c>
      <c r="O75" s="37">
        <v>13</v>
      </c>
    </row>
    <row r="76" spans="1:17" ht="30" customHeight="1" x14ac:dyDescent="0.2">
      <c r="B76" s="327" t="s">
        <v>758</v>
      </c>
      <c r="C76" s="1401" t="s">
        <v>765</v>
      </c>
      <c r="D76" s="1402"/>
      <c r="E76" s="1402"/>
      <c r="F76" s="1402"/>
      <c r="G76" s="1402"/>
      <c r="H76" s="1403"/>
      <c r="I76" s="448">
        <v>90</v>
      </c>
      <c r="J76" s="449">
        <v>0.7</v>
      </c>
      <c r="K76" s="36"/>
      <c r="L76" s="36"/>
      <c r="M76" s="431"/>
      <c r="N76" s="46"/>
      <c r="O76" s="37"/>
    </row>
    <row r="77" spans="1:17" ht="39.950000000000003" customHeight="1" x14ac:dyDescent="0.25">
      <c r="A77" s="24"/>
      <c r="B77" s="450" t="s">
        <v>767</v>
      </c>
      <c r="C77" s="1401" t="s">
        <v>779</v>
      </c>
      <c r="D77" s="1402"/>
      <c r="E77" s="1402" t="s">
        <v>783</v>
      </c>
      <c r="F77" s="1402"/>
      <c r="G77" s="1402" t="s">
        <v>768</v>
      </c>
      <c r="H77" s="1403"/>
      <c r="I77" s="74">
        <v>120</v>
      </c>
      <c r="J77" s="75">
        <v>0.6</v>
      </c>
      <c r="K77" s="383"/>
      <c r="L77" s="383"/>
      <c r="M77" s="431" t="s">
        <v>757</v>
      </c>
      <c r="N77" s="46" t="s">
        <v>30</v>
      </c>
      <c r="O77" s="383"/>
      <c r="P77" s="383"/>
      <c r="Q77" s="383"/>
    </row>
    <row r="78" spans="1:17" ht="60" customHeight="1" x14ac:dyDescent="0.25">
      <c r="A78" s="24"/>
      <c r="B78" s="1279" t="s">
        <v>312</v>
      </c>
      <c r="C78" s="1519" t="s">
        <v>784</v>
      </c>
      <c r="D78" s="1520"/>
      <c r="E78" s="1520"/>
      <c r="F78" s="1520"/>
      <c r="G78" s="1520"/>
      <c r="H78" s="1521"/>
      <c r="I78" s="74">
        <v>0</v>
      </c>
      <c r="J78" s="75">
        <v>1</v>
      </c>
      <c r="K78" s="383"/>
      <c r="L78" s="383"/>
      <c r="M78" s="431" t="s">
        <v>757</v>
      </c>
      <c r="N78" s="46" t="s">
        <v>30</v>
      </c>
      <c r="O78" s="383"/>
      <c r="P78" s="383"/>
      <c r="Q78" s="383"/>
    </row>
    <row r="79" spans="1:17" ht="39.950000000000003" customHeight="1" x14ac:dyDescent="0.25">
      <c r="A79" s="24"/>
      <c r="B79" s="1280"/>
      <c r="C79" s="1522" t="s">
        <v>779</v>
      </c>
      <c r="D79" s="1523"/>
      <c r="E79" s="1523" t="s">
        <v>783</v>
      </c>
      <c r="F79" s="1523"/>
      <c r="G79" s="1523" t="s">
        <v>768</v>
      </c>
      <c r="H79" s="1524"/>
      <c r="I79" s="74" t="s">
        <v>785</v>
      </c>
      <c r="J79" s="75" t="s">
        <v>785</v>
      </c>
      <c r="K79" s="383"/>
      <c r="L79" s="383"/>
      <c r="M79" s="431" t="s">
        <v>757</v>
      </c>
      <c r="N79" s="383"/>
      <c r="O79" s="383"/>
      <c r="P79" s="383"/>
      <c r="Q79" s="383"/>
    </row>
    <row r="80" spans="1:17" ht="30" customHeight="1" x14ac:dyDescent="0.25">
      <c r="A80" s="24"/>
      <c r="B80" s="901" t="s">
        <v>325</v>
      </c>
      <c r="C80" s="902"/>
      <c r="D80" s="902"/>
      <c r="E80" s="902"/>
      <c r="F80" s="902"/>
      <c r="G80" s="902"/>
      <c r="H80" s="902"/>
      <c r="I80" s="902"/>
      <c r="J80" s="903"/>
      <c r="K80" s="383"/>
      <c r="L80" s="383"/>
      <c r="M80" s="431" t="s">
        <v>757</v>
      </c>
      <c r="N80" s="383"/>
      <c r="O80" s="383"/>
      <c r="P80" s="383"/>
      <c r="Q80" s="383"/>
    </row>
    <row r="81" spans="1:15" ht="20.100000000000001" customHeight="1" x14ac:dyDescent="0.2">
      <c r="A81" s="24"/>
      <c r="B81" s="31"/>
      <c r="C81" s="31"/>
      <c r="D81" s="31"/>
      <c r="E81" s="31"/>
      <c r="F81" s="31"/>
      <c r="G81" s="31"/>
      <c r="H81" s="31"/>
      <c r="I81" s="32"/>
      <c r="J81" s="33"/>
      <c r="K81" s="272"/>
      <c r="L81" s="272"/>
      <c r="M81" s="431" t="s">
        <v>757</v>
      </c>
      <c r="O81" s="272"/>
    </row>
    <row r="82" spans="1:15" ht="30" customHeight="1" x14ac:dyDescent="0.2">
      <c r="A82" s="24"/>
      <c r="B82" s="1135" t="s">
        <v>326</v>
      </c>
      <c r="C82" s="1136"/>
      <c r="D82" s="1136"/>
      <c r="E82" s="1136"/>
      <c r="F82" s="1136"/>
      <c r="G82" s="1136"/>
      <c r="H82" s="1137"/>
      <c r="I82" s="34" t="s">
        <v>17</v>
      </c>
      <c r="J82" s="35" t="s">
        <v>18</v>
      </c>
      <c r="K82" s="194" t="s">
        <v>327</v>
      </c>
      <c r="L82" s="195">
        <v>14</v>
      </c>
      <c r="M82" s="23"/>
      <c r="N82" s="46" t="s">
        <v>30</v>
      </c>
      <c r="O82" s="195">
        <v>14</v>
      </c>
    </row>
    <row r="83" spans="1:15" ht="39.950000000000003" customHeight="1" x14ac:dyDescent="0.2">
      <c r="B83" s="96" t="s">
        <v>328</v>
      </c>
      <c r="C83" s="901" t="s">
        <v>786</v>
      </c>
      <c r="D83" s="950"/>
      <c r="E83" s="950"/>
      <c r="F83" s="950"/>
      <c r="G83" s="950"/>
      <c r="H83" s="951"/>
      <c r="I83" s="74">
        <v>0</v>
      </c>
      <c r="J83" s="199">
        <v>1</v>
      </c>
      <c r="K83" s="194" t="s">
        <v>327</v>
      </c>
      <c r="L83" s="195">
        <v>14</v>
      </c>
      <c r="M83" s="23"/>
      <c r="O83" s="195">
        <v>14</v>
      </c>
    </row>
    <row r="84" spans="1:15" ht="32.25" customHeight="1" x14ac:dyDescent="0.2">
      <c r="B84" s="96" t="s">
        <v>701</v>
      </c>
      <c r="C84" s="1063" t="s">
        <v>787</v>
      </c>
      <c r="D84" s="1395"/>
      <c r="E84" s="1395"/>
      <c r="F84" s="1395"/>
      <c r="G84" s="1395"/>
      <c r="H84" s="1395"/>
      <c r="I84" s="74">
        <v>0</v>
      </c>
      <c r="J84" s="199">
        <v>0.8</v>
      </c>
      <c r="K84" s="194" t="s">
        <v>327</v>
      </c>
      <c r="L84" s="195">
        <v>14</v>
      </c>
      <c r="M84" s="23"/>
      <c r="O84" s="195">
        <v>14</v>
      </c>
    </row>
    <row r="85" spans="1:15" ht="20.100000000000001" customHeight="1" x14ac:dyDescent="0.2">
      <c r="B85" s="76"/>
      <c r="C85" s="85"/>
      <c r="D85" s="530"/>
      <c r="E85" s="530"/>
      <c r="F85" s="530"/>
      <c r="G85" s="530"/>
      <c r="H85" s="530"/>
      <c r="I85" s="77"/>
      <c r="J85" s="180"/>
      <c r="K85" s="194"/>
      <c r="L85" s="195"/>
      <c r="M85" s="23"/>
      <c r="O85" s="195"/>
    </row>
    <row r="86" spans="1:15" ht="30" customHeight="1" x14ac:dyDescent="0.2">
      <c r="B86" s="1087" t="s">
        <v>369</v>
      </c>
      <c r="C86" s="1088"/>
      <c r="D86" s="1088"/>
      <c r="E86" s="1088"/>
      <c r="F86" s="1088"/>
      <c r="G86" s="1088"/>
      <c r="H86" s="1088"/>
      <c r="I86" s="34" t="s">
        <v>130</v>
      </c>
      <c r="J86" s="35" t="s">
        <v>18</v>
      </c>
      <c r="K86" s="36" t="s">
        <v>370</v>
      </c>
      <c r="L86" s="37">
        <v>44</v>
      </c>
      <c r="M86" s="68"/>
      <c r="N86" s="182" t="s">
        <v>30</v>
      </c>
      <c r="O86" s="37">
        <v>44</v>
      </c>
    </row>
    <row r="87" spans="1:15" ht="69.95" customHeight="1" x14ac:dyDescent="0.2">
      <c r="B87" s="1105" t="s">
        <v>833</v>
      </c>
      <c r="C87" s="1106"/>
      <c r="D87" s="1106"/>
      <c r="E87" s="1106"/>
      <c r="F87" s="1106"/>
      <c r="G87" s="1106"/>
      <c r="H87" s="1106"/>
      <c r="I87" s="1106"/>
      <c r="J87" s="1107"/>
      <c r="K87" s="36" t="s">
        <v>370</v>
      </c>
      <c r="L87" s="37">
        <v>44</v>
      </c>
      <c r="M87" s="181"/>
      <c r="N87" s="67"/>
      <c r="O87" s="37">
        <v>44</v>
      </c>
    </row>
    <row r="88" spans="1:15" ht="30" customHeight="1" x14ac:dyDescent="0.2">
      <c r="B88" s="976" t="s">
        <v>372</v>
      </c>
      <c r="C88" s="977"/>
      <c r="D88" s="977"/>
      <c r="E88" s="977"/>
      <c r="F88" s="977"/>
      <c r="G88" s="977"/>
      <c r="H88" s="977"/>
      <c r="I88" s="977"/>
      <c r="J88" s="978"/>
      <c r="K88" s="36" t="s">
        <v>370</v>
      </c>
      <c r="L88" s="37">
        <v>44</v>
      </c>
      <c r="M88" s="181"/>
      <c r="N88" s="182" t="s">
        <v>30</v>
      </c>
      <c r="O88" s="37">
        <v>44</v>
      </c>
    </row>
    <row r="89" spans="1:15" ht="30" customHeight="1" x14ac:dyDescent="0.2">
      <c r="B89" s="390" t="s">
        <v>788</v>
      </c>
      <c r="C89" s="1086" t="s">
        <v>383</v>
      </c>
      <c r="D89" s="1086"/>
      <c r="E89" s="1086"/>
      <c r="F89" s="1086"/>
      <c r="G89" s="1086"/>
      <c r="H89" s="1086"/>
      <c r="I89" s="452">
        <v>120</v>
      </c>
      <c r="J89" s="199">
        <v>0.5</v>
      </c>
      <c r="K89" s="36" t="s">
        <v>370</v>
      </c>
      <c r="L89" s="37">
        <v>44</v>
      </c>
      <c r="M89" s="181"/>
      <c r="N89" s="181"/>
      <c r="O89" s="37">
        <v>44</v>
      </c>
    </row>
    <row r="90" spans="1:15" ht="30" customHeight="1" x14ac:dyDescent="0.2">
      <c r="B90" s="202" t="s">
        <v>789</v>
      </c>
      <c r="C90" s="1086" t="s">
        <v>383</v>
      </c>
      <c r="D90" s="1086"/>
      <c r="E90" s="1086"/>
      <c r="F90" s="1086"/>
      <c r="G90" s="1086"/>
      <c r="H90" s="1086"/>
      <c r="I90" s="452">
        <v>120</v>
      </c>
      <c r="J90" s="199">
        <v>0.5</v>
      </c>
      <c r="K90" s="36" t="s">
        <v>370</v>
      </c>
      <c r="L90" s="37">
        <v>44</v>
      </c>
      <c r="M90" s="181"/>
      <c r="N90" s="181"/>
      <c r="O90" s="37">
        <v>44</v>
      </c>
    </row>
    <row r="91" spans="1:15" ht="30" customHeight="1" x14ac:dyDescent="0.2">
      <c r="B91" s="976" t="s">
        <v>384</v>
      </c>
      <c r="C91" s="977"/>
      <c r="D91" s="977"/>
      <c r="E91" s="977"/>
      <c r="F91" s="977"/>
      <c r="G91" s="977"/>
      <c r="H91" s="977"/>
      <c r="I91" s="977"/>
      <c r="J91" s="978"/>
      <c r="K91" s="36" t="s">
        <v>370</v>
      </c>
      <c r="L91" s="37">
        <v>44</v>
      </c>
      <c r="M91" s="181"/>
      <c r="N91" s="182" t="s">
        <v>30</v>
      </c>
      <c r="O91" s="37">
        <v>44</v>
      </c>
    </row>
    <row r="92" spans="1:15" ht="30" customHeight="1" x14ac:dyDescent="0.2">
      <c r="B92" s="202" t="s">
        <v>788</v>
      </c>
      <c r="C92" s="1086" t="s">
        <v>383</v>
      </c>
      <c r="D92" s="1086"/>
      <c r="E92" s="1086"/>
      <c r="F92" s="1086"/>
      <c r="G92" s="1086"/>
      <c r="H92" s="1086"/>
      <c r="I92" s="205">
        <v>0</v>
      </c>
      <c r="J92" s="75">
        <v>0.5</v>
      </c>
      <c r="K92" s="36" t="s">
        <v>370</v>
      </c>
      <c r="L92" s="37">
        <v>44</v>
      </c>
      <c r="M92" s="181"/>
      <c r="N92" s="181"/>
      <c r="O92" s="37">
        <v>44</v>
      </c>
    </row>
    <row r="93" spans="1:15" ht="30" customHeight="1" x14ac:dyDescent="0.2">
      <c r="B93" s="202" t="s">
        <v>789</v>
      </c>
      <c r="C93" s="1086" t="s">
        <v>383</v>
      </c>
      <c r="D93" s="1086"/>
      <c r="E93" s="1086"/>
      <c r="F93" s="1086"/>
      <c r="G93" s="1086"/>
      <c r="H93" s="1086"/>
      <c r="I93" s="205">
        <v>0</v>
      </c>
      <c r="J93" s="75">
        <v>0.5</v>
      </c>
      <c r="K93" s="36" t="s">
        <v>370</v>
      </c>
      <c r="L93" s="37">
        <v>44</v>
      </c>
      <c r="M93" s="181"/>
      <c r="N93" s="181"/>
      <c r="O93" s="37">
        <v>44</v>
      </c>
    </row>
    <row r="94" spans="1:15" ht="30" customHeight="1" x14ac:dyDescent="0.2">
      <c r="B94" s="1089" t="s">
        <v>389</v>
      </c>
      <c r="C94" s="1090"/>
      <c r="D94" s="1090"/>
      <c r="E94" s="1090"/>
      <c r="F94" s="1090"/>
      <c r="G94" s="1090"/>
      <c r="H94" s="1091"/>
      <c r="I94" s="205">
        <v>0</v>
      </c>
      <c r="J94" s="75">
        <v>0.5</v>
      </c>
      <c r="K94" s="36" t="s">
        <v>370</v>
      </c>
      <c r="L94" s="37">
        <v>44</v>
      </c>
      <c r="M94" s="181"/>
      <c r="N94" s="181"/>
      <c r="O94" s="37">
        <v>44</v>
      </c>
    </row>
    <row r="95" spans="1:15" ht="30" customHeight="1" x14ac:dyDescent="0.2">
      <c r="B95" s="949" t="s">
        <v>390</v>
      </c>
      <c r="C95" s="950"/>
      <c r="D95" s="950"/>
      <c r="E95" s="950"/>
      <c r="F95" s="950"/>
      <c r="G95" s="950"/>
      <c r="H95" s="950"/>
      <c r="I95" s="950"/>
      <c r="J95" s="951"/>
      <c r="K95" s="36" t="s">
        <v>370</v>
      </c>
      <c r="L95" s="37">
        <v>44</v>
      </c>
      <c r="M95" s="181"/>
      <c r="N95" s="182" t="s">
        <v>30</v>
      </c>
      <c r="O95" s="37">
        <v>44</v>
      </c>
    </row>
    <row r="96" spans="1:15" ht="30" customHeight="1" x14ac:dyDescent="0.2">
      <c r="B96" s="40" t="s">
        <v>788</v>
      </c>
      <c r="C96" s="1086" t="s">
        <v>383</v>
      </c>
      <c r="D96" s="1086"/>
      <c r="E96" s="1086"/>
      <c r="F96" s="1086"/>
      <c r="G96" s="1086"/>
      <c r="H96" s="1086"/>
      <c r="I96" s="391">
        <v>800</v>
      </c>
      <c r="J96" s="451">
        <v>0.5</v>
      </c>
      <c r="K96" s="36" t="s">
        <v>370</v>
      </c>
      <c r="L96" s="37">
        <v>44</v>
      </c>
      <c r="M96" s="181"/>
      <c r="N96" s="181"/>
      <c r="O96" s="37">
        <v>44</v>
      </c>
    </row>
    <row r="97" spans="1:15" ht="30" customHeight="1" x14ac:dyDescent="0.2">
      <c r="B97" s="115" t="s">
        <v>789</v>
      </c>
      <c r="C97" s="1086" t="s">
        <v>383</v>
      </c>
      <c r="D97" s="1086"/>
      <c r="E97" s="1086"/>
      <c r="F97" s="1086"/>
      <c r="G97" s="1086"/>
      <c r="H97" s="1086"/>
      <c r="I97" s="452">
        <v>800</v>
      </c>
      <c r="J97" s="199">
        <v>0.5</v>
      </c>
      <c r="K97" s="36" t="s">
        <v>370</v>
      </c>
      <c r="L97" s="37">
        <v>44</v>
      </c>
      <c r="M97" s="181"/>
      <c r="N97" s="181"/>
      <c r="O97" s="37">
        <v>44</v>
      </c>
    </row>
    <row r="98" spans="1:15" ht="20.100000000000001" customHeight="1" x14ac:dyDescent="0.2">
      <c r="A98" s="24"/>
      <c r="B98" s="31"/>
      <c r="C98" s="31"/>
      <c r="D98" s="31"/>
      <c r="E98" s="31"/>
      <c r="F98" s="31"/>
      <c r="G98" s="31"/>
      <c r="H98" s="31"/>
      <c r="I98" s="32"/>
      <c r="J98" s="33"/>
      <c r="K98" s="272"/>
      <c r="L98" s="272"/>
      <c r="M98" s="23"/>
      <c r="O98" s="272"/>
    </row>
    <row r="99" spans="1:15" ht="30" customHeight="1" x14ac:dyDescent="0.2">
      <c r="A99" s="24"/>
      <c r="B99" s="904" t="s">
        <v>330</v>
      </c>
      <c r="C99" s="905"/>
      <c r="D99" s="905"/>
      <c r="E99" s="905"/>
      <c r="F99" s="905"/>
      <c r="G99" s="905"/>
      <c r="H99" s="906"/>
      <c r="I99" s="34" t="s">
        <v>229</v>
      </c>
      <c r="J99" s="35" t="s">
        <v>18</v>
      </c>
      <c r="K99" s="197" t="s">
        <v>331</v>
      </c>
      <c r="L99" s="195">
        <v>15</v>
      </c>
      <c r="M99" s="23"/>
      <c r="N99" s="46" t="s">
        <v>30</v>
      </c>
      <c r="O99" s="195">
        <v>15</v>
      </c>
    </row>
    <row r="100" spans="1:15" ht="30" customHeight="1" x14ac:dyDescent="0.2">
      <c r="A100" s="24"/>
      <c r="B100" s="924" t="s">
        <v>332</v>
      </c>
      <c r="C100" s="925"/>
      <c r="D100" s="925"/>
      <c r="E100" s="925"/>
      <c r="F100" s="925"/>
      <c r="G100" s="925"/>
      <c r="H100" s="925"/>
      <c r="I100" s="925"/>
      <c r="J100" s="926"/>
      <c r="K100" s="197" t="s">
        <v>331</v>
      </c>
      <c r="L100" s="195">
        <v>15</v>
      </c>
      <c r="M100" s="23"/>
      <c r="O100" s="195">
        <v>15</v>
      </c>
    </row>
    <row r="101" spans="1:15" ht="30" customHeight="1" x14ac:dyDescent="0.2">
      <c r="A101" s="24"/>
      <c r="B101" s="1047" t="s">
        <v>335</v>
      </c>
      <c r="C101" s="864" t="s">
        <v>336</v>
      </c>
      <c r="D101" s="865"/>
      <c r="E101" s="865"/>
      <c r="F101" s="865"/>
      <c r="G101" s="865"/>
      <c r="H101" s="865"/>
      <c r="I101" s="865"/>
      <c r="J101" s="866"/>
      <c r="K101" s="197" t="s">
        <v>331</v>
      </c>
      <c r="L101" s="195">
        <v>15</v>
      </c>
      <c r="M101" s="23"/>
      <c r="N101" s="46" t="s">
        <v>30</v>
      </c>
      <c r="O101" s="195">
        <v>15</v>
      </c>
    </row>
    <row r="102" spans="1:15" ht="30" customHeight="1" x14ac:dyDescent="0.2">
      <c r="A102" s="24"/>
      <c r="B102" s="1109"/>
      <c r="C102" s="903" t="s">
        <v>790</v>
      </c>
      <c r="D102" s="1063"/>
      <c r="E102" s="1063"/>
      <c r="F102" s="1063"/>
      <c r="G102" s="1063"/>
      <c r="H102" s="1063"/>
      <c r="I102" s="74">
        <v>0</v>
      </c>
      <c r="J102" s="75">
        <v>1</v>
      </c>
      <c r="K102" s="197" t="s">
        <v>331</v>
      </c>
      <c r="L102" s="195">
        <v>15</v>
      </c>
      <c r="M102" s="23"/>
      <c r="O102" s="195">
        <v>15</v>
      </c>
    </row>
    <row r="103" spans="1:15" ht="30" customHeight="1" x14ac:dyDescent="0.2">
      <c r="A103" s="24"/>
      <c r="B103" s="1047" t="s">
        <v>340</v>
      </c>
      <c r="C103" s="901" t="s">
        <v>791</v>
      </c>
      <c r="D103" s="902"/>
      <c r="E103" s="902"/>
      <c r="F103" s="902"/>
      <c r="G103" s="902"/>
      <c r="H103" s="902"/>
      <c r="I103" s="902"/>
      <c r="J103" s="903"/>
      <c r="K103" s="197" t="s">
        <v>331</v>
      </c>
      <c r="L103" s="195">
        <v>15</v>
      </c>
      <c r="M103" s="23"/>
      <c r="N103" s="46" t="s">
        <v>30</v>
      </c>
      <c r="O103" s="195">
        <v>15</v>
      </c>
    </row>
    <row r="104" spans="1:15" ht="30" customHeight="1" x14ac:dyDescent="0.2">
      <c r="A104" s="24"/>
      <c r="B104" s="1048"/>
      <c r="C104" s="903" t="s">
        <v>790</v>
      </c>
      <c r="D104" s="1063"/>
      <c r="E104" s="1063"/>
      <c r="F104" s="1063"/>
      <c r="G104" s="1063"/>
      <c r="H104" s="1063"/>
      <c r="I104" s="74">
        <v>0</v>
      </c>
      <c r="J104" s="75">
        <v>1</v>
      </c>
      <c r="K104" s="197" t="s">
        <v>331</v>
      </c>
      <c r="L104" s="195">
        <v>15</v>
      </c>
      <c r="M104" s="23"/>
      <c r="N104" s="122"/>
      <c r="O104" s="195">
        <v>15</v>
      </c>
    </row>
    <row r="105" spans="1:15" ht="30" customHeight="1" x14ac:dyDescent="0.2">
      <c r="A105" s="24"/>
      <c r="B105" s="454" t="s">
        <v>348</v>
      </c>
      <c r="C105" s="1517" t="s">
        <v>792</v>
      </c>
      <c r="D105" s="1515"/>
      <c r="E105" s="1015" t="s">
        <v>793</v>
      </c>
      <c r="F105" s="1015"/>
      <c r="G105" s="1515"/>
      <c r="H105" s="1516"/>
      <c r="I105" s="455">
        <v>0</v>
      </c>
      <c r="J105" s="109">
        <v>1</v>
      </c>
      <c r="K105" s="197" t="s">
        <v>331</v>
      </c>
      <c r="L105" s="195">
        <v>15</v>
      </c>
      <c r="M105" s="23"/>
      <c r="N105" s="46" t="s">
        <v>30</v>
      </c>
      <c r="O105" s="195">
        <v>15</v>
      </c>
    </row>
    <row r="106" spans="1:15" ht="30" customHeight="1" x14ac:dyDescent="0.2">
      <c r="A106" s="24"/>
      <c r="B106" s="1231" t="s">
        <v>794</v>
      </c>
      <c r="C106" s="1515" t="s">
        <v>795</v>
      </c>
      <c r="D106" s="1515"/>
      <c r="E106" s="1515" t="s">
        <v>793</v>
      </c>
      <c r="F106" s="1515"/>
      <c r="G106" s="1515"/>
      <c r="H106" s="1516"/>
      <c r="I106" s="1228">
        <v>0</v>
      </c>
      <c r="J106" s="962">
        <v>1</v>
      </c>
      <c r="K106" s="197" t="s">
        <v>331</v>
      </c>
      <c r="L106" s="195">
        <v>15</v>
      </c>
      <c r="N106" s="46" t="s">
        <v>30</v>
      </c>
      <c r="O106" s="195">
        <v>15</v>
      </c>
    </row>
    <row r="107" spans="1:15" ht="30" customHeight="1" x14ac:dyDescent="0.2">
      <c r="A107" s="24"/>
      <c r="B107" s="1053"/>
      <c r="C107" s="903" t="s">
        <v>790</v>
      </c>
      <c r="D107" s="1063"/>
      <c r="E107" s="1063"/>
      <c r="F107" s="1063"/>
      <c r="G107" s="1063"/>
      <c r="H107" s="1063"/>
      <c r="I107" s="1230"/>
      <c r="J107" s="964"/>
      <c r="K107" s="197" t="s">
        <v>331</v>
      </c>
      <c r="L107" s="195">
        <v>15</v>
      </c>
      <c r="N107" s="122"/>
      <c r="O107" s="195">
        <v>15</v>
      </c>
    </row>
    <row r="108" spans="1:15" ht="62.25" customHeight="1" x14ac:dyDescent="0.2">
      <c r="A108" s="24"/>
      <c r="B108" s="1047" t="s">
        <v>350</v>
      </c>
      <c r="C108" s="867" t="s">
        <v>351</v>
      </c>
      <c r="D108" s="868"/>
      <c r="E108" s="868"/>
      <c r="F108" s="868"/>
      <c r="G108" s="868"/>
      <c r="H108" s="868"/>
      <c r="I108" s="868"/>
      <c r="J108" s="869"/>
      <c r="K108" s="197" t="s">
        <v>331</v>
      </c>
      <c r="L108" s="195">
        <v>15</v>
      </c>
      <c r="M108" s="3"/>
      <c r="N108" s="46" t="s">
        <v>30</v>
      </c>
      <c r="O108" s="195">
        <v>15</v>
      </c>
    </row>
    <row r="109" spans="1:15" ht="39" customHeight="1" x14ac:dyDescent="0.2">
      <c r="A109" s="24"/>
      <c r="B109" s="1048"/>
      <c r="C109" s="903" t="s">
        <v>790</v>
      </c>
      <c r="D109" s="1063"/>
      <c r="E109" s="1063"/>
      <c r="F109" s="1063"/>
      <c r="G109" s="1063"/>
      <c r="H109" s="1063"/>
      <c r="I109" s="74">
        <v>0</v>
      </c>
      <c r="J109" s="75">
        <v>1</v>
      </c>
      <c r="K109" s="197" t="s">
        <v>331</v>
      </c>
      <c r="L109" s="195">
        <v>15</v>
      </c>
      <c r="M109" s="3"/>
      <c r="N109"/>
      <c r="O109" s="195">
        <v>15</v>
      </c>
    </row>
    <row r="110" spans="1:15" ht="63" customHeight="1" x14ac:dyDescent="0.2">
      <c r="A110" s="24"/>
      <c r="B110" s="1047" t="s">
        <v>352</v>
      </c>
      <c r="C110" s="867" t="s">
        <v>796</v>
      </c>
      <c r="D110" s="868"/>
      <c r="E110" s="868"/>
      <c r="F110" s="868"/>
      <c r="G110" s="868"/>
      <c r="H110" s="869"/>
      <c r="I110" s="1110">
        <v>0</v>
      </c>
      <c r="J110" s="915">
        <v>1</v>
      </c>
      <c r="K110" s="197" t="s">
        <v>331</v>
      </c>
      <c r="L110" s="195">
        <v>15</v>
      </c>
      <c r="M110" s="3"/>
      <c r="N110" s="46" t="s">
        <v>30</v>
      </c>
      <c r="O110" s="195">
        <v>15</v>
      </c>
    </row>
    <row r="111" spans="1:15" ht="71.25" customHeight="1" x14ac:dyDescent="0.2">
      <c r="A111" s="24"/>
      <c r="B111" s="1109"/>
      <c r="C111" s="867" t="s">
        <v>797</v>
      </c>
      <c r="D111" s="868"/>
      <c r="E111" s="868"/>
      <c r="F111" s="868"/>
      <c r="G111" s="868"/>
      <c r="H111" s="869"/>
      <c r="I111" s="1111"/>
      <c r="J111" s="1045"/>
      <c r="K111" s="197" t="s">
        <v>331</v>
      </c>
      <c r="L111" s="195">
        <v>15</v>
      </c>
      <c r="M111" s="3"/>
      <c r="N111"/>
      <c r="O111" s="195">
        <v>15</v>
      </c>
    </row>
    <row r="112" spans="1:15" ht="57" customHeight="1" x14ac:dyDescent="0.2">
      <c r="A112" s="24"/>
      <c r="B112" s="1109"/>
      <c r="C112" s="867" t="s">
        <v>798</v>
      </c>
      <c r="D112" s="868"/>
      <c r="E112" s="868"/>
      <c r="F112" s="868"/>
      <c r="G112" s="868"/>
      <c r="H112" s="869"/>
      <c r="I112" s="1111"/>
      <c r="J112" s="1045"/>
      <c r="K112" s="197" t="s">
        <v>331</v>
      </c>
      <c r="L112" s="195">
        <v>15</v>
      </c>
      <c r="M112" s="3"/>
      <c r="N112"/>
      <c r="O112" s="195">
        <v>15</v>
      </c>
    </row>
    <row r="113" spans="1:15" ht="30.75" customHeight="1" x14ac:dyDescent="0.2">
      <c r="A113" s="24"/>
      <c r="B113" s="1109"/>
      <c r="C113" s="1514" t="s">
        <v>799</v>
      </c>
      <c r="D113" s="1114"/>
      <c r="E113" s="1114"/>
      <c r="F113" s="1114"/>
      <c r="G113" s="1114"/>
      <c r="H113" s="1115"/>
      <c r="I113" s="1111"/>
      <c r="J113" s="1045"/>
      <c r="K113" s="197" t="s">
        <v>331</v>
      </c>
      <c r="L113" s="195">
        <v>15</v>
      </c>
      <c r="M113" s="3"/>
      <c r="N113"/>
      <c r="O113" s="195">
        <v>15</v>
      </c>
    </row>
    <row r="114" spans="1:15" ht="30.75" customHeight="1" x14ac:dyDescent="0.2">
      <c r="A114" s="24"/>
      <c r="B114" s="1109"/>
      <c r="C114" s="867" t="s">
        <v>800</v>
      </c>
      <c r="D114" s="868"/>
      <c r="E114" s="868"/>
      <c r="F114" s="868"/>
      <c r="G114" s="868"/>
      <c r="H114" s="869"/>
      <c r="I114" s="1112"/>
      <c r="J114" s="916"/>
      <c r="K114" s="197" t="s">
        <v>331</v>
      </c>
      <c r="L114" s="195">
        <v>15</v>
      </c>
      <c r="M114" s="3"/>
      <c r="N114"/>
      <c r="O114" s="195">
        <v>15</v>
      </c>
    </row>
    <row r="115" spans="1:15" ht="47.25" customHeight="1" x14ac:dyDescent="0.2">
      <c r="A115" s="24"/>
      <c r="B115" s="1048"/>
      <c r="C115" s="867" t="s">
        <v>801</v>
      </c>
      <c r="D115" s="868"/>
      <c r="E115" s="868"/>
      <c r="F115" s="868"/>
      <c r="G115" s="868"/>
      <c r="H115" s="869"/>
      <c r="I115" s="198" t="s">
        <v>256</v>
      </c>
      <c r="J115" s="199" t="s">
        <v>256</v>
      </c>
      <c r="K115" s="197" t="s">
        <v>331</v>
      </c>
      <c r="L115" s="195">
        <v>15</v>
      </c>
      <c r="M115" s="3"/>
      <c r="N115"/>
      <c r="O115" s="195">
        <v>15</v>
      </c>
    </row>
    <row r="116" spans="1:15" ht="39.950000000000003" customHeight="1" x14ac:dyDescent="0.2">
      <c r="A116" s="24"/>
      <c r="B116" s="1047" t="s">
        <v>359</v>
      </c>
      <c r="C116" s="901" t="s">
        <v>360</v>
      </c>
      <c r="D116" s="902"/>
      <c r="E116" s="902"/>
      <c r="F116" s="902"/>
      <c r="G116" s="902"/>
      <c r="H116" s="902"/>
      <c r="I116" s="902"/>
      <c r="J116" s="903"/>
      <c r="K116" s="197" t="s">
        <v>331</v>
      </c>
      <c r="L116" s="195">
        <v>15</v>
      </c>
      <c r="N116" s="46" t="s">
        <v>30</v>
      </c>
      <c r="O116" s="195">
        <v>15</v>
      </c>
    </row>
    <row r="117" spans="1:15" ht="30" customHeight="1" x14ac:dyDescent="0.2">
      <c r="A117" s="24"/>
      <c r="B117" s="1109"/>
      <c r="C117" s="903" t="s">
        <v>790</v>
      </c>
      <c r="D117" s="1063"/>
      <c r="E117" s="1063"/>
      <c r="F117" s="1063"/>
      <c r="G117" s="1063"/>
      <c r="H117" s="1063"/>
      <c r="I117" s="74">
        <v>0</v>
      </c>
      <c r="J117" s="75">
        <v>1</v>
      </c>
      <c r="K117" s="197" t="s">
        <v>331</v>
      </c>
      <c r="L117" s="195">
        <v>15</v>
      </c>
      <c r="N117" s="122"/>
      <c r="O117" s="195">
        <v>15</v>
      </c>
    </row>
    <row r="118" spans="1:15" ht="30" customHeight="1" x14ac:dyDescent="0.2">
      <c r="B118" s="96" t="s">
        <v>701</v>
      </c>
      <c r="C118" s="901" t="s">
        <v>802</v>
      </c>
      <c r="D118" s="902"/>
      <c r="E118" s="902"/>
      <c r="F118" s="902"/>
      <c r="G118" s="902"/>
      <c r="H118" s="903"/>
      <c r="I118" s="74">
        <v>0</v>
      </c>
      <c r="J118" s="75">
        <v>0.75</v>
      </c>
      <c r="K118" s="197" t="s">
        <v>331</v>
      </c>
      <c r="L118" s="195">
        <v>15</v>
      </c>
      <c r="N118" s="46" t="s">
        <v>30</v>
      </c>
      <c r="O118" s="195">
        <v>15</v>
      </c>
    </row>
    <row r="119" spans="1:15" ht="42" customHeight="1" x14ac:dyDescent="0.2">
      <c r="B119" s="867" t="s">
        <v>361</v>
      </c>
      <c r="C119" s="868"/>
      <c r="D119" s="868"/>
      <c r="E119" s="868"/>
      <c r="F119" s="868"/>
      <c r="G119" s="868"/>
      <c r="H119" s="868"/>
      <c r="I119" s="868"/>
      <c r="J119" s="869"/>
      <c r="K119" s="197" t="s">
        <v>331</v>
      </c>
      <c r="L119" s="195">
        <v>15</v>
      </c>
      <c r="N119" s="46" t="s">
        <v>30</v>
      </c>
      <c r="O119" s="195">
        <v>15</v>
      </c>
    </row>
    <row r="120" spans="1:15" ht="20.100000000000001" customHeight="1" x14ac:dyDescent="0.2">
      <c r="A120" s="24"/>
      <c r="B120" s="62"/>
      <c r="C120" s="192"/>
      <c r="D120" s="192"/>
      <c r="E120" s="192"/>
      <c r="F120" s="192"/>
      <c r="G120" s="192"/>
      <c r="H120" s="192"/>
      <c r="I120" s="64"/>
      <c r="J120" s="65"/>
    </row>
    <row r="121" spans="1:15" ht="30" customHeight="1" x14ac:dyDescent="0.2">
      <c r="A121" s="24"/>
      <c r="B121" s="855" t="s">
        <v>489</v>
      </c>
      <c r="C121" s="856"/>
      <c r="D121" s="856"/>
      <c r="E121" s="856"/>
      <c r="F121" s="856"/>
      <c r="G121" s="856"/>
      <c r="H121" s="856"/>
      <c r="I121" s="856"/>
      <c r="J121" s="857"/>
      <c r="M121" s="431" t="s">
        <v>757</v>
      </c>
      <c r="N121" s="46" t="s">
        <v>30</v>
      </c>
    </row>
    <row r="122" spans="1:15" ht="54" customHeight="1" x14ac:dyDescent="0.2">
      <c r="A122" s="24"/>
      <c r="B122" s="901" t="s">
        <v>671</v>
      </c>
      <c r="C122" s="902"/>
      <c r="D122" s="902"/>
      <c r="E122" s="902"/>
      <c r="F122" s="902"/>
      <c r="G122" s="902"/>
      <c r="H122" s="902"/>
      <c r="I122" s="902"/>
      <c r="J122" s="903"/>
      <c r="M122" s="431" t="s">
        <v>757</v>
      </c>
    </row>
    <row r="123" spans="1:15" ht="20.100000000000001" customHeight="1" x14ac:dyDescent="0.2">
      <c r="A123" s="24"/>
      <c r="B123" s="62"/>
      <c r="C123" s="192"/>
      <c r="D123" s="192"/>
      <c r="E123" s="192"/>
      <c r="F123" s="192"/>
      <c r="G123" s="192"/>
      <c r="H123" s="192"/>
      <c r="I123" s="64"/>
      <c r="J123" s="65"/>
      <c r="M123" s="431" t="s">
        <v>757</v>
      </c>
    </row>
    <row r="124" spans="1:15" ht="30" customHeight="1" x14ac:dyDescent="0.2">
      <c r="A124" s="24"/>
      <c r="B124" s="855" t="s">
        <v>491</v>
      </c>
      <c r="C124" s="856"/>
      <c r="D124" s="856"/>
      <c r="E124" s="856"/>
      <c r="F124" s="856"/>
      <c r="G124" s="856"/>
      <c r="H124" s="856"/>
      <c r="I124" s="856"/>
      <c r="J124" s="857"/>
      <c r="M124" s="431" t="s">
        <v>757</v>
      </c>
      <c r="N124" s="46" t="s">
        <v>30</v>
      </c>
    </row>
    <row r="125" spans="1:15" ht="40.5" customHeight="1" x14ac:dyDescent="0.2">
      <c r="A125" s="24"/>
      <c r="B125" s="901" t="s">
        <v>672</v>
      </c>
      <c r="C125" s="902"/>
      <c r="D125" s="902"/>
      <c r="E125" s="902"/>
      <c r="F125" s="902"/>
      <c r="G125" s="902"/>
      <c r="H125" s="902"/>
      <c r="I125" s="902"/>
      <c r="J125" s="903"/>
      <c r="M125" s="431" t="s">
        <v>757</v>
      </c>
    </row>
    <row r="126" spans="1:15" ht="20.100000000000001" customHeight="1" x14ac:dyDescent="0.2">
      <c r="A126" s="24"/>
      <c r="B126" s="62"/>
      <c r="C126" s="192"/>
      <c r="D126" s="192"/>
      <c r="E126" s="192"/>
      <c r="F126" s="192"/>
      <c r="G126" s="192"/>
      <c r="H126" s="192"/>
      <c r="I126" s="64"/>
      <c r="J126" s="65"/>
      <c r="M126" s="431" t="s">
        <v>757</v>
      </c>
    </row>
    <row r="127" spans="1:15" ht="30" customHeight="1" x14ac:dyDescent="0.2">
      <c r="A127" s="24"/>
      <c r="B127" s="855" t="s">
        <v>493</v>
      </c>
      <c r="C127" s="856"/>
      <c r="D127" s="856"/>
      <c r="E127" s="856"/>
      <c r="F127" s="856"/>
      <c r="G127" s="856"/>
      <c r="H127" s="856"/>
      <c r="I127" s="856"/>
      <c r="J127" s="857"/>
      <c r="M127" s="431" t="s">
        <v>757</v>
      </c>
      <c r="N127" s="46" t="s">
        <v>30</v>
      </c>
    </row>
    <row r="128" spans="1:15" ht="42" customHeight="1" x14ac:dyDescent="0.2">
      <c r="A128" s="24"/>
      <c r="B128" s="901" t="s">
        <v>494</v>
      </c>
      <c r="C128" s="902"/>
      <c r="D128" s="902"/>
      <c r="E128" s="902"/>
      <c r="F128" s="902"/>
      <c r="G128" s="902"/>
      <c r="H128" s="902"/>
      <c r="I128" s="902"/>
      <c r="J128" s="903"/>
      <c r="M128" s="431" t="s">
        <v>757</v>
      </c>
    </row>
    <row r="129" spans="1:15" ht="20.100000000000001" customHeight="1" x14ac:dyDescent="0.2">
      <c r="A129" s="24"/>
      <c r="B129" s="62"/>
      <c r="C129" s="192"/>
      <c r="D129" s="192"/>
      <c r="E129" s="192"/>
      <c r="F129" s="192"/>
      <c r="G129" s="192"/>
      <c r="H129" s="192"/>
      <c r="I129" s="64"/>
      <c r="J129" s="65"/>
      <c r="M129" s="431" t="s">
        <v>757</v>
      </c>
    </row>
    <row r="130" spans="1:15" ht="30" customHeight="1" x14ac:dyDescent="0.2">
      <c r="A130" s="24"/>
      <c r="B130" s="1603" t="s">
        <v>857</v>
      </c>
      <c r="C130" s="1603"/>
      <c r="D130" s="1603"/>
      <c r="E130" s="1603"/>
      <c r="F130" s="1603"/>
      <c r="G130" s="1603"/>
      <c r="H130" s="1603"/>
      <c r="I130" s="1603"/>
      <c r="J130" s="1603"/>
      <c r="N130" s="46" t="s">
        <v>30</v>
      </c>
    </row>
    <row r="131" spans="1:15" ht="54.95" customHeight="1" x14ac:dyDescent="0.2">
      <c r="A131" s="24"/>
      <c r="B131" s="901" t="s">
        <v>674</v>
      </c>
      <c r="C131" s="902"/>
      <c r="D131" s="902"/>
      <c r="E131" s="902"/>
      <c r="F131" s="902"/>
      <c r="G131" s="902"/>
      <c r="H131" s="902"/>
      <c r="I131" s="902"/>
      <c r="J131" s="903"/>
      <c r="K131" s="272"/>
      <c r="L131" s="272"/>
      <c r="O131" s="272"/>
    </row>
    <row r="132" spans="1:15" ht="20.100000000000001" customHeight="1" x14ac:dyDescent="0.2">
      <c r="A132" s="24"/>
      <c r="B132" s="31"/>
      <c r="C132" s="31"/>
      <c r="D132" s="31"/>
      <c r="E132" s="31"/>
      <c r="F132" s="31"/>
      <c r="G132" s="31"/>
      <c r="H132" s="31"/>
      <c r="I132" s="32"/>
      <c r="J132" s="33"/>
    </row>
    <row r="133" spans="1:15" ht="30" customHeight="1" x14ac:dyDescent="0.2">
      <c r="A133" s="24"/>
      <c r="B133" s="1600" t="s">
        <v>804</v>
      </c>
      <c r="C133" s="1601"/>
      <c r="D133" s="1601"/>
      <c r="E133" s="1601"/>
      <c r="F133" s="1601"/>
      <c r="G133" s="1601"/>
      <c r="H133" s="1601"/>
      <c r="I133" s="34" t="s">
        <v>229</v>
      </c>
      <c r="J133" s="35" t="s">
        <v>18</v>
      </c>
      <c r="K133" s="194" t="s">
        <v>805</v>
      </c>
      <c r="L133" s="195">
        <v>34</v>
      </c>
      <c r="N133" s="46" t="s">
        <v>30</v>
      </c>
      <c r="O133" s="195">
        <v>34</v>
      </c>
    </row>
    <row r="134" spans="1:15" ht="30" customHeight="1" x14ac:dyDescent="0.2">
      <c r="A134" s="24"/>
      <c r="B134" s="1370" t="s">
        <v>806</v>
      </c>
      <c r="C134" s="1371"/>
      <c r="D134" s="1371"/>
      <c r="E134" s="1371"/>
      <c r="F134" s="1371"/>
      <c r="G134" s="1371"/>
      <c r="H134" s="1371"/>
      <c r="I134" s="1371"/>
      <c r="J134" s="1372"/>
      <c r="K134" s="194" t="s">
        <v>805</v>
      </c>
      <c r="L134" s="195">
        <v>34</v>
      </c>
      <c r="O134" s="195">
        <v>34</v>
      </c>
    </row>
    <row r="135" spans="1:15" ht="90" customHeight="1" x14ac:dyDescent="0.2">
      <c r="A135" s="24"/>
      <c r="B135" s="400"/>
      <c r="C135" s="1050" t="s">
        <v>865</v>
      </c>
      <c r="D135" s="1050"/>
      <c r="E135" s="1050"/>
      <c r="F135" s="1050"/>
      <c r="G135" s="1050"/>
      <c r="H135" s="1050"/>
      <c r="I135" s="61">
        <v>0</v>
      </c>
      <c r="J135" s="42">
        <v>1</v>
      </c>
      <c r="K135" s="194" t="s">
        <v>805</v>
      </c>
      <c r="L135" s="195">
        <v>34</v>
      </c>
      <c r="O135" s="195">
        <v>34</v>
      </c>
    </row>
    <row r="136" spans="1:15" ht="20.100000000000001" customHeight="1" x14ac:dyDescent="0.2">
      <c r="A136" s="24"/>
      <c r="B136" s="62"/>
      <c r="C136" s="192"/>
      <c r="D136" s="192"/>
      <c r="E136" s="192"/>
      <c r="F136" s="192"/>
      <c r="G136" s="192"/>
      <c r="H136" s="192"/>
      <c r="I136" s="127"/>
      <c r="J136" s="128"/>
      <c r="K136" s="272"/>
      <c r="L136" s="272"/>
      <c r="O136" s="272"/>
    </row>
    <row r="137" spans="1:15" ht="30" customHeight="1" x14ac:dyDescent="0.2">
      <c r="A137" s="24"/>
      <c r="B137" s="1341" t="s">
        <v>737</v>
      </c>
      <c r="C137" s="1342"/>
      <c r="D137" s="1342"/>
      <c r="E137" s="1342"/>
      <c r="F137" s="1342"/>
      <c r="G137" s="1342"/>
      <c r="H137" s="1343"/>
      <c r="I137" s="34" t="s">
        <v>229</v>
      </c>
      <c r="J137" s="193" t="s">
        <v>18</v>
      </c>
      <c r="K137" s="194" t="s">
        <v>738</v>
      </c>
      <c r="L137" s="195">
        <v>31</v>
      </c>
      <c r="N137" s="46" t="s">
        <v>30</v>
      </c>
      <c r="O137" s="195">
        <v>31</v>
      </c>
    </row>
    <row r="138" spans="1:15" ht="72" customHeight="1" x14ac:dyDescent="0.2">
      <c r="A138" s="24"/>
      <c r="B138" s="1023" t="s">
        <v>866</v>
      </c>
      <c r="C138" s="1024"/>
      <c r="D138" s="1024"/>
      <c r="E138" s="1024"/>
      <c r="F138" s="1024"/>
      <c r="G138" s="1024"/>
      <c r="H138" s="1025"/>
      <c r="I138" s="116">
        <v>0</v>
      </c>
      <c r="J138" s="199">
        <v>1</v>
      </c>
      <c r="K138" s="194" t="s">
        <v>738</v>
      </c>
      <c r="L138" s="195">
        <v>31</v>
      </c>
      <c r="O138" s="195">
        <v>31</v>
      </c>
    </row>
    <row r="139" spans="1:15" ht="20.100000000000001" customHeight="1" x14ac:dyDescent="0.2">
      <c r="A139" s="24"/>
      <c r="B139" s="31"/>
      <c r="C139" s="31"/>
      <c r="D139" s="31"/>
      <c r="E139" s="31"/>
      <c r="F139" s="31"/>
      <c r="G139" s="31"/>
      <c r="H139" s="31"/>
      <c r="I139" s="32"/>
      <c r="J139" s="33"/>
    </row>
    <row r="140" spans="1:15" ht="30" customHeight="1" x14ac:dyDescent="0.2">
      <c r="A140" s="24"/>
      <c r="B140" s="1603" t="s">
        <v>859</v>
      </c>
      <c r="C140" s="1603"/>
      <c r="D140" s="1603"/>
      <c r="E140" s="1603"/>
      <c r="F140" s="1603"/>
      <c r="G140" s="1603"/>
      <c r="H140" s="1603"/>
      <c r="I140" s="1603"/>
      <c r="J140" s="1603"/>
      <c r="K140" s="272"/>
      <c r="L140" s="272"/>
      <c r="N140" s="46" t="s">
        <v>30</v>
      </c>
      <c r="O140" s="272"/>
    </row>
    <row r="141" spans="1:15" ht="20.100000000000001" customHeight="1" x14ac:dyDescent="0.2">
      <c r="A141" s="24"/>
      <c r="B141" s="31"/>
      <c r="C141" s="31"/>
      <c r="D141" s="31"/>
      <c r="E141" s="31"/>
      <c r="F141" s="31"/>
      <c r="G141" s="31"/>
      <c r="H141" s="31"/>
      <c r="I141" s="32"/>
      <c r="J141" s="33"/>
    </row>
    <row r="142" spans="1:15" ht="30" customHeight="1" x14ac:dyDescent="0.2">
      <c r="A142" s="24"/>
      <c r="B142" s="1223" t="s">
        <v>810</v>
      </c>
      <c r="C142" s="1223"/>
      <c r="D142" s="1223"/>
      <c r="E142" s="1223"/>
      <c r="F142" s="1223"/>
      <c r="G142" s="1223"/>
      <c r="H142" s="1223"/>
      <c r="I142" s="1223"/>
      <c r="J142" s="1223"/>
    </row>
    <row r="143" spans="1:15" ht="20.100000000000001" customHeight="1" x14ac:dyDescent="0.2">
      <c r="A143" s="24"/>
      <c r="B143" s="277"/>
    </row>
    <row r="144" spans="1:15" ht="24.95" customHeight="1" x14ac:dyDescent="0.2">
      <c r="A144" s="24"/>
      <c r="B144" s="907" t="s">
        <v>523</v>
      </c>
      <c r="C144" s="908"/>
      <c r="D144" s="908"/>
      <c r="E144" s="907" t="s">
        <v>750</v>
      </c>
      <c r="F144" s="909"/>
    </row>
    <row r="145" spans="1:15" ht="24.95" customHeight="1" x14ac:dyDescent="0.2">
      <c r="A145" s="24"/>
      <c r="B145" s="912" t="s">
        <v>525</v>
      </c>
      <c r="C145" s="913"/>
      <c r="D145" s="913"/>
      <c r="E145" s="910"/>
      <c r="F145" s="911"/>
      <c r="G145" s="914"/>
      <c r="H145" s="914"/>
      <c r="I145" s="914"/>
      <c r="J145" s="914"/>
    </row>
    <row r="146" spans="1:15" ht="24.95" customHeight="1" x14ac:dyDescent="0.2">
      <c r="A146" s="24"/>
      <c r="B146" s="1592" t="s">
        <v>840</v>
      </c>
      <c r="C146" s="1593"/>
      <c r="D146" s="1593"/>
      <c r="E146" s="1334">
        <v>38.917416428326874</v>
      </c>
      <c r="F146" s="1335"/>
      <c r="G146" s="278"/>
      <c r="H146" s="279"/>
      <c r="I146" s="893"/>
      <c r="J146" s="893"/>
    </row>
    <row r="147" spans="1:15" ht="20.100000000000001" customHeight="1" x14ac:dyDescent="0.2">
      <c r="A147" s="24"/>
      <c r="B147" s="47"/>
      <c r="C147" s="47"/>
      <c r="D147" s="47"/>
      <c r="E147" s="282"/>
      <c r="F147" s="282"/>
      <c r="G147" s="283"/>
      <c r="H147" s="283"/>
      <c r="I147" s="284"/>
      <c r="J147" s="281"/>
    </row>
    <row r="148" spans="1:15" ht="30" customHeight="1" x14ac:dyDescent="0.2">
      <c r="A148" s="24"/>
      <c r="B148" s="855" t="s">
        <v>527</v>
      </c>
      <c r="C148" s="856"/>
      <c r="D148" s="856"/>
      <c r="E148" s="856"/>
      <c r="F148" s="856"/>
      <c r="G148" s="856"/>
      <c r="H148" s="856"/>
      <c r="I148" s="856"/>
      <c r="J148" s="857"/>
      <c r="N148" s="46" t="s">
        <v>30</v>
      </c>
    </row>
    <row r="149" spans="1:15" ht="20.100000000000001" customHeight="1" x14ac:dyDescent="0.2">
      <c r="A149" s="24"/>
    </row>
    <row r="150" spans="1:15" ht="24.95" customHeight="1" x14ac:dyDescent="0.2">
      <c r="A150" s="24"/>
      <c r="B150" s="881" t="s">
        <v>529</v>
      </c>
      <c r="C150" s="881"/>
      <c r="D150" s="881"/>
      <c r="E150" s="881" t="s">
        <v>530</v>
      </c>
      <c r="F150" s="881"/>
      <c r="G150" s="285" t="s">
        <v>531</v>
      </c>
      <c r="H150" s="881" t="s">
        <v>532</v>
      </c>
      <c r="I150" s="881"/>
      <c r="J150" s="881"/>
      <c r="N150" s="46" t="s">
        <v>30</v>
      </c>
    </row>
    <row r="151" spans="1:15" ht="24.95" customHeight="1" x14ac:dyDescent="0.2">
      <c r="A151" s="24"/>
      <c r="B151" s="286" t="s">
        <v>533</v>
      </c>
      <c r="C151" s="287">
        <v>0.75</v>
      </c>
      <c r="D151" s="288"/>
      <c r="E151" s="885" t="s">
        <v>534</v>
      </c>
      <c r="F151" s="885"/>
      <c r="G151" s="289" t="s">
        <v>534</v>
      </c>
      <c r="H151" s="878" t="s">
        <v>534</v>
      </c>
      <c r="I151" s="878"/>
      <c r="J151" s="878"/>
    </row>
    <row r="152" spans="1:15" ht="24.95" customHeight="1" x14ac:dyDescent="0.2">
      <c r="A152" s="24"/>
      <c r="B152" s="290">
        <v>0.75</v>
      </c>
      <c r="C152" s="291" t="s">
        <v>535</v>
      </c>
      <c r="D152" s="288"/>
      <c r="E152" s="878" t="s">
        <v>536</v>
      </c>
      <c r="F152" s="878"/>
      <c r="G152" s="289" t="s">
        <v>534</v>
      </c>
      <c r="H152" s="292" t="s">
        <v>537</v>
      </c>
      <c r="I152" s="293">
        <v>0.75</v>
      </c>
      <c r="J152" s="294"/>
    </row>
    <row r="153" spans="1:15" ht="24.95" customHeight="1" x14ac:dyDescent="0.2">
      <c r="A153" s="24"/>
      <c r="B153" s="879" t="s">
        <v>538</v>
      </c>
      <c r="C153" s="879"/>
      <c r="D153" s="879"/>
      <c r="E153" s="878" t="s">
        <v>536</v>
      </c>
      <c r="F153" s="878"/>
      <c r="G153" s="289" t="s">
        <v>539</v>
      </c>
      <c r="H153" s="292" t="s">
        <v>540</v>
      </c>
      <c r="I153" s="293">
        <v>0.75</v>
      </c>
      <c r="J153" s="295" t="s">
        <v>541</v>
      </c>
    </row>
    <row r="154" spans="1:15" ht="24.95" customHeight="1" x14ac:dyDescent="0.2">
      <c r="A154" s="24"/>
      <c r="B154" s="879" t="s">
        <v>542</v>
      </c>
      <c r="C154" s="879"/>
      <c r="D154" s="879"/>
      <c r="E154" s="878" t="s">
        <v>536</v>
      </c>
      <c r="F154" s="878"/>
      <c r="G154" s="289" t="s">
        <v>543</v>
      </c>
      <c r="H154" s="292" t="s">
        <v>540</v>
      </c>
      <c r="I154" s="293">
        <v>0.75</v>
      </c>
      <c r="J154" s="295" t="s">
        <v>544</v>
      </c>
    </row>
    <row r="155" spans="1:15" ht="20.100000000000001" customHeight="1" x14ac:dyDescent="0.2">
      <c r="A155" s="24"/>
      <c r="B155" s="505"/>
      <c r="C155" s="506"/>
      <c r="D155" s="506"/>
      <c r="E155" s="507"/>
      <c r="F155" s="507"/>
      <c r="G155" s="507"/>
      <c r="H155" s="507"/>
      <c r="I155" s="508"/>
      <c r="J155" s="509"/>
      <c r="N155" s="46" t="s">
        <v>30</v>
      </c>
    </row>
    <row r="156" spans="1:15" ht="135" customHeight="1" x14ac:dyDescent="0.2">
      <c r="A156" s="24"/>
      <c r="B156" s="920" t="s">
        <v>751</v>
      </c>
      <c r="C156" s="1590"/>
      <c r="D156" s="1590"/>
      <c r="E156" s="1590"/>
      <c r="F156" s="1590"/>
      <c r="G156" s="1590"/>
      <c r="H156" s="1590"/>
      <c r="I156" s="1590"/>
      <c r="J156" s="1591"/>
    </row>
    <row r="157" spans="1:15" ht="35.1" customHeight="1" x14ac:dyDescent="0.2">
      <c r="A157" s="24"/>
      <c r="B157" s="298" t="s">
        <v>546</v>
      </c>
      <c r="C157" s="299"/>
      <c r="D157" s="299"/>
      <c r="E157" s="300"/>
      <c r="F157" s="300"/>
      <c r="G157" s="300"/>
      <c r="H157" s="300"/>
      <c r="I157" s="301"/>
      <c r="J157" s="302"/>
      <c r="N157" s="46" t="s">
        <v>30</v>
      </c>
    </row>
    <row r="158" spans="1:15" ht="50.1" customHeight="1" x14ac:dyDescent="0.2">
      <c r="A158" s="24"/>
      <c r="B158" s="303"/>
      <c r="C158" s="304"/>
      <c r="D158" s="161"/>
      <c r="E158" s="305" t="s">
        <v>547</v>
      </c>
      <c r="F158" s="306" t="s">
        <v>548</v>
      </c>
      <c r="G158" s="307"/>
      <c r="H158" s="308"/>
      <c r="I158" s="284"/>
      <c r="J158" s="309"/>
      <c r="K158" s="402"/>
      <c r="L158" s="402"/>
      <c r="M158" s="415"/>
      <c r="O158" s="402"/>
    </row>
    <row r="159" spans="1:15" ht="110.1" customHeight="1" x14ac:dyDescent="0.2">
      <c r="A159" s="24"/>
      <c r="B159" s="130"/>
      <c r="C159" s="131"/>
      <c r="D159" s="870" t="s">
        <v>549</v>
      </c>
      <c r="E159" s="870"/>
      <c r="F159" s="870"/>
      <c r="G159" s="870"/>
      <c r="H159" s="870"/>
      <c r="I159" s="870"/>
      <c r="J159" s="871"/>
    </row>
    <row r="160" spans="1:15" ht="20.100000000000001" customHeight="1" x14ac:dyDescent="0.2">
      <c r="A160" s="24"/>
    </row>
    <row r="161" spans="1:14" ht="30" customHeight="1" x14ac:dyDescent="0.2">
      <c r="A161" s="24"/>
      <c r="B161" s="855" t="s">
        <v>860</v>
      </c>
      <c r="C161" s="856"/>
      <c r="D161" s="856"/>
      <c r="E161" s="856"/>
      <c r="F161" s="856"/>
      <c r="G161" s="856"/>
      <c r="H161" s="856"/>
      <c r="I161" s="856"/>
      <c r="J161" s="857"/>
      <c r="N161" s="46" t="s">
        <v>30</v>
      </c>
    </row>
    <row r="162" spans="1:14" ht="12" customHeight="1" x14ac:dyDescent="0.2">
      <c r="A162" s="24"/>
      <c r="B162" s="314"/>
      <c r="C162" s="314"/>
      <c r="D162" s="314"/>
      <c r="E162" s="314"/>
      <c r="F162" s="314"/>
      <c r="G162" s="314"/>
      <c r="H162" s="314"/>
      <c r="I162" s="315"/>
      <c r="J162" s="316"/>
    </row>
    <row r="163" spans="1:14" ht="24.95" customHeight="1" x14ac:dyDescent="0.2">
      <c r="A163" s="24"/>
      <c r="B163" s="422" t="s">
        <v>753</v>
      </c>
      <c r="C163" s="423"/>
      <c r="D163" s="424"/>
      <c r="E163" s="424"/>
      <c r="F163" s="424"/>
      <c r="G163" s="424"/>
      <c r="H163" s="424"/>
      <c r="I163" s="425"/>
      <c r="J163" s="457"/>
    </row>
    <row r="164" spans="1:14" ht="12" customHeight="1" x14ac:dyDescent="0.2">
      <c r="A164" s="24"/>
      <c r="B164" s="427"/>
      <c r="C164" s="47"/>
      <c r="D164" s="47"/>
      <c r="E164" s="47"/>
      <c r="F164" s="47"/>
      <c r="G164" s="47"/>
      <c r="H164" s="47"/>
      <c r="I164" s="284"/>
      <c r="J164" s="281"/>
    </row>
    <row r="165" spans="1:14" ht="30" customHeight="1" x14ac:dyDescent="0.2">
      <c r="A165" s="24"/>
      <c r="B165" s="855" t="s">
        <v>861</v>
      </c>
      <c r="C165" s="856"/>
      <c r="D165" s="856"/>
      <c r="E165" s="856"/>
      <c r="F165" s="856"/>
      <c r="G165" s="856"/>
      <c r="H165" s="856"/>
      <c r="I165" s="856"/>
      <c r="J165" s="857"/>
      <c r="N165" s="46" t="s">
        <v>30</v>
      </c>
    </row>
    <row r="166" spans="1:14" ht="12" customHeight="1" x14ac:dyDescent="0.2">
      <c r="A166" s="24"/>
      <c r="B166" s="314"/>
      <c r="C166" s="314"/>
      <c r="D166" s="314"/>
      <c r="E166" s="314"/>
      <c r="F166" s="314"/>
      <c r="G166" s="314"/>
      <c r="H166" s="314"/>
      <c r="I166" s="314"/>
      <c r="J166" s="316"/>
    </row>
    <row r="167" spans="1:14" ht="24.95" customHeight="1" x14ac:dyDescent="0.2">
      <c r="A167" s="24"/>
      <c r="B167" s="864" t="s">
        <v>559</v>
      </c>
      <c r="C167" s="865"/>
      <c r="D167" s="865"/>
      <c r="E167" s="865"/>
      <c r="F167" s="865"/>
      <c r="G167" s="865"/>
      <c r="H167" s="865"/>
      <c r="I167" s="865"/>
      <c r="J167" s="866"/>
    </row>
    <row r="168" spans="1:14" ht="12" customHeight="1" x14ac:dyDescent="0.2">
      <c r="A168" s="24"/>
      <c r="B168" s="47"/>
      <c r="C168" s="47"/>
      <c r="D168" s="47"/>
      <c r="E168" s="47"/>
      <c r="F168" s="47"/>
      <c r="G168" s="47"/>
      <c r="H168" s="47"/>
      <c r="I168" s="284"/>
      <c r="J168" s="281"/>
    </row>
    <row r="169" spans="1:14" ht="84.95" customHeight="1" x14ac:dyDescent="0.2">
      <c r="A169" s="24"/>
      <c r="B169" s="867" t="s">
        <v>560</v>
      </c>
      <c r="C169" s="868"/>
      <c r="D169" s="868"/>
      <c r="E169" s="868"/>
      <c r="F169" s="868"/>
      <c r="G169" s="868"/>
      <c r="H169" s="868"/>
      <c r="I169" s="868"/>
      <c r="J169" s="869"/>
    </row>
  </sheetData>
  <mergeCells count="193">
    <mergeCell ref="B1:J1"/>
    <mergeCell ref="B3:J3"/>
    <mergeCell ref="B4:D4"/>
    <mergeCell ref="E4:J4"/>
    <mergeCell ref="B5:D5"/>
    <mergeCell ref="E5:J5"/>
    <mergeCell ref="B10:J10"/>
    <mergeCell ref="B11:J11"/>
    <mergeCell ref="B13:J13"/>
    <mergeCell ref="B14:J14"/>
    <mergeCell ref="B16:J16"/>
    <mergeCell ref="I18:J18"/>
    <mergeCell ref="B6:D6"/>
    <mergeCell ref="E6:F6"/>
    <mergeCell ref="H6:I6"/>
    <mergeCell ref="B7:D7"/>
    <mergeCell ref="E7:F7"/>
    <mergeCell ref="B8:J8"/>
    <mergeCell ref="E25:F25"/>
    <mergeCell ref="G25:H25"/>
    <mergeCell ref="C26:D26"/>
    <mergeCell ref="C27:H27"/>
    <mergeCell ref="C28:H28"/>
    <mergeCell ref="C29:H29"/>
    <mergeCell ref="B20:J20"/>
    <mergeCell ref="B22:H22"/>
    <mergeCell ref="B23:J23"/>
    <mergeCell ref="B24:B29"/>
    <mergeCell ref="C24:D24"/>
    <mergeCell ref="E24:F24"/>
    <mergeCell ref="G24:H24"/>
    <mergeCell ref="I24:I29"/>
    <mergeCell ref="J24:J29"/>
    <mergeCell ref="C25:D25"/>
    <mergeCell ref="B38:J38"/>
    <mergeCell ref="B39:B40"/>
    <mergeCell ref="C39:D39"/>
    <mergeCell ref="I39:I40"/>
    <mergeCell ref="J39:J40"/>
    <mergeCell ref="C40:H40"/>
    <mergeCell ref="C30:D30"/>
    <mergeCell ref="C31:H31"/>
    <mergeCell ref="B33:H33"/>
    <mergeCell ref="B34:J34"/>
    <mergeCell ref="C35:H35"/>
    <mergeCell ref="B37:H37"/>
    <mergeCell ref="C47:D47"/>
    <mergeCell ref="E47:F47"/>
    <mergeCell ref="C48:H48"/>
    <mergeCell ref="C49:H49"/>
    <mergeCell ref="C50:H50"/>
    <mergeCell ref="C51:D51"/>
    <mergeCell ref="C41:D41"/>
    <mergeCell ref="C42:H42"/>
    <mergeCell ref="B44:H44"/>
    <mergeCell ref="B45:J45"/>
    <mergeCell ref="B46:B50"/>
    <mergeCell ref="C46:D46"/>
    <mergeCell ref="E46:F46"/>
    <mergeCell ref="G46:H46"/>
    <mergeCell ref="I46:I50"/>
    <mergeCell ref="J46:J50"/>
    <mergeCell ref="C52:H52"/>
    <mergeCell ref="B54:H54"/>
    <mergeCell ref="B55:J55"/>
    <mergeCell ref="B56:J56"/>
    <mergeCell ref="B57:B59"/>
    <mergeCell ref="C57:D57"/>
    <mergeCell ref="E57:F57"/>
    <mergeCell ref="G57:H57"/>
    <mergeCell ref="I57:I59"/>
    <mergeCell ref="J57:J59"/>
    <mergeCell ref="J63:J65"/>
    <mergeCell ref="C64:D64"/>
    <mergeCell ref="C65:H65"/>
    <mergeCell ref="C66:D66"/>
    <mergeCell ref="C67:H67"/>
    <mergeCell ref="B69:H69"/>
    <mergeCell ref="C58:D58"/>
    <mergeCell ref="C59:H59"/>
    <mergeCell ref="C60:D60"/>
    <mergeCell ref="C61:H61"/>
    <mergeCell ref="B62:J62"/>
    <mergeCell ref="B63:B65"/>
    <mergeCell ref="C63:D63"/>
    <mergeCell ref="E63:F63"/>
    <mergeCell ref="G63:H63"/>
    <mergeCell ref="I63:I65"/>
    <mergeCell ref="C77:D77"/>
    <mergeCell ref="E77:F77"/>
    <mergeCell ref="G77:H77"/>
    <mergeCell ref="B78:B79"/>
    <mergeCell ref="C78:H78"/>
    <mergeCell ref="C79:D79"/>
    <mergeCell ref="E79:F79"/>
    <mergeCell ref="G79:H79"/>
    <mergeCell ref="B70:J70"/>
    <mergeCell ref="B71:J71"/>
    <mergeCell ref="B72:J72"/>
    <mergeCell ref="C73:H73"/>
    <mergeCell ref="B75:H75"/>
    <mergeCell ref="C76:H76"/>
    <mergeCell ref="B88:J88"/>
    <mergeCell ref="C89:H89"/>
    <mergeCell ref="C90:H90"/>
    <mergeCell ref="B91:J91"/>
    <mergeCell ref="C92:H92"/>
    <mergeCell ref="C93:H93"/>
    <mergeCell ref="B80:J80"/>
    <mergeCell ref="B82:H82"/>
    <mergeCell ref="C83:H83"/>
    <mergeCell ref="C84:H84"/>
    <mergeCell ref="B86:H86"/>
    <mergeCell ref="B87:J87"/>
    <mergeCell ref="B101:B102"/>
    <mergeCell ref="C101:J101"/>
    <mergeCell ref="C102:H102"/>
    <mergeCell ref="B103:B104"/>
    <mergeCell ref="C103:J103"/>
    <mergeCell ref="C104:H104"/>
    <mergeCell ref="B94:H94"/>
    <mergeCell ref="B95:J95"/>
    <mergeCell ref="C96:H96"/>
    <mergeCell ref="C97:H97"/>
    <mergeCell ref="B99:H99"/>
    <mergeCell ref="B100:J100"/>
    <mergeCell ref="I106:I107"/>
    <mergeCell ref="J106:J107"/>
    <mergeCell ref="C107:H107"/>
    <mergeCell ref="B108:B109"/>
    <mergeCell ref="C108:J108"/>
    <mergeCell ref="C109:H109"/>
    <mergeCell ref="C105:D105"/>
    <mergeCell ref="E105:F105"/>
    <mergeCell ref="G105:H105"/>
    <mergeCell ref="B106:B107"/>
    <mergeCell ref="C106:D106"/>
    <mergeCell ref="E106:F106"/>
    <mergeCell ref="G106:H106"/>
    <mergeCell ref="B116:B117"/>
    <mergeCell ref="C116:J116"/>
    <mergeCell ref="C117:H117"/>
    <mergeCell ref="C118:H118"/>
    <mergeCell ref="B119:J119"/>
    <mergeCell ref="B121:J121"/>
    <mergeCell ref="B110:B115"/>
    <mergeCell ref="C110:H110"/>
    <mergeCell ref="I110:I114"/>
    <mergeCell ref="J110:J114"/>
    <mergeCell ref="C111:H111"/>
    <mergeCell ref="C112:H112"/>
    <mergeCell ref="C113:H113"/>
    <mergeCell ref="C114:H114"/>
    <mergeCell ref="C115:H115"/>
    <mergeCell ref="B131:J131"/>
    <mergeCell ref="B133:H133"/>
    <mergeCell ref="B134:J134"/>
    <mergeCell ref="C135:H135"/>
    <mergeCell ref="B137:H137"/>
    <mergeCell ref="B138:H138"/>
    <mergeCell ref="B122:J122"/>
    <mergeCell ref="B124:J124"/>
    <mergeCell ref="B125:J125"/>
    <mergeCell ref="B127:J127"/>
    <mergeCell ref="B128:J128"/>
    <mergeCell ref="B130:J130"/>
    <mergeCell ref="B146:D146"/>
    <mergeCell ref="E146:F146"/>
    <mergeCell ref="I146:J146"/>
    <mergeCell ref="B148:J148"/>
    <mergeCell ref="B150:D150"/>
    <mergeCell ref="E150:F150"/>
    <mergeCell ref="H150:J150"/>
    <mergeCell ref="B140:J140"/>
    <mergeCell ref="B142:J142"/>
    <mergeCell ref="B144:D144"/>
    <mergeCell ref="E144:F145"/>
    <mergeCell ref="B145:D145"/>
    <mergeCell ref="G145:H145"/>
    <mergeCell ref="I145:J145"/>
    <mergeCell ref="B156:J156"/>
    <mergeCell ref="D159:J159"/>
    <mergeCell ref="B161:J161"/>
    <mergeCell ref="B165:J165"/>
    <mergeCell ref="B167:J167"/>
    <mergeCell ref="B169:J169"/>
    <mergeCell ref="E151:F151"/>
    <mergeCell ref="H151:J151"/>
    <mergeCell ref="E152:F152"/>
    <mergeCell ref="B153:D153"/>
    <mergeCell ref="E153:F153"/>
    <mergeCell ref="B154:D154"/>
    <mergeCell ref="E154:F154"/>
  </mergeCells>
  <conditionalFormatting sqref="I18:J18 E6:F6 J6 E4:J5">
    <cfRule type="containsBlanks" dxfId="12" priority="7" stopIfTrue="1">
      <formula>LEN(TRIM(E4))=0</formula>
    </cfRule>
  </conditionalFormatting>
  <conditionalFormatting sqref="E146:F146">
    <cfRule type="containsBlanks" dxfId="11" priority="6" stopIfTrue="1">
      <formula>LEN(TRIM(E146))=0</formula>
    </cfRule>
  </conditionalFormatting>
  <conditionalFormatting sqref="J6">
    <cfRule type="containsBlanks" dxfId="10" priority="5" stopIfTrue="1">
      <formula>LEN(TRIM(J6))=0</formula>
    </cfRule>
  </conditionalFormatting>
  <conditionalFormatting sqref="J6">
    <cfRule type="containsBlanks" dxfId="9" priority="4" stopIfTrue="1">
      <formula>LEN(TRIM(J6))=0</formula>
    </cfRule>
  </conditionalFormatting>
  <conditionalFormatting sqref="J6">
    <cfRule type="containsBlanks" dxfId="8" priority="3" stopIfTrue="1">
      <formula>LEN(TRIM(J6))=0</formula>
    </cfRule>
  </conditionalFormatting>
  <conditionalFormatting sqref="J6">
    <cfRule type="containsBlanks" dxfId="7" priority="2" stopIfTrue="1">
      <formula>LEN(TRIM(J6))=0</formula>
    </cfRule>
  </conditionalFormatting>
  <conditionalFormatting sqref="J6">
    <cfRule type="containsBlanks" dxfId="6" priority="1" stopIfTrue="1">
      <formula>LEN(TRIM(J6))=0</formula>
    </cfRule>
  </conditionalFormatting>
  <dataValidations count="8">
    <dataValidation allowBlank="1" showInputMessage="1" showErrorMessage="1" prompt="Ingresar Datos De FTPS" sqref="E4:E6 F6:J6"/>
    <dataValidation allowBlank="1" showInputMessage="1" showErrorMessage="1" prompt="Ingresar El tipo de  Plan: Hijastros, Padres, etc." sqref="B8:J8"/>
    <dataValidation allowBlank="1" showInputMessage="1" showErrorMessage="1" prompt="Modificar titulos de acuerdo a condiciones" sqref="B3:J3"/>
    <dataValidation allowBlank="1" showInputMessage="1" showErrorMessage="1" prompt="Verificar BMA" sqref="I18:J18"/>
    <dataValidation allowBlank="1" showInputMessage="1" showErrorMessage="1" prompt="Verificar tipo de Plan" sqref="B142:J142"/>
    <dataValidation errorStyle="warning" allowBlank="1" showInputMessage="1" showErrorMessage="1" errorTitle="Verificar Grupal o Etario" error="Verificar Grupal o Etario" prompt="Verificar Grupal o Etario" sqref="B146:D146"/>
    <dataValidation allowBlank="1" showInputMessage="1" showErrorMessage="1" prompt="Verificar Aportes" sqref="E146:F146"/>
    <dataValidation allowBlank="1" showInputMessage="1" showErrorMessage="1" prompt="Verificar Siniestralidad objetivo" sqref="B151:J154"/>
  </dataValidations>
  <printOptions horizontalCentered="1"/>
  <pageMargins left="0.39370078740157483" right="0.39370078740157483" top="1.7716535433070868" bottom="0.98425196850393704" header="0" footer="0"/>
  <pageSetup paperSize="9" scale="75" fitToHeight="0" orientation="portrait" r:id="rId1"/>
  <headerFooter alignWithMargins="0">
    <oddFooter>Página &amp;P de &amp;N</oddFooter>
  </headerFooter>
  <rowBreaks count="6" manualBreakCount="6">
    <brk id="30" max="16383" man="1"/>
    <brk id="53" max="16383" man="1"/>
    <brk id="77" max="16383" man="1"/>
    <brk id="104" max="16383" man="1"/>
    <brk id="126" max="16383" man="1"/>
    <brk id="154"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rgb="FFFF0000"/>
    <pageSetUpPr fitToPage="1"/>
  </sheetPr>
  <dimension ref="A1:AF676"/>
  <sheetViews>
    <sheetView showGridLines="0" view="pageBreakPreview" topLeftCell="B1" zoomScale="64" zoomScaleNormal="66" zoomScaleSheetLayoutView="64" workbookViewId="0">
      <selection activeCell="B8" sqref="B8:J8"/>
    </sheetView>
  </sheetViews>
  <sheetFormatPr baseColWidth="10" defaultColWidth="16.140625" defaultRowHeight="12.75" x14ac:dyDescent="0.2"/>
  <cols>
    <col min="1" max="1" width="16.7109375" style="66" hidden="1" customWidth="1"/>
    <col min="2" max="2" width="20.7109375" style="148" customWidth="1"/>
    <col min="3" max="5" width="14.28515625" style="148" customWidth="1"/>
    <col min="6" max="6" width="16.7109375" style="148" customWidth="1"/>
    <col min="7" max="8" width="14.28515625" style="148" customWidth="1"/>
    <col min="9" max="9" width="11.7109375" style="555" customWidth="1"/>
    <col min="10" max="10" width="11.7109375" style="234" customWidth="1"/>
    <col min="11" max="11" width="20.28515625" style="148" hidden="1" customWidth="1"/>
    <col min="12" max="12" width="16.140625" style="547" hidden="1" customWidth="1"/>
    <col min="13" max="13" width="16.140625" style="68" hidden="1" customWidth="1"/>
    <col min="14" max="14" width="16.140625" style="67" hidden="1" customWidth="1"/>
    <col min="15" max="15" width="16.140625" style="547" hidden="1" customWidth="1"/>
    <col min="16" max="16" width="16.140625" style="66" hidden="1" customWidth="1"/>
    <col min="17" max="17" width="16.140625" style="45" customWidth="1"/>
    <col min="18" max="16384" width="16.140625" style="45"/>
  </cols>
  <sheetData>
    <row r="1" spans="1:32" s="67" customFormat="1" ht="18.75" customHeight="1" x14ac:dyDescent="0.2">
      <c r="A1" s="66"/>
      <c r="B1" s="2004" t="s">
        <v>872</v>
      </c>
      <c r="C1" s="2004"/>
      <c r="D1" s="2004"/>
      <c r="E1" s="2004"/>
      <c r="F1" s="2004"/>
      <c r="G1" s="2004"/>
      <c r="H1" s="2004"/>
      <c r="I1" s="2004"/>
      <c r="J1" s="2004"/>
      <c r="K1" s="148"/>
      <c r="L1" s="547"/>
      <c r="M1" s="68"/>
      <c r="O1" s="547"/>
      <c r="P1" s="66"/>
      <c r="Q1" s="45"/>
      <c r="R1" s="45"/>
      <c r="S1" s="45"/>
      <c r="T1" s="45"/>
      <c r="U1" s="45"/>
      <c r="V1" s="45"/>
      <c r="W1" s="45"/>
      <c r="X1" s="45"/>
      <c r="Y1" s="45"/>
      <c r="Z1" s="45"/>
      <c r="AA1" s="45"/>
      <c r="AB1" s="45"/>
      <c r="AC1" s="45"/>
      <c r="AD1" s="45"/>
      <c r="AE1" s="45"/>
      <c r="AF1" s="45"/>
    </row>
    <row r="2" spans="1:32" s="67" customFormat="1" ht="18.75" customHeight="1" x14ac:dyDescent="0.2">
      <c r="A2" s="66"/>
      <c r="B2" s="548"/>
      <c r="C2" s="548"/>
      <c r="D2" s="548"/>
      <c r="E2" s="548"/>
      <c r="F2" s="548"/>
      <c r="G2" s="548"/>
      <c r="H2" s="548"/>
      <c r="I2" s="548"/>
      <c r="J2" s="459"/>
      <c r="K2" s="148"/>
      <c r="L2" s="547"/>
      <c r="M2" s="68"/>
      <c r="O2" s="547"/>
      <c r="P2" s="66"/>
      <c r="Q2" s="45"/>
      <c r="R2" s="45"/>
      <c r="S2" s="45"/>
      <c r="T2" s="45"/>
      <c r="U2" s="45"/>
      <c r="V2" s="45"/>
      <c r="W2" s="45"/>
      <c r="X2" s="45"/>
      <c r="Y2" s="45"/>
      <c r="Z2" s="45"/>
      <c r="AA2" s="45"/>
      <c r="AB2" s="45"/>
      <c r="AC2" s="45"/>
      <c r="AD2" s="45"/>
      <c r="AE2" s="45"/>
      <c r="AF2" s="45"/>
    </row>
    <row r="3" spans="1:32" s="67" customFormat="1" ht="20.100000000000001" customHeight="1" x14ac:dyDescent="0.2">
      <c r="A3" s="66"/>
      <c r="B3" s="2005" t="str">
        <f>+'[1]Hijos 18 a 25 Base Ces'!B8:J8</f>
        <v xml:space="preserve"> HIJOS DE CESANTES DE 18 A 28 AÑOS (INCLUSIVE)</v>
      </c>
      <c r="C3" s="2005"/>
      <c r="D3" s="2005"/>
      <c r="E3" s="2005"/>
      <c r="F3" s="2005"/>
      <c r="G3" s="2005"/>
      <c r="H3" s="2005"/>
      <c r="I3" s="2005"/>
      <c r="J3" s="2005"/>
      <c r="K3" s="549"/>
      <c r="L3" s="547"/>
      <c r="M3" s="550"/>
      <c r="O3" s="547"/>
      <c r="P3" s="66"/>
      <c r="Q3" s="45"/>
      <c r="R3" s="45"/>
      <c r="S3" s="45"/>
      <c r="T3" s="45"/>
      <c r="U3" s="45"/>
      <c r="V3" s="45"/>
      <c r="W3" s="45"/>
      <c r="X3" s="45"/>
      <c r="Y3" s="45"/>
      <c r="Z3" s="45"/>
      <c r="AA3" s="45"/>
      <c r="AB3" s="45"/>
      <c r="AC3" s="45"/>
      <c r="AD3" s="45"/>
      <c r="AE3" s="45"/>
      <c r="AF3" s="45"/>
    </row>
    <row r="4" spans="1:32" s="67" customFormat="1" ht="18.75" customHeight="1" x14ac:dyDescent="0.2">
      <c r="A4" s="66"/>
      <c r="B4" s="1998" t="s">
        <v>2</v>
      </c>
      <c r="C4" s="1998"/>
      <c r="D4" s="1998"/>
      <c r="E4" s="2000" t="str">
        <f>'[2]Datos CESANTES'!$K$27</f>
        <v>UNIVERSIDAD PERUANA DE CIENCIAS APLICADAS</v>
      </c>
      <c r="F4" s="2000"/>
      <c r="G4" s="2000"/>
      <c r="H4" s="2000"/>
      <c r="I4" s="2000"/>
      <c r="J4" s="2000"/>
      <c r="K4" s="551"/>
      <c r="L4" s="547"/>
      <c r="M4" s="550"/>
      <c r="O4" s="547"/>
      <c r="P4" s="66"/>
      <c r="Q4" s="45"/>
      <c r="R4" s="45"/>
      <c r="S4" s="45"/>
      <c r="T4" s="45"/>
      <c r="U4" s="45"/>
      <c r="V4" s="45"/>
      <c r="W4" s="45"/>
      <c r="X4" s="45"/>
      <c r="Y4" s="45"/>
      <c r="Z4" s="45"/>
      <c r="AA4" s="45"/>
      <c r="AB4" s="45"/>
      <c r="AC4" s="45"/>
      <c r="AD4" s="45"/>
      <c r="AE4" s="45"/>
      <c r="AF4" s="45"/>
    </row>
    <row r="5" spans="1:32" s="67" customFormat="1" ht="30.75" customHeight="1" x14ac:dyDescent="0.2">
      <c r="A5" s="66"/>
      <c r="B5" s="1998" t="s">
        <v>3</v>
      </c>
      <c r="C5" s="1998"/>
      <c r="D5" s="1998"/>
      <c r="E5" s="2006" t="str">
        <f>'[2]Datos CESANTES'!$K$28</f>
        <v>AV. EL DERBY 254 - SANTIAGO DE SURCO</v>
      </c>
      <c r="F5" s="2000"/>
      <c r="G5" s="2000"/>
      <c r="H5" s="2000"/>
      <c r="I5" s="2000"/>
      <c r="J5" s="2000"/>
      <c r="K5" s="551"/>
      <c r="L5" s="547"/>
      <c r="M5" s="550"/>
      <c r="O5" s="547"/>
      <c r="P5" s="66"/>
      <c r="Q5" s="45"/>
      <c r="R5" s="45"/>
      <c r="S5" s="45"/>
      <c r="T5" s="45"/>
      <c r="U5" s="45"/>
      <c r="V5" s="45"/>
      <c r="W5" s="45"/>
      <c r="X5" s="45"/>
      <c r="Y5" s="45"/>
      <c r="Z5" s="45"/>
      <c r="AA5" s="45"/>
      <c r="AB5" s="45"/>
      <c r="AC5" s="45"/>
      <c r="AD5" s="45"/>
      <c r="AE5" s="45"/>
      <c r="AF5" s="45"/>
    </row>
    <row r="6" spans="1:32" s="67" customFormat="1" ht="18.75" customHeight="1" x14ac:dyDescent="0.2">
      <c r="A6" s="66"/>
      <c r="B6" s="1998" t="s">
        <v>4</v>
      </c>
      <c r="C6" s="1998"/>
      <c r="D6" s="1998"/>
      <c r="E6" s="1999">
        <f>'[2]Datos CESANTES'!$K$29</f>
        <v>43922</v>
      </c>
      <c r="F6" s="2000"/>
      <c r="G6" s="552"/>
      <c r="H6" s="2001" t="s">
        <v>5</v>
      </c>
      <c r="I6" s="2001"/>
      <c r="J6" s="553">
        <f>'[2]Datos CESANTES'!$K$30</f>
        <v>231002</v>
      </c>
      <c r="K6" s="148"/>
      <c r="L6" s="547"/>
      <c r="M6" s="68"/>
      <c r="O6" s="547"/>
      <c r="P6" s="66"/>
      <c r="Q6" s="45"/>
      <c r="R6" s="45"/>
      <c r="S6" s="45"/>
      <c r="T6" s="45"/>
      <c r="U6" s="45"/>
      <c r="V6" s="45"/>
      <c r="W6" s="45"/>
      <c r="X6" s="45"/>
      <c r="Y6" s="45"/>
      <c r="Z6" s="45"/>
      <c r="AA6" s="45"/>
      <c r="AB6" s="45"/>
      <c r="AC6" s="45"/>
      <c r="AD6" s="45"/>
      <c r="AE6" s="45"/>
      <c r="AF6" s="45"/>
    </row>
    <row r="7" spans="1:32" s="67" customFormat="1" ht="20.100000000000001" customHeight="1" x14ac:dyDescent="0.2">
      <c r="A7" s="66"/>
      <c r="B7" s="1998"/>
      <c r="C7" s="1998"/>
      <c r="D7" s="1998"/>
      <c r="E7" s="2002"/>
      <c r="F7" s="2002"/>
      <c r="G7" s="554"/>
      <c r="H7" s="148"/>
      <c r="I7" s="555"/>
      <c r="J7" s="556"/>
      <c r="K7" s="148"/>
      <c r="L7" s="547"/>
      <c r="M7" s="68"/>
      <c r="O7" s="547"/>
      <c r="P7" s="66"/>
      <c r="Q7" s="45"/>
      <c r="R7" s="45"/>
      <c r="S7" s="45"/>
      <c r="T7" s="45"/>
      <c r="U7" s="45"/>
      <c r="V7" s="45"/>
      <c r="W7" s="45"/>
      <c r="X7" s="45"/>
      <c r="Y7" s="45"/>
      <c r="Z7" s="45"/>
      <c r="AA7" s="45"/>
      <c r="AB7" s="45"/>
      <c r="AC7" s="45"/>
      <c r="AD7" s="45"/>
      <c r="AE7" s="45"/>
      <c r="AF7" s="45"/>
    </row>
    <row r="8" spans="1:32" s="67" customFormat="1" ht="21" customHeight="1" x14ac:dyDescent="0.2">
      <c r="A8" s="66"/>
      <c r="B8" s="2003" t="s">
        <v>896</v>
      </c>
      <c r="C8" s="2003"/>
      <c r="D8" s="2003"/>
      <c r="E8" s="2003"/>
      <c r="F8" s="2003"/>
      <c r="G8" s="2003"/>
      <c r="H8" s="2003"/>
      <c r="I8" s="2003"/>
      <c r="J8" s="2003"/>
      <c r="K8" s="557"/>
      <c r="L8" s="547"/>
      <c r="M8" s="558"/>
      <c r="O8" s="547"/>
      <c r="P8" s="66"/>
      <c r="Q8" s="45"/>
      <c r="R8" s="45"/>
      <c r="S8" s="45"/>
      <c r="T8" s="45"/>
      <c r="U8" s="45"/>
      <c r="V8" s="45"/>
      <c r="W8" s="45"/>
      <c r="X8" s="45"/>
      <c r="Y8" s="45"/>
      <c r="Z8" s="45"/>
      <c r="AA8" s="45"/>
      <c r="AB8" s="45"/>
      <c r="AC8" s="45"/>
      <c r="AD8" s="45"/>
      <c r="AE8" s="45"/>
      <c r="AF8" s="45"/>
    </row>
    <row r="9" spans="1:32" s="67" customFormat="1" ht="25.5" customHeight="1" x14ac:dyDescent="0.2">
      <c r="A9" s="66"/>
      <c r="B9" s="2003" t="s">
        <v>897</v>
      </c>
      <c r="C9" s="2003"/>
      <c r="D9" s="2003"/>
      <c r="E9" s="2003"/>
      <c r="F9" s="2003"/>
      <c r="G9" s="2003"/>
      <c r="H9" s="2003"/>
      <c r="I9" s="2003"/>
      <c r="J9" s="2003"/>
      <c r="K9" s="557"/>
      <c r="L9" s="547"/>
      <c r="M9" s="558"/>
      <c r="O9" s="547"/>
      <c r="P9" s="66"/>
      <c r="Q9" s="45"/>
      <c r="R9" s="45"/>
      <c r="S9" s="45"/>
      <c r="T9" s="45"/>
      <c r="U9" s="45"/>
      <c r="V9" s="45"/>
      <c r="W9" s="45"/>
      <c r="X9" s="45"/>
      <c r="Y9" s="45"/>
      <c r="Z9" s="45"/>
      <c r="AA9" s="45"/>
      <c r="AB9" s="45"/>
      <c r="AC9" s="45"/>
      <c r="AD9" s="45"/>
      <c r="AE9" s="45"/>
      <c r="AF9" s="45"/>
    </row>
    <row r="10" spans="1:32" s="67" customFormat="1" ht="30" customHeight="1" x14ac:dyDescent="0.2">
      <c r="A10" s="66"/>
      <c r="B10" s="1623" t="s">
        <v>7</v>
      </c>
      <c r="C10" s="1624"/>
      <c r="D10" s="1624"/>
      <c r="E10" s="1624"/>
      <c r="F10" s="1624"/>
      <c r="G10" s="1624"/>
      <c r="H10" s="1624"/>
      <c r="I10" s="1624"/>
      <c r="J10" s="1625"/>
      <c r="K10" s="148"/>
      <c r="L10" s="547"/>
      <c r="M10" s="68"/>
      <c r="O10" s="547"/>
      <c r="P10" s="66"/>
      <c r="Q10" s="45"/>
      <c r="R10" s="45"/>
      <c r="S10" s="45"/>
      <c r="T10" s="45"/>
      <c r="U10" s="45"/>
      <c r="V10" s="45"/>
      <c r="W10" s="45"/>
      <c r="X10" s="45"/>
      <c r="Y10" s="45"/>
      <c r="Z10" s="45"/>
      <c r="AA10" s="45"/>
      <c r="AB10" s="45"/>
      <c r="AC10" s="45"/>
      <c r="AD10" s="45"/>
      <c r="AE10" s="45"/>
      <c r="AF10" s="45"/>
    </row>
    <row r="11" spans="1:32" s="67" customFormat="1" ht="51.75" customHeight="1" x14ac:dyDescent="0.2">
      <c r="A11" s="66"/>
      <c r="B11" s="1995" t="s">
        <v>811</v>
      </c>
      <c r="C11" s="1996"/>
      <c r="D11" s="1996"/>
      <c r="E11" s="1996"/>
      <c r="F11" s="1996"/>
      <c r="G11" s="1996"/>
      <c r="H11" s="1996"/>
      <c r="I11" s="1996"/>
      <c r="J11" s="1997"/>
      <c r="K11" s="148"/>
      <c r="L11" s="547"/>
      <c r="M11" s="68"/>
      <c r="O11" s="547"/>
      <c r="P11" s="66"/>
      <c r="Q11" s="45"/>
      <c r="R11" s="45"/>
      <c r="S11" s="45"/>
      <c r="T11" s="45"/>
      <c r="U11" s="45"/>
      <c r="V11" s="45"/>
      <c r="W11" s="45"/>
      <c r="X11" s="45"/>
      <c r="Y11" s="45"/>
      <c r="Z11" s="45"/>
      <c r="AA11" s="45"/>
      <c r="AB11" s="45"/>
      <c r="AC11" s="45"/>
      <c r="AD11" s="45"/>
      <c r="AE11" s="45"/>
      <c r="AF11" s="45"/>
    </row>
    <row r="12" spans="1:32" s="67" customFormat="1" ht="20.100000000000001" customHeight="1" x14ac:dyDescent="0.2">
      <c r="A12" s="66"/>
      <c r="B12" s="559"/>
      <c r="C12" s="559"/>
      <c r="D12" s="559"/>
      <c r="E12" s="559"/>
      <c r="F12" s="559"/>
      <c r="G12" s="559"/>
      <c r="H12" s="559"/>
      <c r="I12" s="559"/>
      <c r="J12" s="17"/>
      <c r="K12" s="148"/>
      <c r="L12" s="547"/>
      <c r="M12" s="68"/>
      <c r="O12" s="547"/>
      <c r="P12" s="66"/>
      <c r="Q12" s="45"/>
      <c r="R12" s="45"/>
      <c r="S12" s="45"/>
      <c r="T12" s="45"/>
      <c r="U12" s="45"/>
      <c r="V12" s="45"/>
      <c r="W12" s="45"/>
      <c r="X12" s="45"/>
      <c r="Y12" s="45"/>
      <c r="Z12" s="45"/>
      <c r="AA12" s="45"/>
      <c r="AB12" s="45"/>
      <c r="AC12" s="45"/>
      <c r="AD12" s="45"/>
      <c r="AE12" s="45"/>
      <c r="AF12" s="45"/>
    </row>
    <row r="13" spans="1:32" s="67" customFormat="1" ht="30" customHeight="1" x14ac:dyDescent="0.2">
      <c r="A13" s="66"/>
      <c r="B13" s="1623" t="s">
        <v>812</v>
      </c>
      <c r="C13" s="1624"/>
      <c r="D13" s="1624"/>
      <c r="E13" s="1624"/>
      <c r="F13" s="1624"/>
      <c r="G13" s="1624"/>
      <c r="H13" s="1624"/>
      <c r="I13" s="1624"/>
      <c r="J13" s="1625"/>
      <c r="K13" s="148"/>
      <c r="L13" s="547"/>
      <c r="M13" s="68"/>
      <c r="O13" s="547"/>
      <c r="P13" s="66"/>
      <c r="Q13" s="45"/>
      <c r="R13" s="45"/>
      <c r="S13" s="45"/>
      <c r="T13" s="45"/>
      <c r="U13" s="45"/>
      <c r="V13" s="45"/>
      <c r="W13" s="45"/>
      <c r="X13" s="45"/>
      <c r="Y13" s="45"/>
      <c r="Z13" s="45"/>
      <c r="AA13" s="45"/>
      <c r="AB13" s="45"/>
      <c r="AC13" s="45"/>
      <c r="AD13" s="45"/>
      <c r="AE13" s="45"/>
      <c r="AF13" s="45"/>
    </row>
    <row r="14" spans="1:32" s="67" customFormat="1" ht="43.5" customHeight="1" x14ac:dyDescent="0.2">
      <c r="A14" s="66"/>
      <c r="B14" s="1995" t="s">
        <v>813</v>
      </c>
      <c r="C14" s="1996"/>
      <c r="D14" s="1996"/>
      <c r="E14" s="1996"/>
      <c r="F14" s="1996"/>
      <c r="G14" s="1996"/>
      <c r="H14" s="1996"/>
      <c r="I14" s="1996"/>
      <c r="J14" s="1997"/>
      <c r="K14" s="148"/>
      <c r="L14" s="547"/>
      <c r="M14" s="68"/>
      <c r="O14" s="547"/>
      <c r="P14" s="66"/>
      <c r="Q14" s="45"/>
      <c r="R14" s="45"/>
      <c r="S14" s="45"/>
      <c r="T14" s="45"/>
      <c r="U14" s="45"/>
      <c r="V14" s="45"/>
      <c r="W14" s="45"/>
      <c r="X14" s="45"/>
      <c r="Y14" s="45"/>
      <c r="Z14" s="45"/>
      <c r="AA14" s="45"/>
      <c r="AB14" s="45"/>
      <c r="AC14" s="45"/>
      <c r="AD14" s="45"/>
      <c r="AE14" s="45"/>
      <c r="AF14" s="45"/>
    </row>
    <row r="15" spans="1:32" s="67" customFormat="1" ht="20.100000000000001" customHeight="1" x14ac:dyDescent="0.2">
      <c r="A15" s="66"/>
      <c r="B15" s="559"/>
      <c r="C15" s="559"/>
      <c r="D15" s="559"/>
      <c r="E15" s="559"/>
      <c r="F15" s="559"/>
      <c r="G15" s="559"/>
      <c r="H15" s="559"/>
      <c r="I15" s="559"/>
      <c r="J15" s="17"/>
      <c r="K15" s="148"/>
      <c r="L15" s="547"/>
      <c r="M15" s="68"/>
      <c r="O15" s="547"/>
      <c r="P15" s="66"/>
      <c r="Q15" s="45"/>
      <c r="R15" s="45"/>
      <c r="S15" s="45"/>
      <c r="T15" s="45"/>
      <c r="U15" s="45"/>
      <c r="V15" s="45"/>
      <c r="W15" s="45"/>
      <c r="X15" s="45"/>
      <c r="Y15" s="45"/>
      <c r="Z15" s="45"/>
      <c r="AA15" s="45"/>
      <c r="AB15" s="45"/>
      <c r="AC15" s="45"/>
      <c r="AD15" s="45"/>
      <c r="AE15" s="45"/>
      <c r="AF15" s="45"/>
    </row>
    <row r="16" spans="1:32" s="67" customFormat="1" ht="30" customHeight="1" x14ac:dyDescent="0.2">
      <c r="A16" s="66"/>
      <c r="B16" s="1623" t="s">
        <v>11</v>
      </c>
      <c r="C16" s="1624"/>
      <c r="D16" s="1624"/>
      <c r="E16" s="1624"/>
      <c r="F16" s="1624"/>
      <c r="G16" s="1624"/>
      <c r="H16" s="1624"/>
      <c r="I16" s="1624"/>
      <c r="J16" s="1625"/>
      <c r="K16" s="148"/>
      <c r="L16" s="547"/>
      <c r="M16" s="68"/>
      <c r="O16" s="547"/>
      <c r="P16" s="66"/>
      <c r="Q16" s="45"/>
      <c r="R16" s="45"/>
      <c r="S16" s="45"/>
      <c r="T16" s="45"/>
      <c r="U16" s="45"/>
      <c r="V16" s="45"/>
      <c r="W16" s="45"/>
      <c r="X16" s="45"/>
      <c r="Y16" s="45"/>
      <c r="Z16" s="45"/>
      <c r="AA16" s="45"/>
      <c r="AB16" s="45"/>
      <c r="AC16" s="45"/>
      <c r="AD16" s="45"/>
      <c r="AE16" s="45"/>
      <c r="AF16" s="45"/>
    </row>
    <row r="17" spans="1:16" ht="20.100000000000001" customHeight="1" x14ac:dyDescent="0.2">
      <c r="B17" s="560"/>
      <c r="C17" s="560"/>
      <c r="D17" s="560"/>
      <c r="E17" s="560"/>
      <c r="F17" s="560"/>
      <c r="G17" s="560"/>
      <c r="H17" s="560"/>
      <c r="I17" s="560"/>
      <c r="J17" s="20"/>
      <c r="L17" s="561"/>
      <c r="M17" s="181"/>
      <c r="N17" s="149"/>
      <c r="O17" s="561"/>
      <c r="P17" s="45"/>
    </row>
    <row r="18" spans="1:16" ht="24.95" customHeight="1" x14ac:dyDescent="0.2">
      <c r="B18" s="562" t="s">
        <v>12</v>
      </c>
      <c r="C18" s="563"/>
      <c r="D18" s="563"/>
      <c r="E18" s="563"/>
      <c r="F18" s="564"/>
      <c r="G18" s="563"/>
      <c r="H18" s="563"/>
      <c r="I18" s="2007" t="s">
        <v>13</v>
      </c>
      <c r="J18" s="2008"/>
    </row>
    <row r="19" spans="1:16" ht="24.95" customHeight="1" x14ac:dyDescent="0.2">
      <c r="B19" s="562" t="s">
        <v>14</v>
      </c>
      <c r="C19" s="563"/>
      <c r="D19" s="563"/>
      <c r="E19" s="563"/>
      <c r="F19" s="564"/>
      <c r="G19" s="563"/>
      <c r="H19" s="563"/>
      <c r="I19" s="2009" t="str">
        <f>'[2]Datos CESANTES'!$K$19</f>
        <v>ILIMITADA</v>
      </c>
      <c r="J19" s="2010"/>
    </row>
    <row r="20" spans="1:16" ht="20.100000000000001" customHeight="1" x14ac:dyDescent="0.2">
      <c r="B20" s="69"/>
      <c r="C20" s="69"/>
      <c r="D20" s="69"/>
      <c r="E20" s="69"/>
      <c r="F20" s="565"/>
      <c r="G20" s="69"/>
      <c r="H20" s="69"/>
      <c r="I20" s="69"/>
      <c r="J20" s="30"/>
    </row>
    <row r="21" spans="1:16" ht="30" customHeight="1" x14ac:dyDescent="0.2">
      <c r="B21" s="1623" t="s">
        <v>15</v>
      </c>
      <c r="C21" s="1624"/>
      <c r="D21" s="1624"/>
      <c r="E21" s="1624"/>
      <c r="F21" s="1624"/>
      <c r="G21" s="1624"/>
      <c r="H21" s="1624"/>
      <c r="I21" s="1624"/>
      <c r="J21" s="1625"/>
    </row>
    <row r="22" spans="1:16" ht="20.100000000000001" customHeight="1" x14ac:dyDescent="0.2">
      <c r="B22" s="566"/>
      <c r="C22" s="566"/>
      <c r="D22" s="566"/>
      <c r="E22" s="566"/>
      <c r="F22" s="566"/>
      <c r="G22" s="566"/>
      <c r="H22" s="566"/>
      <c r="I22" s="567"/>
      <c r="J22" s="33"/>
    </row>
    <row r="23" spans="1:16" ht="30" customHeight="1" x14ac:dyDescent="0.2">
      <c r="B23" s="1662" t="s">
        <v>16</v>
      </c>
      <c r="C23" s="1663"/>
      <c r="D23" s="1663"/>
      <c r="E23" s="1663"/>
      <c r="F23" s="1663"/>
      <c r="G23" s="1663"/>
      <c r="H23" s="1664"/>
      <c r="I23" s="406" t="s">
        <v>17</v>
      </c>
      <c r="J23" s="35" t="s">
        <v>18</v>
      </c>
      <c r="K23" s="226" t="s">
        <v>19</v>
      </c>
      <c r="L23" s="183">
        <v>1</v>
      </c>
      <c r="O23" s="183">
        <v>1</v>
      </c>
      <c r="P23" s="568" t="s">
        <v>20</v>
      </c>
    </row>
    <row r="24" spans="1:16" ht="36.950000000000003" customHeight="1" x14ac:dyDescent="0.2">
      <c r="B24" s="1913" t="s">
        <v>21</v>
      </c>
      <c r="C24" s="1913"/>
      <c r="D24" s="1913"/>
      <c r="E24" s="1913"/>
      <c r="F24" s="1913"/>
      <c r="G24" s="1913"/>
      <c r="H24" s="1913"/>
      <c r="I24" s="1913"/>
      <c r="J24" s="1913"/>
      <c r="O24" s="183">
        <v>1</v>
      </c>
      <c r="P24" s="568" t="s">
        <v>20</v>
      </c>
    </row>
    <row r="25" spans="1:16" ht="169.5" customHeight="1" x14ac:dyDescent="0.2">
      <c r="A25" s="39"/>
      <c r="B25" s="569" t="s">
        <v>22</v>
      </c>
      <c r="C25" s="1166" t="s">
        <v>873</v>
      </c>
      <c r="D25" s="1167"/>
      <c r="E25" s="1167"/>
      <c r="F25" s="1167"/>
      <c r="G25" s="1167"/>
      <c r="H25" s="1168"/>
      <c r="I25" s="168">
        <v>40</v>
      </c>
      <c r="J25" s="42">
        <v>1</v>
      </c>
      <c r="K25" s="570" t="s">
        <v>24</v>
      </c>
      <c r="L25" s="571" t="s">
        <v>25</v>
      </c>
      <c r="M25" s="67"/>
      <c r="N25" s="66"/>
      <c r="O25" s="183">
        <v>1</v>
      </c>
      <c r="P25" s="568" t="s">
        <v>20</v>
      </c>
    </row>
    <row r="26" spans="1:16" ht="30" customHeight="1" x14ac:dyDescent="0.2">
      <c r="B26" s="1910" t="s">
        <v>26</v>
      </c>
      <c r="C26" s="1217" t="s">
        <v>27</v>
      </c>
      <c r="D26" s="1016"/>
      <c r="E26" s="1016" t="s">
        <v>28</v>
      </c>
      <c r="F26" s="1016"/>
      <c r="G26" s="1016" t="s">
        <v>29</v>
      </c>
      <c r="H26" s="1125"/>
      <c r="I26" s="1926">
        <f>+'[2]Datos CESANTES'!$D$3</f>
        <v>35</v>
      </c>
      <c r="J26" s="1241">
        <f>+'[2]Datos CESANTES'!$E$3</f>
        <v>0.9</v>
      </c>
      <c r="K26" s="570" t="s">
        <v>26</v>
      </c>
      <c r="L26" s="571" t="s">
        <v>25</v>
      </c>
      <c r="N26" s="182" t="s">
        <v>30</v>
      </c>
      <c r="O26" s="183">
        <v>1</v>
      </c>
      <c r="P26" s="568" t="s">
        <v>20</v>
      </c>
    </row>
    <row r="27" spans="1:16" ht="30" customHeight="1" x14ac:dyDescent="0.2">
      <c r="B27" s="1971"/>
      <c r="C27" s="1046" t="s">
        <v>31</v>
      </c>
      <c r="D27" s="1022"/>
      <c r="E27" s="1108" t="s">
        <v>32</v>
      </c>
      <c r="F27" s="1108"/>
      <c r="G27" s="1022" t="s">
        <v>33</v>
      </c>
      <c r="H27" s="1028"/>
      <c r="I27" s="1927"/>
      <c r="J27" s="1242"/>
      <c r="K27" s="570" t="s">
        <v>26</v>
      </c>
      <c r="L27" s="571" t="s">
        <v>25</v>
      </c>
      <c r="O27" s="183">
        <v>1</v>
      </c>
      <c r="P27" s="568" t="s">
        <v>20</v>
      </c>
    </row>
    <row r="28" spans="1:16" ht="30" customHeight="1" x14ac:dyDescent="0.2">
      <c r="B28" s="1971"/>
      <c r="C28" s="1218" t="s">
        <v>34</v>
      </c>
      <c r="D28" s="1180"/>
      <c r="E28" s="1108" t="s">
        <v>35</v>
      </c>
      <c r="F28" s="1108"/>
      <c r="G28" s="1180" t="s">
        <v>36</v>
      </c>
      <c r="H28" s="1227"/>
      <c r="I28" s="1927"/>
      <c r="J28" s="1242"/>
      <c r="K28" s="570" t="s">
        <v>26</v>
      </c>
      <c r="L28" s="571" t="s">
        <v>25</v>
      </c>
      <c r="O28" s="183">
        <v>1</v>
      </c>
      <c r="P28" s="568" t="s">
        <v>20</v>
      </c>
    </row>
    <row r="29" spans="1:16" ht="30" customHeight="1" x14ac:dyDescent="0.2">
      <c r="B29" s="1911"/>
      <c r="C29" s="1181" t="s">
        <v>37</v>
      </c>
      <c r="D29" s="1182"/>
      <c r="E29" s="1177" t="s">
        <v>38</v>
      </c>
      <c r="F29" s="1177"/>
      <c r="G29" s="1177"/>
      <c r="H29" s="1178"/>
      <c r="I29" s="1928"/>
      <c r="J29" s="1243"/>
      <c r="K29" s="570" t="s">
        <v>26</v>
      </c>
      <c r="L29" s="571" t="s">
        <v>25</v>
      </c>
      <c r="O29" s="183">
        <v>1</v>
      </c>
      <c r="P29" s="568" t="s">
        <v>20</v>
      </c>
    </row>
    <row r="30" spans="1:16" ht="30" customHeight="1" x14ac:dyDescent="0.2">
      <c r="B30" s="1979" t="s">
        <v>40</v>
      </c>
      <c r="C30" s="1014" t="s">
        <v>41</v>
      </c>
      <c r="D30" s="1015"/>
      <c r="E30" s="1188" t="s">
        <v>42</v>
      </c>
      <c r="F30" s="1188"/>
      <c r="G30" s="1016" t="s">
        <v>43</v>
      </c>
      <c r="H30" s="1125"/>
      <c r="I30" s="1986">
        <f>+'[2]Datos CESANTES'!$D$4</f>
        <v>35</v>
      </c>
      <c r="J30" s="1241">
        <f>+'[2]Datos CESANTES'!$E$4</f>
        <v>0.9</v>
      </c>
      <c r="K30" s="570" t="s">
        <v>40</v>
      </c>
      <c r="L30" s="571" t="s">
        <v>25</v>
      </c>
      <c r="N30" s="182" t="s">
        <v>30</v>
      </c>
      <c r="O30" s="183">
        <v>1</v>
      </c>
      <c r="P30" s="568" t="s">
        <v>20</v>
      </c>
    </row>
    <row r="31" spans="1:16" ht="39.950000000000003" customHeight="1" x14ac:dyDescent="0.2">
      <c r="B31" s="1980"/>
      <c r="C31" s="1211" t="s">
        <v>44</v>
      </c>
      <c r="D31" s="1190"/>
      <c r="E31" s="1190" t="s">
        <v>45</v>
      </c>
      <c r="F31" s="1190"/>
      <c r="G31" s="1190" t="s">
        <v>46</v>
      </c>
      <c r="H31" s="1212"/>
      <c r="I31" s="1987"/>
      <c r="J31" s="1242"/>
      <c r="K31" s="570" t="s">
        <v>40</v>
      </c>
      <c r="L31" s="571" t="s">
        <v>25</v>
      </c>
      <c r="O31" s="183">
        <v>1</v>
      </c>
      <c r="P31" s="568" t="s">
        <v>20</v>
      </c>
    </row>
    <row r="32" spans="1:16" ht="39.950000000000003" customHeight="1" x14ac:dyDescent="0.2">
      <c r="B32" s="1980"/>
      <c r="C32" s="1046" t="s">
        <v>47</v>
      </c>
      <c r="D32" s="1022"/>
      <c r="E32" s="1190" t="s">
        <v>48</v>
      </c>
      <c r="F32" s="1190"/>
      <c r="G32" s="1190" t="s">
        <v>49</v>
      </c>
      <c r="H32" s="1212"/>
      <c r="I32" s="1987"/>
      <c r="J32" s="1242"/>
      <c r="K32" s="570" t="s">
        <v>40</v>
      </c>
      <c r="L32" s="571" t="s">
        <v>25</v>
      </c>
      <c r="O32" s="183">
        <v>1</v>
      </c>
      <c r="P32" s="568" t="s">
        <v>20</v>
      </c>
    </row>
    <row r="33" spans="1:16" ht="39.950000000000003" customHeight="1" x14ac:dyDescent="0.2">
      <c r="B33" s="1980"/>
      <c r="C33" s="1133" t="s">
        <v>50</v>
      </c>
      <c r="D33" s="1132"/>
      <c r="E33" s="1132" t="s">
        <v>51</v>
      </c>
      <c r="F33" s="1132"/>
      <c r="G33" s="1132" t="s">
        <v>52</v>
      </c>
      <c r="H33" s="1134"/>
      <c r="I33" s="1987"/>
      <c r="J33" s="1242"/>
      <c r="K33" s="570" t="s">
        <v>40</v>
      </c>
      <c r="L33" s="571" t="s">
        <v>25</v>
      </c>
      <c r="O33" s="183">
        <v>1</v>
      </c>
      <c r="P33" s="568" t="s">
        <v>20</v>
      </c>
    </row>
    <row r="34" spans="1:16" ht="39.950000000000003" customHeight="1" x14ac:dyDescent="0.2">
      <c r="B34" s="1980"/>
      <c r="C34" s="1133" t="s">
        <v>53</v>
      </c>
      <c r="D34" s="1132"/>
      <c r="E34" s="1132" t="s">
        <v>54</v>
      </c>
      <c r="F34" s="1132"/>
      <c r="G34" s="1132" t="s">
        <v>55</v>
      </c>
      <c r="H34" s="1134"/>
      <c r="I34" s="1987"/>
      <c r="J34" s="1242"/>
      <c r="K34" s="570" t="s">
        <v>40</v>
      </c>
      <c r="L34" s="571" t="s">
        <v>25</v>
      </c>
      <c r="O34" s="183">
        <v>1</v>
      </c>
      <c r="P34" s="568" t="s">
        <v>20</v>
      </c>
    </row>
    <row r="35" spans="1:16" ht="39.950000000000003" customHeight="1" x14ac:dyDescent="0.2">
      <c r="B35" s="1980"/>
      <c r="C35" s="1133" t="s">
        <v>56</v>
      </c>
      <c r="D35" s="1132"/>
      <c r="E35" s="1132" t="s">
        <v>57</v>
      </c>
      <c r="F35" s="1132"/>
      <c r="G35" s="1132" t="s">
        <v>58</v>
      </c>
      <c r="H35" s="1134"/>
      <c r="I35" s="1987"/>
      <c r="J35" s="1242"/>
      <c r="K35" s="570" t="s">
        <v>40</v>
      </c>
      <c r="L35" s="571" t="s">
        <v>25</v>
      </c>
      <c r="O35" s="183">
        <v>1</v>
      </c>
      <c r="P35" s="568" t="s">
        <v>20</v>
      </c>
    </row>
    <row r="36" spans="1:16" ht="30" customHeight="1" x14ac:dyDescent="0.2">
      <c r="B36" s="1980"/>
      <c r="C36" s="1046" t="s">
        <v>59</v>
      </c>
      <c r="D36" s="1022"/>
      <c r="E36" s="1132" t="s">
        <v>60</v>
      </c>
      <c r="F36" s="1132"/>
      <c r="G36" s="1132" t="s">
        <v>61</v>
      </c>
      <c r="H36" s="1134"/>
      <c r="I36" s="1987"/>
      <c r="J36" s="1242"/>
      <c r="K36" s="570" t="s">
        <v>40</v>
      </c>
      <c r="L36" s="571" t="s">
        <v>25</v>
      </c>
      <c r="O36" s="183">
        <v>1</v>
      </c>
      <c r="P36" s="568" t="s">
        <v>20</v>
      </c>
    </row>
    <row r="37" spans="1:16" ht="30" customHeight="1" x14ac:dyDescent="0.2">
      <c r="B37" s="1980"/>
      <c r="C37" s="1046" t="s">
        <v>62</v>
      </c>
      <c r="D37" s="1022"/>
      <c r="E37" s="1022" t="s">
        <v>63</v>
      </c>
      <c r="F37" s="1022"/>
      <c r="G37" s="1132" t="s">
        <v>64</v>
      </c>
      <c r="H37" s="1134"/>
      <c r="I37" s="1987"/>
      <c r="J37" s="1242"/>
      <c r="K37" s="570" t="s">
        <v>40</v>
      </c>
      <c r="L37" s="571" t="s">
        <v>25</v>
      </c>
      <c r="O37" s="183">
        <v>1</v>
      </c>
      <c r="P37" s="568" t="s">
        <v>20</v>
      </c>
    </row>
    <row r="38" spans="1:16" ht="39.950000000000003" customHeight="1" x14ac:dyDescent="0.2">
      <c r="B38" s="1980"/>
      <c r="C38" s="1133" t="s">
        <v>65</v>
      </c>
      <c r="D38" s="1132"/>
      <c r="E38" s="1132" t="s">
        <v>66</v>
      </c>
      <c r="F38" s="1132"/>
      <c r="G38" s="1132" t="s">
        <v>67</v>
      </c>
      <c r="H38" s="1134"/>
      <c r="I38" s="1987"/>
      <c r="J38" s="1242"/>
      <c r="K38" s="570" t="s">
        <v>40</v>
      </c>
      <c r="L38" s="571" t="s">
        <v>25</v>
      </c>
      <c r="O38" s="183">
        <v>1</v>
      </c>
      <c r="P38" s="568" t="s">
        <v>20</v>
      </c>
    </row>
    <row r="39" spans="1:16" ht="39.950000000000003" customHeight="1" x14ac:dyDescent="0.2">
      <c r="B39" s="1980"/>
      <c r="C39" s="1133" t="s">
        <v>68</v>
      </c>
      <c r="D39" s="1132"/>
      <c r="E39" s="1"/>
      <c r="F39" s="1"/>
      <c r="G39" s="47"/>
      <c r="H39" s="48"/>
      <c r="I39" s="1987"/>
      <c r="J39" s="1242"/>
      <c r="K39" s="570" t="s">
        <v>40</v>
      </c>
      <c r="L39" s="571" t="s">
        <v>25</v>
      </c>
      <c r="O39" s="183">
        <v>1</v>
      </c>
      <c r="P39" s="568" t="s">
        <v>20</v>
      </c>
    </row>
    <row r="40" spans="1:16" ht="39.950000000000003" customHeight="1" x14ac:dyDescent="0.2">
      <c r="A40" s="572" t="s">
        <v>69</v>
      </c>
      <c r="B40" s="1992"/>
      <c r="C40" s="1206" t="s">
        <v>70</v>
      </c>
      <c r="D40" s="1207"/>
      <c r="E40" s="1207"/>
      <c r="F40" s="1207"/>
      <c r="G40" s="1207"/>
      <c r="H40" s="1222"/>
      <c r="I40" s="1994"/>
      <c r="J40" s="1243"/>
      <c r="K40" s="570" t="s">
        <v>40</v>
      </c>
      <c r="L40" s="571" t="s">
        <v>25</v>
      </c>
      <c r="O40" s="183">
        <v>1</v>
      </c>
      <c r="P40" s="568" t="s">
        <v>20</v>
      </c>
    </row>
    <row r="41" spans="1:16" ht="29.25" customHeight="1" x14ac:dyDescent="0.2">
      <c r="B41" s="1865" t="s">
        <v>71</v>
      </c>
      <c r="C41" s="1187" t="s">
        <v>72</v>
      </c>
      <c r="D41" s="1188"/>
      <c r="E41" s="1188" t="s">
        <v>73</v>
      </c>
      <c r="F41" s="1188"/>
      <c r="G41" s="1188" t="s">
        <v>74</v>
      </c>
      <c r="H41" s="1189"/>
      <c r="I41" s="1926">
        <f>+'[2]Datos CESANTES'!$D$5</f>
        <v>40</v>
      </c>
      <c r="J41" s="1241">
        <f>+'[2]Datos CESANTES'!$E$5</f>
        <v>0.9</v>
      </c>
      <c r="K41" s="570" t="s">
        <v>71</v>
      </c>
      <c r="L41" s="571" t="s">
        <v>25</v>
      </c>
      <c r="N41" s="182" t="s">
        <v>30</v>
      </c>
      <c r="O41" s="183">
        <v>1</v>
      </c>
      <c r="P41" s="568" t="s">
        <v>20</v>
      </c>
    </row>
    <row r="42" spans="1:16" ht="29.25" customHeight="1" x14ac:dyDescent="0.2">
      <c r="B42" s="1866"/>
      <c r="C42" s="1218" t="s">
        <v>75</v>
      </c>
      <c r="D42" s="1180"/>
      <c r="E42" s="1180" t="s">
        <v>76</v>
      </c>
      <c r="F42" s="1180"/>
      <c r="G42" s="890" t="s">
        <v>77</v>
      </c>
      <c r="H42" s="890"/>
      <c r="I42" s="1927"/>
      <c r="J42" s="1242"/>
      <c r="K42" s="570" t="s">
        <v>71</v>
      </c>
      <c r="L42" s="571" t="s">
        <v>25</v>
      </c>
      <c r="O42" s="183">
        <v>1</v>
      </c>
      <c r="P42" s="568" t="s">
        <v>20</v>
      </c>
    </row>
    <row r="43" spans="1:16" ht="29.25" customHeight="1" x14ac:dyDescent="0.2">
      <c r="B43" s="1866"/>
      <c r="C43" s="1218" t="s">
        <v>78</v>
      </c>
      <c r="D43" s="1180"/>
      <c r="E43" s="1180" t="s">
        <v>79</v>
      </c>
      <c r="F43" s="1180"/>
      <c r="G43" s="1180" t="s">
        <v>80</v>
      </c>
      <c r="H43" s="1227"/>
      <c r="I43" s="1927"/>
      <c r="J43" s="1242"/>
      <c r="K43" s="570" t="s">
        <v>71</v>
      </c>
      <c r="L43" s="571" t="s">
        <v>25</v>
      </c>
      <c r="O43" s="183">
        <v>1</v>
      </c>
      <c r="P43" s="568" t="s">
        <v>20</v>
      </c>
    </row>
    <row r="44" spans="1:16" ht="29.25" customHeight="1" x14ac:dyDescent="0.2">
      <c r="B44" s="1866"/>
      <c r="C44" s="968" t="s">
        <v>81</v>
      </c>
      <c r="D44" s="969"/>
      <c r="E44" s="969" t="s">
        <v>82</v>
      </c>
      <c r="F44" s="969"/>
      <c r="G44" s="969" t="s">
        <v>83</v>
      </c>
      <c r="H44" s="1193"/>
      <c r="I44" s="1927"/>
      <c r="J44" s="1242"/>
      <c r="K44" s="570" t="s">
        <v>71</v>
      </c>
      <c r="L44" s="571" t="s">
        <v>25</v>
      </c>
      <c r="O44" s="183">
        <v>1</v>
      </c>
      <c r="P44" s="568" t="s">
        <v>20</v>
      </c>
    </row>
    <row r="45" spans="1:16" ht="29.25" customHeight="1" x14ac:dyDescent="0.2">
      <c r="B45" s="1866"/>
      <c r="C45" s="1181" t="s">
        <v>84</v>
      </c>
      <c r="D45" s="1182"/>
      <c r="E45" s="50" t="s">
        <v>39</v>
      </c>
      <c r="H45" s="50"/>
      <c r="I45" s="1927"/>
      <c r="J45" s="1242"/>
      <c r="K45" s="570" t="s">
        <v>71</v>
      </c>
      <c r="L45" s="571" t="s">
        <v>25</v>
      </c>
      <c r="O45" s="183">
        <v>1</v>
      </c>
      <c r="P45" s="568" t="s">
        <v>20</v>
      </c>
    </row>
    <row r="46" spans="1:16" ht="39.950000000000003" customHeight="1" x14ac:dyDescent="0.2">
      <c r="B46" s="1979" t="s">
        <v>85</v>
      </c>
      <c r="C46" s="1214" t="s">
        <v>572</v>
      </c>
      <c r="D46" s="1195"/>
      <c r="E46" s="1195" t="s">
        <v>378</v>
      </c>
      <c r="F46" s="1195"/>
      <c r="G46" s="1130" t="s">
        <v>342</v>
      </c>
      <c r="H46" s="1131"/>
      <c r="I46" s="1986">
        <f>+'[2]Datos CESANTES'!$D$6</f>
        <v>40</v>
      </c>
      <c r="J46" s="1241">
        <f>+'[2]Datos CESANTES'!$E$6</f>
        <v>0.85</v>
      </c>
      <c r="K46" s="570" t="s">
        <v>85</v>
      </c>
      <c r="L46" s="571" t="s">
        <v>25</v>
      </c>
      <c r="N46" s="182" t="s">
        <v>30</v>
      </c>
      <c r="O46" s="183">
        <v>1</v>
      </c>
      <c r="P46" s="568" t="s">
        <v>20</v>
      </c>
    </row>
    <row r="47" spans="1:16" ht="39.950000000000003" customHeight="1" x14ac:dyDescent="0.2">
      <c r="B47" s="1980"/>
      <c r="C47" s="1211" t="s">
        <v>86</v>
      </c>
      <c r="D47" s="1190"/>
      <c r="E47" s="1190" t="s">
        <v>574</v>
      </c>
      <c r="F47" s="1190"/>
      <c r="G47" s="1190" t="s">
        <v>624</v>
      </c>
      <c r="H47" s="1212"/>
      <c r="I47" s="1987"/>
      <c r="J47" s="1242"/>
      <c r="K47" s="570" t="s">
        <v>85</v>
      </c>
      <c r="L47" s="571" t="s">
        <v>25</v>
      </c>
      <c r="O47" s="183">
        <v>1</v>
      </c>
      <c r="P47" s="568" t="s">
        <v>20</v>
      </c>
    </row>
    <row r="48" spans="1:16" ht="39.950000000000003" customHeight="1" x14ac:dyDescent="0.2">
      <c r="B48" s="1980"/>
      <c r="C48" s="1211" t="s">
        <v>576</v>
      </c>
      <c r="D48" s="1190"/>
      <c r="E48" s="1190" t="s">
        <v>577</v>
      </c>
      <c r="F48" s="1190"/>
      <c r="G48" s="1132" t="s">
        <v>578</v>
      </c>
      <c r="H48" s="1134"/>
      <c r="I48" s="1987"/>
      <c r="J48" s="1242"/>
      <c r="K48" s="570" t="s">
        <v>85</v>
      </c>
      <c r="L48" s="571" t="s">
        <v>25</v>
      </c>
      <c r="O48" s="183">
        <v>1</v>
      </c>
      <c r="P48" s="568" t="s">
        <v>20</v>
      </c>
    </row>
    <row r="49" spans="1:16" ht="39.950000000000003" customHeight="1" x14ac:dyDescent="0.2">
      <c r="B49" s="1980"/>
      <c r="C49" s="1211" t="s">
        <v>402</v>
      </c>
      <c r="D49" s="1190"/>
      <c r="E49" s="1190" t="s">
        <v>579</v>
      </c>
      <c r="F49" s="1190"/>
      <c r="G49" s="1022" t="s">
        <v>580</v>
      </c>
      <c r="H49" s="1028"/>
      <c r="I49" s="1987"/>
      <c r="J49" s="1242"/>
      <c r="K49" s="570" t="s">
        <v>85</v>
      </c>
      <c r="L49" s="571" t="s">
        <v>25</v>
      </c>
      <c r="O49" s="183">
        <v>1</v>
      </c>
      <c r="P49" s="568" t="s">
        <v>20</v>
      </c>
    </row>
    <row r="50" spans="1:16" ht="39.950000000000003" customHeight="1" x14ac:dyDescent="0.2">
      <c r="B50" s="1980"/>
      <c r="C50" s="1046" t="s">
        <v>581</v>
      </c>
      <c r="D50" s="1022"/>
      <c r="E50" s="1190" t="s">
        <v>582</v>
      </c>
      <c r="F50" s="1190"/>
      <c r="G50" s="1190" t="s">
        <v>573</v>
      </c>
      <c r="H50" s="1212"/>
      <c r="I50" s="1987"/>
      <c r="J50" s="1242"/>
      <c r="K50" s="570" t="s">
        <v>85</v>
      </c>
      <c r="L50" s="571" t="s">
        <v>25</v>
      </c>
      <c r="O50" s="183">
        <v>1</v>
      </c>
      <c r="P50" s="568" t="s">
        <v>20</v>
      </c>
    </row>
    <row r="51" spans="1:16" ht="30" customHeight="1" x14ac:dyDescent="0.2">
      <c r="A51" s="183" t="s">
        <v>97</v>
      </c>
      <c r="B51" s="1980"/>
      <c r="C51" s="1218" t="s">
        <v>98</v>
      </c>
      <c r="D51" s="1180"/>
      <c r="E51" s="1180"/>
      <c r="F51" s="1180"/>
      <c r="G51" s="1180"/>
      <c r="H51" s="1227"/>
      <c r="I51" s="1987"/>
      <c r="J51" s="1242"/>
      <c r="K51" s="570" t="s">
        <v>85</v>
      </c>
      <c r="L51" s="571" t="s">
        <v>25</v>
      </c>
      <c r="O51" s="183">
        <v>1</v>
      </c>
      <c r="P51" s="568" t="s">
        <v>20</v>
      </c>
    </row>
    <row r="52" spans="1:16" ht="36" customHeight="1" x14ac:dyDescent="0.2">
      <c r="A52" s="183" t="s">
        <v>97</v>
      </c>
      <c r="B52" s="1992"/>
      <c r="C52" s="1306" t="s">
        <v>583</v>
      </c>
      <c r="D52" s="1307"/>
      <c r="E52" s="1307"/>
      <c r="F52" s="1307"/>
      <c r="G52" s="1307"/>
      <c r="H52" s="1308"/>
      <c r="I52" s="1994"/>
      <c r="J52" s="1243"/>
      <c r="K52" s="570" t="s">
        <v>85</v>
      </c>
      <c r="L52" s="571" t="s">
        <v>25</v>
      </c>
      <c r="O52" s="183">
        <v>1</v>
      </c>
      <c r="P52" s="568" t="s">
        <v>20</v>
      </c>
    </row>
    <row r="53" spans="1:16" ht="30" customHeight="1" x14ac:dyDescent="0.2">
      <c r="B53" s="1979" t="s">
        <v>87</v>
      </c>
      <c r="C53" s="1993" t="s">
        <v>88</v>
      </c>
      <c r="D53" s="1984"/>
      <c r="E53" s="1984" t="s">
        <v>89</v>
      </c>
      <c r="F53" s="1984"/>
      <c r="G53" s="1984" t="s">
        <v>90</v>
      </c>
      <c r="H53" s="1985"/>
      <c r="I53" s="1926">
        <f>+'[2]Datos CESANTES'!$D$7</f>
        <v>45</v>
      </c>
      <c r="J53" s="1241">
        <f>+'[2]Datos CESANTES'!$E$7</f>
        <v>0.85</v>
      </c>
      <c r="K53" s="570" t="s">
        <v>87</v>
      </c>
      <c r="L53" s="571" t="s">
        <v>25</v>
      </c>
      <c r="N53" s="182" t="s">
        <v>30</v>
      </c>
      <c r="O53" s="183">
        <v>1</v>
      </c>
      <c r="P53" s="568" t="s">
        <v>20</v>
      </c>
    </row>
    <row r="54" spans="1:16" ht="30" customHeight="1" x14ac:dyDescent="0.2">
      <c r="B54" s="1980"/>
      <c r="C54" s="1989" t="s">
        <v>91</v>
      </c>
      <c r="D54" s="1990"/>
      <c r="E54" s="1990" t="s">
        <v>92</v>
      </c>
      <c r="F54" s="1990"/>
      <c r="G54" s="1990" t="s">
        <v>93</v>
      </c>
      <c r="H54" s="1991"/>
      <c r="I54" s="1927"/>
      <c r="J54" s="1242"/>
      <c r="K54" s="570" t="s">
        <v>87</v>
      </c>
      <c r="L54" s="571" t="s">
        <v>25</v>
      </c>
      <c r="O54" s="183">
        <v>1</v>
      </c>
      <c r="P54" s="568" t="s">
        <v>20</v>
      </c>
    </row>
    <row r="55" spans="1:16" ht="30" customHeight="1" x14ac:dyDescent="0.2">
      <c r="B55" s="1980"/>
      <c r="C55" s="889" t="s">
        <v>96</v>
      </c>
      <c r="D55" s="890"/>
      <c r="E55" s="1990" t="s">
        <v>95</v>
      </c>
      <c r="F55" s="1990"/>
      <c r="G55" s="1990" t="s">
        <v>94</v>
      </c>
      <c r="H55" s="1991"/>
      <c r="I55" s="1927"/>
      <c r="J55" s="1242"/>
      <c r="K55" s="570" t="s">
        <v>87</v>
      </c>
      <c r="L55" s="571" t="s">
        <v>25</v>
      </c>
      <c r="O55" s="183">
        <v>1</v>
      </c>
      <c r="P55" s="568" t="s">
        <v>20</v>
      </c>
    </row>
    <row r="56" spans="1:16" ht="30" customHeight="1" x14ac:dyDescent="0.2">
      <c r="A56" s="183" t="s">
        <v>97</v>
      </c>
      <c r="B56" s="1980"/>
      <c r="C56" s="573" t="s">
        <v>98</v>
      </c>
      <c r="D56" s="574"/>
      <c r="E56" s="56"/>
      <c r="F56" s="56"/>
      <c r="G56" s="574"/>
      <c r="H56" s="575"/>
      <c r="I56" s="1927"/>
      <c r="J56" s="1242"/>
      <c r="K56" s="570" t="s">
        <v>87</v>
      </c>
      <c r="L56" s="571" t="s">
        <v>25</v>
      </c>
      <c r="O56" s="183">
        <v>1</v>
      </c>
      <c r="P56" s="568" t="s">
        <v>20</v>
      </c>
    </row>
    <row r="57" spans="1:16" ht="30" customHeight="1" x14ac:dyDescent="0.2">
      <c r="A57" s="183" t="s">
        <v>97</v>
      </c>
      <c r="B57" s="1992"/>
      <c r="C57" s="1306" t="s">
        <v>99</v>
      </c>
      <c r="D57" s="1307"/>
      <c r="E57" s="1307"/>
      <c r="F57" s="1307"/>
      <c r="G57" s="1307"/>
      <c r="H57" s="1308"/>
      <c r="I57" s="1928"/>
      <c r="J57" s="1243"/>
      <c r="K57" s="570" t="s">
        <v>87</v>
      </c>
      <c r="L57" s="571" t="s">
        <v>25</v>
      </c>
      <c r="O57" s="183">
        <v>1</v>
      </c>
      <c r="P57" s="568" t="s">
        <v>20</v>
      </c>
    </row>
    <row r="58" spans="1:16" ht="30" customHeight="1" x14ac:dyDescent="0.2">
      <c r="A58" s="67"/>
      <c r="B58" s="1979" t="s">
        <v>567</v>
      </c>
      <c r="C58" s="1981" t="s">
        <v>134</v>
      </c>
      <c r="D58" s="1982"/>
      <c r="E58" s="1983" t="s">
        <v>239</v>
      </c>
      <c r="F58" s="1983"/>
      <c r="G58" s="1984" t="s">
        <v>570</v>
      </c>
      <c r="H58" s="1985"/>
      <c r="I58" s="1986">
        <f>+'[2]Datos CESANTES'!$D$8</f>
        <v>45</v>
      </c>
      <c r="J58" s="1241">
        <f>+'[2]Datos CESANTES'!$E$8</f>
        <v>0.85</v>
      </c>
      <c r="K58" s="570" t="s">
        <v>567</v>
      </c>
      <c r="L58" s="571" t="s">
        <v>25</v>
      </c>
      <c r="N58" s="182" t="s">
        <v>30</v>
      </c>
      <c r="O58" s="183">
        <v>1</v>
      </c>
      <c r="P58" s="568" t="s">
        <v>20</v>
      </c>
    </row>
    <row r="59" spans="1:16" ht="30" customHeight="1" x14ac:dyDescent="0.2">
      <c r="A59" s="67"/>
      <c r="B59" s="1980"/>
      <c r="C59" s="1988" t="s">
        <v>568</v>
      </c>
      <c r="D59" s="1889"/>
      <c r="E59" s="1889" t="s">
        <v>569</v>
      </c>
      <c r="F59" s="1889"/>
      <c r="G59" s="1889"/>
      <c r="H59" s="1890"/>
      <c r="I59" s="1987"/>
      <c r="J59" s="1242"/>
      <c r="K59" s="570" t="s">
        <v>567</v>
      </c>
      <c r="L59" s="571" t="s">
        <v>25</v>
      </c>
      <c r="O59" s="183">
        <v>1</v>
      </c>
      <c r="P59" s="568" t="s">
        <v>20</v>
      </c>
    </row>
    <row r="60" spans="1:16" s="577" customFormat="1" ht="30" customHeight="1" x14ac:dyDescent="0.2">
      <c r="A60" s="67"/>
      <c r="B60" s="1910" t="s">
        <v>584</v>
      </c>
      <c r="C60" s="1457" t="s">
        <v>585</v>
      </c>
      <c r="D60" s="1219"/>
      <c r="E60" s="1972" t="s">
        <v>588</v>
      </c>
      <c r="F60" s="1972"/>
      <c r="G60" s="1972" t="s">
        <v>587</v>
      </c>
      <c r="H60" s="1973"/>
      <c r="I60" s="1926">
        <f>+'[2]Datos CESANTES'!$D$10</f>
        <v>50</v>
      </c>
      <c r="J60" s="1241">
        <f>+'[2]Datos CESANTES'!$E$10</f>
        <v>0.85</v>
      </c>
      <c r="K60" s="570" t="s">
        <v>584</v>
      </c>
      <c r="L60" s="571" t="s">
        <v>25</v>
      </c>
      <c r="M60" s="576"/>
      <c r="N60" s="182" t="s">
        <v>30</v>
      </c>
      <c r="O60" s="183">
        <v>1</v>
      </c>
      <c r="P60" s="568" t="s">
        <v>20</v>
      </c>
    </row>
    <row r="61" spans="1:16" s="577" customFormat="1" ht="39.950000000000003" customHeight="1" x14ac:dyDescent="0.2">
      <c r="A61" s="67"/>
      <c r="B61" s="1971"/>
      <c r="C61" s="1974" t="s">
        <v>589</v>
      </c>
      <c r="D61" s="1972"/>
      <c r="E61" s="1192" t="s">
        <v>138</v>
      </c>
      <c r="F61" s="1192"/>
      <c r="G61" s="1975" t="s">
        <v>586</v>
      </c>
      <c r="H61" s="1976"/>
      <c r="I61" s="1927"/>
      <c r="J61" s="1242"/>
      <c r="K61" s="570" t="s">
        <v>584</v>
      </c>
      <c r="L61" s="571" t="s">
        <v>25</v>
      </c>
      <c r="M61" s="576"/>
      <c r="O61" s="183">
        <v>1</v>
      </c>
      <c r="P61" s="568" t="s">
        <v>20</v>
      </c>
    </row>
    <row r="62" spans="1:16" s="577" customFormat="1" ht="30" customHeight="1" x14ac:dyDescent="0.2">
      <c r="A62" s="183" t="s">
        <v>97</v>
      </c>
      <c r="B62" s="1971"/>
      <c r="C62" s="1452" t="s">
        <v>98</v>
      </c>
      <c r="D62" s="1977"/>
      <c r="E62" s="1977"/>
      <c r="F62" s="1977"/>
      <c r="G62" s="1977"/>
      <c r="H62" s="1978"/>
      <c r="I62" s="1927"/>
      <c r="J62" s="1242"/>
      <c r="K62" s="570" t="s">
        <v>584</v>
      </c>
      <c r="L62" s="571" t="s">
        <v>25</v>
      </c>
      <c r="M62" s="576"/>
      <c r="O62" s="183">
        <v>1</v>
      </c>
      <c r="P62" s="568" t="s">
        <v>20</v>
      </c>
    </row>
    <row r="63" spans="1:16" s="577" customFormat="1" ht="30" customHeight="1" x14ac:dyDescent="0.2">
      <c r="A63" s="183" t="s">
        <v>97</v>
      </c>
      <c r="B63" s="1971"/>
      <c r="C63" s="1452" t="s">
        <v>590</v>
      </c>
      <c r="D63" s="1192"/>
      <c r="E63" s="1192"/>
      <c r="F63" s="1192"/>
      <c r="G63" s="1192"/>
      <c r="H63" s="1215"/>
      <c r="I63" s="1927"/>
      <c r="J63" s="1242"/>
      <c r="K63" s="570" t="s">
        <v>584</v>
      </c>
      <c r="L63" s="571" t="s">
        <v>25</v>
      </c>
      <c r="M63" s="576"/>
      <c r="O63" s="183">
        <v>1</v>
      </c>
      <c r="P63" s="568" t="s">
        <v>20</v>
      </c>
    </row>
    <row r="64" spans="1:16" s="577" customFormat="1" ht="30" customHeight="1" x14ac:dyDescent="0.2">
      <c r="A64" s="67"/>
      <c r="B64" s="1910" t="s">
        <v>571</v>
      </c>
      <c r="C64" s="1851" t="s">
        <v>596</v>
      </c>
      <c r="D64" s="1852"/>
      <c r="E64" s="1896" t="s">
        <v>597</v>
      </c>
      <c r="F64" s="1896"/>
      <c r="G64" s="1809" t="s">
        <v>598</v>
      </c>
      <c r="H64" s="1810"/>
      <c r="I64" s="1397">
        <f>'[2]Datos CESANTES'!$D$9</f>
        <v>40</v>
      </c>
      <c r="J64" s="915">
        <f>'[2]Datos CESANTES'!$E$9</f>
        <v>0.85</v>
      </c>
      <c r="K64" s="570" t="s">
        <v>571</v>
      </c>
      <c r="L64" s="571" t="s">
        <v>25</v>
      </c>
      <c r="M64" s="576"/>
      <c r="N64" s="182" t="s">
        <v>30</v>
      </c>
      <c r="O64" s="183">
        <v>1</v>
      </c>
      <c r="P64" s="568" t="s">
        <v>20</v>
      </c>
    </row>
    <row r="65" spans="1:16" s="577" customFormat="1" ht="30" customHeight="1" x14ac:dyDescent="0.2">
      <c r="A65" s="67"/>
      <c r="B65" s="1911"/>
      <c r="C65" s="1845" t="s">
        <v>599</v>
      </c>
      <c r="D65" s="1846"/>
      <c r="E65" s="1846" t="s">
        <v>600</v>
      </c>
      <c r="F65" s="1846"/>
      <c r="G65" s="578"/>
      <c r="H65" s="579"/>
      <c r="I65" s="1398"/>
      <c r="J65" s="916"/>
      <c r="K65" s="570" t="s">
        <v>571</v>
      </c>
      <c r="L65" s="571" t="s">
        <v>25</v>
      </c>
      <c r="M65" s="576"/>
      <c r="O65" s="183">
        <v>1</v>
      </c>
      <c r="P65" s="568" t="s">
        <v>20</v>
      </c>
    </row>
    <row r="66" spans="1:16" s="66" customFormat="1" ht="39.950000000000003" customHeight="1" x14ac:dyDescent="0.2">
      <c r="B66" s="1970" t="s">
        <v>591</v>
      </c>
      <c r="C66" s="1462" t="s">
        <v>592</v>
      </c>
      <c r="D66" s="1462"/>
      <c r="E66" s="1462" t="s">
        <v>176</v>
      </c>
      <c r="F66" s="1462"/>
      <c r="G66" s="1462" t="s">
        <v>593</v>
      </c>
      <c r="H66" s="1462"/>
      <c r="I66" s="1868">
        <f>+'[2]Datos CESANTES'!$D$11</f>
        <v>80</v>
      </c>
      <c r="J66" s="1467">
        <f>+'[2]Datos CESANTES'!$E$11</f>
        <v>0.75</v>
      </c>
      <c r="K66" s="570" t="s">
        <v>591</v>
      </c>
      <c r="L66" s="571" t="s">
        <v>25</v>
      </c>
      <c r="N66" s="182" t="s">
        <v>30</v>
      </c>
      <c r="O66" s="183">
        <v>1</v>
      </c>
      <c r="P66" s="568" t="s">
        <v>20</v>
      </c>
    </row>
    <row r="67" spans="1:16" s="66" customFormat="1" ht="39.950000000000003" customHeight="1" x14ac:dyDescent="0.2">
      <c r="B67" s="1967"/>
      <c r="C67" s="1213" t="s">
        <v>594</v>
      </c>
      <c r="D67" s="1213"/>
      <c r="E67" s="166"/>
      <c r="F67" s="166"/>
      <c r="G67" s="166"/>
      <c r="H67" s="166"/>
      <c r="I67" s="1969"/>
      <c r="J67" s="1503"/>
      <c r="K67" s="570" t="s">
        <v>591</v>
      </c>
      <c r="L67" s="571" t="s">
        <v>25</v>
      </c>
      <c r="N67" s="67"/>
      <c r="O67" s="183">
        <v>1</v>
      </c>
      <c r="P67" s="568" t="s">
        <v>20</v>
      </c>
    </row>
    <row r="68" spans="1:16" s="66" customFormat="1" ht="45.75" customHeight="1" x14ac:dyDescent="0.2">
      <c r="A68" s="537"/>
      <c r="B68" s="1965" t="s">
        <v>758</v>
      </c>
      <c r="C68" s="1452" t="s">
        <v>759</v>
      </c>
      <c r="D68" s="1192"/>
      <c r="E68" s="1192" t="s">
        <v>779</v>
      </c>
      <c r="F68" s="1192"/>
      <c r="G68" s="1192" t="s">
        <v>761</v>
      </c>
      <c r="H68" s="1215"/>
      <c r="I68" s="1968">
        <f>+'[2]Datos CESANTES'!$D$12</f>
        <v>90</v>
      </c>
      <c r="J68" s="1502">
        <f>+'[2]Datos CESANTES'!$E$12</f>
        <v>0.7</v>
      </c>
      <c r="K68" s="570" t="s">
        <v>758</v>
      </c>
      <c r="L68" s="571" t="s">
        <v>25</v>
      </c>
      <c r="N68" s="182" t="s">
        <v>30</v>
      </c>
      <c r="O68" s="183">
        <v>1</v>
      </c>
      <c r="P68" s="568" t="s">
        <v>20</v>
      </c>
    </row>
    <row r="69" spans="1:16" s="66" customFormat="1" ht="30" customHeight="1" x14ac:dyDescent="0.2">
      <c r="A69" s="537"/>
      <c r="B69" s="1966"/>
      <c r="C69" s="1452" t="s">
        <v>762</v>
      </c>
      <c r="D69" s="1192"/>
      <c r="E69" s="1192" t="s">
        <v>606</v>
      </c>
      <c r="F69" s="1192"/>
      <c r="G69" s="1192" t="s">
        <v>763</v>
      </c>
      <c r="H69" s="1215"/>
      <c r="I69" s="1869"/>
      <c r="J69" s="1468"/>
      <c r="K69" s="570" t="s">
        <v>758</v>
      </c>
      <c r="L69" s="571" t="s">
        <v>25</v>
      </c>
      <c r="O69" s="183">
        <v>1</v>
      </c>
      <c r="P69" s="568" t="s">
        <v>20</v>
      </c>
    </row>
    <row r="70" spans="1:16" s="66" customFormat="1" ht="30" customHeight="1" x14ac:dyDescent="0.2">
      <c r="A70" s="537"/>
      <c r="B70" s="1966"/>
      <c r="C70" s="1452" t="s">
        <v>874</v>
      </c>
      <c r="D70" s="1192"/>
      <c r="G70" s="346"/>
      <c r="H70" s="347"/>
      <c r="I70" s="1869"/>
      <c r="J70" s="1468"/>
      <c r="K70" s="570" t="s">
        <v>758</v>
      </c>
      <c r="L70" s="571" t="s">
        <v>25</v>
      </c>
      <c r="O70" s="183">
        <v>1</v>
      </c>
      <c r="P70" s="568" t="s">
        <v>20</v>
      </c>
    </row>
    <row r="71" spans="1:16" s="66" customFormat="1" ht="30" customHeight="1" x14ac:dyDescent="0.2">
      <c r="A71" s="572" t="s">
        <v>69</v>
      </c>
      <c r="B71" s="1966"/>
      <c r="C71" s="1452" t="s">
        <v>765</v>
      </c>
      <c r="D71" s="1192"/>
      <c r="E71" s="1192"/>
      <c r="F71" s="1192"/>
      <c r="G71" s="1192"/>
      <c r="H71" s="1215"/>
      <c r="I71" s="1869"/>
      <c r="J71" s="1468"/>
      <c r="K71" s="570" t="s">
        <v>758</v>
      </c>
      <c r="L71" s="571" t="s">
        <v>25</v>
      </c>
      <c r="O71" s="183">
        <v>1</v>
      </c>
      <c r="P71" s="568" t="s">
        <v>20</v>
      </c>
    </row>
    <row r="72" spans="1:16" s="66" customFormat="1" ht="30" customHeight="1" x14ac:dyDescent="0.2">
      <c r="A72" s="183" t="s">
        <v>97</v>
      </c>
      <c r="B72" s="1966"/>
      <c r="C72" s="1452" t="s">
        <v>98</v>
      </c>
      <c r="D72" s="1192"/>
      <c r="E72" s="1192"/>
      <c r="F72" s="1192"/>
      <c r="G72" s="1192"/>
      <c r="H72" s="1215"/>
      <c r="I72" s="1869"/>
      <c r="J72" s="1468"/>
      <c r="K72" s="570" t="s">
        <v>758</v>
      </c>
      <c r="L72" s="571" t="s">
        <v>25</v>
      </c>
      <c r="O72" s="183">
        <v>1</v>
      </c>
      <c r="P72" s="568" t="s">
        <v>20</v>
      </c>
    </row>
    <row r="73" spans="1:16" s="66" customFormat="1" ht="30" customHeight="1" x14ac:dyDescent="0.2">
      <c r="A73" s="183" t="s">
        <v>97</v>
      </c>
      <c r="B73" s="1967"/>
      <c r="C73" s="1962" t="s">
        <v>766</v>
      </c>
      <c r="D73" s="1963"/>
      <c r="E73" s="1963"/>
      <c r="F73" s="1963"/>
      <c r="G73" s="1963"/>
      <c r="H73" s="1964"/>
      <c r="I73" s="1969"/>
      <c r="J73" s="1503"/>
      <c r="K73" s="570" t="s">
        <v>758</v>
      </c>
      <c r="L73" s="571" t="s">
        <v>25</v>
      </c>
      <c r="O73" s="183">
        <v>1</v>
      </c>
      <c r="P73" s="568" t="s">
        <v>20</v>
      </c>
    </row>
    <row r="74" spans="1:16" s="66" customFormat="1" ht="39.950000000000003" customHeight="1" x14ac:dyDescent="0.2">
      <c r="A74" s="67"/>
      <c r="B74" s="541" t="s">
        <v>601</v>
      </c>
      <c r="C74" s="1252" t="s">
        <v>602</v>
      </c>
      <c r="D74" s="1252"/>
      <c r="E74" s="1252"/>
      <c r="F74" s="1252"/>
      <c r="G74" s="1252"/>
      <c r="H74" s="1252"/>
      <c r="I74" s="580">
        <f>+'[2]Datos CESANTES'!$D$13</f>
        <v>35</v>
      </c>
      <c r="J74" s="353">
        <f>+'[2]Datos CESANTES'!$E$13</f>
        <v>0.9</v>
      </c>
      <c r="K74" s="570" t="s">
        <v>601</v>
      </c>
      <c r="L74" s="571" t="s">
        <v>25</v>
      </c>
      <c r="M74" s="67"/>
      <c r="N74" s="182" t="s">
        <v>30</v>
      </c>
      <c r="O74" s="183">
        <v>1</v>
      </c>
      <c r="P74" s="568" t="s">
        <v>20</v>
      </c>
    </row>
    <row r="75" spans="1:16" ht="39.950000000000003" customHeight="1" x14ac:dyDescent="0.2">
      <c r="A75" s="149"/>
      <c r="B75" s="471" t="s">
        <v>603</v>
      </c>
      <c r="C75" s="1252" t="s">
        <v>604</v>
      </c>
      <c r="D75" s="1252"/>
      <c r="E75" s="1252"/>
      <c r="F75" s="1252"/>
      <c r="G75" s="1252"/>
      <c r="H75" s="1252"/>
      <c r="I75" s="580">
        <f>+'[2]Datos CESANTES'!$D$14</f>
        <v>55</v>
      </c>
      <c r="J75" s="353">
        <f>+'[2]Datos CESANTES'!$E$14</f>
        <v>0.85</v>
      </c>
      <c r="K75" s="570" t="s">
        <v>603</v>
      </c>
      <c r="L75" s="571" t="s">
        <v>25</v>
      </c>
      <c r="M75" s="149"/>
      <c r="N75" s="182" t="s">
        <v>30</v>
      </c>
      <c r="O75" s="183">
        <v>1</v>
      </c>
      <c r="P75" s="568" t="s">
        <v>20</v>
      </c>
    </row>
    <row r="76" spans="1:16" ht="39.950000000000003" customHeight="1" x14ac:dyDescent="0.2">
      <c r="A76" s="45"/>
      <c r="B76" s="780" t="s">
        <v>769</v>
      </c>
      <c r="C76" s="1252" t="s">
        <v>770</v>
      </c>
      <c r="D76" s="1252"/>
      <c r="E76" s="1252"/>
      <c r="F76" s="1252"/>
      <c r="G76" s="1252"/>
      <c r="H76" s="1252"/>
      <c r="I76" s="580">
        <f>+'[2]Datos CESANTES'!$D$15</f>
        <v>115</v>
      </c>
      <c r="J76" s="781">
        <f>+'[2]Datos CESANTES'!$E$15</f>
        <v>0.65</v>
      </c>
      <c r="K76" s="570" t="s">
        <v>769</v>
      </c>
      <c r="L76" s="571" t="s">
        <v>25</v>
      </c>
      <c r="M76" s="66"/>
      <c r="N76" s="182" t="s">
        <v>30</v>
      </c>
      <c r="O76" s="183">
        <v>1</v>
      </c>
      <c r="P76" s="568" t="s">
        <v>20</v>
      </c>
    </row>
    <row r="77" spans="1:16" s="66" customFormat="1" ht="30" customHeight="1" x14ac:dyDescent="0.2">
      <c r="A77" s="183"/>
      <c r="B77" s="541" t="s">
        <v>767</v>
      </c>
      <c r="C77" s="1432" t="s">
        <v>768</v>
      </c>
      <c r="D77" s="1433"/>
      <c r="E77" s="432"/>
      <c r="F77" s="432"/>
      <c r="G77" s="432"/>
      <c r="H77" s="433"/>
      <c r="I77" s="580">
        <v>120</v>
      </c>
      <c r="J77" s="353">
        <v>0.6</v>
      </c>
      <c r="L77" s="661"/>
      <c r="O77" s="67"/>
      <c r="P77" s="586"/>
    </row>
    <row r="78" spans="1:16" s="24" customFormat="1" ht="19.5" customHeight="1" x14ac:dyDescent="0.2">
      <c r="B78" s="62"/>
      <c r="C78" s="63"/>
      <c r="D78" s="63"/>
      <c r="E78" s="63"/>
      <c r="F78" s="63"/>
      <c r="G78" s="63"/>
      <c r="H78" s="63"/>
      <c r="I78" s="64"/>
      <c r="J78" s="65"/>
      <c r="K78" s="1"/>
      <c r="L78" s="2"/>
      <c r="M78" s="3"/>
      <c r="N78" s="4"/>
      <c r="O78" s="2"/>
      <c r="P78" s="18"/>
    </row>
    <row r="79" spans="1:16" s="24" customFormat="1" ht="30" customHeight="1" x14ac:dyDescent="0.2">
      <c r="A79" s="4"/>
      <c r="B79" s="904" t="s">
        <v>100</v>
      </c>
      <c r="C79" s="905"/>
      <c r="D79" s="905"/>
      <c r="E79" s="905"/>
      <c r="F79" s="905"/>
      <c r="G79" s="905"/>
      <c r="H79" s="906"/>
      <c r="I79" s="34" t="s">
        <v>17</v>
      </c>
      <c r="J79" s="35" t="s">
        <v>18</v>
      </c>
      <c r="K79" s="18"/>
      <c r="L79" s="58"/>
      <c r="M79" s="3"/>
      <c r="N79" s="4"/>
      <c r="O79" s="4"/>
      <c r="P79" s="59"/>
    </row>
    <row r="80" spans="1:16" ht="391.5" customHeight="1" x14ac:dyDescent="0.2">
      <c r="A80" s="45"/>
      <c r="B80" s="1783" t="s">
        <v>101</v>
      </c>
      <c r="C80" s="1250" t="s">
        <v>875</v>
      </c>
      <c r="D80" s="1301"/>
      <c r="E80" s="1301"/>
      <c r="F80" s="1301"/>
      <c r="G80" s="1301"/>
      <c r="H80" s="1302"/>
      <c r="I80" s="1698">
        <v>0</v>
      </c>
      <c r="J80" s="915">
        <v>1</v>
      </c>
      <c r="K80" s="226" t="s">
        <v>103</v>
      </c>
      <c r="L80" s="183">
        <v>3</v>
      </c>
      <c r="N80" s="182" t="s">
        <v>30</v>
      </c>
      <c r="O80" s="183">
        <v>3</v>
      </c>
      <c r="P80" s="568" t="s">
        <v>20</v>
      </c>
    </row>
    <row r="81" spans="1:25" ht="169.5" customHeight="1" x14ac:dyDescent="0.2">
      <c r="A81" s="45"/>
      <c r="B81" s="1785"/>
      <c r="C81" s="1303" t="s">
        <v>104</v>
      </c>
      <c r="D81" s="1304"/>
      <c r="E81" s="1304"/>
      <c r="F81" s="1304"/>
      <c r="G81" s="1304"/>
      <c r="H81" s="1305"/>
      <c r="I81" s="1700"/>
      <c r="J81" s="916"/>
      <c r="K81" s="226" t="s">
        <v>103</v>
      </c>
      <c r="L81" s="183">
        <v>3</v>
      </c>
      <c r="N81" s="182" t="s">
        <v>30</v>
      </c>
      <c r="O81" s="183">
        <v>3</v>
      </c>
      <c r="P81" s="568" t="s">
        <v>20</v>
      </c>
    </row>
    <row r="82" spans="1:25" s="24" customFormat="1" ht="20.100000000000001" customHeight="1" x14ac:dyDescent="0.2">
      <c r="B82" s="62"/>
      <c r="C82" s="63"/>
      <c r="D82" s="63"/>
      <c r="E82" s="63"/>
      <c r="F82" s="63"/>
      <c r="G82" s="63"/>
      <c r="H82" s="63"/>
      <c r="I82" s="64"/>
      <c r="J82" s="65"/>
      <c r="K82" s="1"/>
      <c r="L82" s="2"/>
      <c r="M82" s="3"/>
      <c r="N82" s="4"/>
      <c r="O82" s="2"/>
      <c r="P82" s="18"/>
    </row>
    <row r="83" spans="1:25" s="24" customFormat="1" ht="30" customHeight="1" x14ac:dyDescent="0.2">
      <c r="A83" s="4"/>
      <c r="B83" s="904" t="s">
        <v>105</v>
      </c>
      <c r="C83" s="905"/>
      <c r="D83" s="905"/>
      <c r="E83" s="905"/>
      <c r="F83" s="905"/>
      <c r="G83" s="905"/>
      <c r="H83" s="906"/>
      <c r="I83" s="34" t="s">
        <v>17</v>
      </c>
      <c r="J83" s="35" t="s">
        <v>18</v>
      </c>
      <c r="K83" s="18"/>
      <c r="L83" s="58"/>
      <c r="M83" s="3"/>
      <c r="N83" s="4"/>
      <c r="O83" s="4"/>
      <c r="P83" s="59"/>
    </row>
    <row r="84" spans="1:25" ht="214.5" customHeight="1" x14ac:dyDescent="0.2">
      <c r="A84" s="45"/>
      <c r="B84" s="538" t="s">
        <v>106</v>
      </c>
      <c r="C84" s="1292" t="s">
        <v>107</v>
      </c>
      <c r="D84" s="1292"/>
      <c r="E84" s="1292"/>
      <c r="F84" s="1292"/>
      <c r="G84" s="1292"/>
      <c r="H84" s="1292"/>
      <c r="I84" s="409">
        <f>+'[2]Datos CESANTES'!$G$33</f>
        <v>50</v>
      </c>
      <c r="J84" s="42">
        <v>1</v>
      </c>
      <c r="K84" s="226" t="s">
        <v>108</v>
      </c>
      <c r="L84" s="183">
        <v>4</v>
      </c>
      <c r="M84" s="181"/>
      <c r="N84" s="182" t="s">
        <v>30</v>
      </c>
      <c r="O84" s="183">
        <v>4</v>
      </c>
      <c r="P84" s="568" t="s">
        <v>20</v>
      </c>
    </row>
    <row r="85" spans="1:25" ht="96" customHeight="1" x14ac:dyDescent="0.2">
      <c r="A85" s="45"/>
      <c r="B85" s="538" t="s">
        <v>109</v>
      </c>
      <c r="C85" s="1958" t="s">
        <v>110</v>
      </c>
      <c r="D85" s="1958"/>
      <c r="E85" s="1958"/>
      <c r="F85" s="1958"/>
      <c r="G85" s="1958"/>
      <c r="H85" s="1958"/>
      <c r="I85" s="409">
        <f>+'[2]Datos CESANTES'!$G$34</f>
        <v>80</v>
      </c>
      <c r="J85" s="42">
        <v>1</v>
      </c>
      <c r="K85" s="226" t="s">
        <v>111</v>
      </c>
      <c r="L85" s="183">
        <v>5</v>
      </c>
      <c r="N85" s="182" t="s">
        <v>30</v>
      </c>
      <c r="O85" s="183">
        <v>5</v>
      </c>
      <c r="P85" s="568" t="s">
        <v>20</v>
      </c>
    </row>
    <row r="86" spans="1:25" ht="60" customHeight="1" x14ac:dyDescent="0.2">
      <c r="A86" s="45"/>
      <c r="B86" s="538" t="s">
        <v>112</v>
      </c>
      <c r="C86" s="1959" t="s">
        <v>113</v>
      </c>
      <c r="D86" s="1960"/>
      <c r="E86" s="1960"/>
      <c r="F86" s="1960"/>
      <c r="G86" s="1960"/>
      <c r="H86" s="1961"/>
      <c r="I86" s="409">
        <f>+'[2]Datos CESANTES'!$G$35</f>
        <v>40</v>
      </c>
      <c r="J86" s="42">
        <v>1</v>
      </c>
      <c r="K86" s="226" t="s">
        <v>114</v>
      </c>
      <c r="L86" s="183">
        <v>6</v>
      </c>
      <c r="N86" s="182" t="s">
        <v>30</v>
      </c>
      <c r="O86" s="183">
        <v>6</v>
      </c>
      <c r="P86" s="568" t="s">
        <v>20</v>
      </c>
    </row>
    <row r="87" spans="1:25" s="24" customFormat="1" x14ac:dyDescent="0.2">
      <c r="B87" s="479"/>
      <c r="C87" s="531"/>
      <c r="D87" s="531"/>
      <c r="E87" s="531"/>
      <c r="F87" s="531"/>
      <c r="G87" s="531"/>
      <c r="H87" s="532"/>
      <c r="I87" s="77"/>
      <c r="J87" s="78"/>
      <c r="L87" s="23"/>
      <c r="M87" s="23"/>
      <c r="N87" s="23"/>
      <c r="O87" s="23"/>
      <c r="P87" s="322"/>
    </row>
    <row r="88" spans="1:25" s="24" customFormat="1" ht="30" customHeight="1" x14ac:dyDescent="0.2">
      <c r="A88" s="4"/>
      <c r="B88" s="1223" t="s">
        <v>115</v>
      </c>
      <c r="C88" s="1223"/>
      <c r="D88" s="1223"/>
      <c r="E88" s="1223"/>
      <c r="F88" s="1223"/>
      <c r="G88" s="1223"/>
      <c r="H88" s="1223"/>
      <c r="I88" s="34" t="s">
        <v>17</v>
      </c>
      <c r="J88" s="35" t="s">
        <v>18</v>
      </c>
      <c r="K88" s="66"/>
      <c r="L88" s="67"/>
      <c r="M88" s="68"/>
      <c r="N88" s="46" t="s">
        <v>30</v>
      </c>
      <c r="O88" s="67"/>
      <c r="P88" s="66"/>
    </row>
    <row r="89" spans="1:25" ht="30" customHeight="1" x14ac:dyDescent="0.2">
      <c r="A89" s="45"/>
      <c r="B89" s="1297" t="s">
        <v>116</v>
      </c>
      <c r="C89" s="1298"/>
      <c r="D89" s="1298"/>
      <c r="E89" s="1298"/>
      <c r="F89" s="1298"/>
      <c r="G89" s="1298"/>
      <c r="H89" s="1298"/>
      <c r="I89" s="1298"/>
      <c r="J89" s="1299"/>
      <c r="K89" s="66"/>
      <c r="L89" s="67"/>
      <c r="O89" s="67"/>
      <c r="R89" s="69"/>
      <c r="U89" s="70"/>
      <c r="V89" s="71"/>
      <c r="W89" s="71"/>
      <c r="X89" s="72"/>
      <c r="Y89" s="69"/>
    </row>
    <row r="90" spans="1:25" ht="30" customHeight="1" x14ac:dyDescent="0.2">
      <c r="A90" s="45"/>
      <c r="B90" s="1268" t="s">
        <v>117</v>
      </c>
      <c r="C90" s="1268"/>
      <c r="D90" s="1268"/>
      <c r="E90" s="1268"/>
      <c r="F90" s="1268"/>
      <c r="G90" s="1268"/>
      <c r="H90" s="1268"/>
      <c r="I90" s="1268"/>
      <c r="J90" s="1268"/>
      <c r="K90" s="66"/>
      <c r="L90" s="67"/>
      <c r="O90" s="67"/>
      <c r="R90" s="69"/>
      <c r="U90" s="70"/>
      <c r="V90" s="71"/>
      <c r="W90" s="71"/>
      <c r="X90" s="72"/>
      <c r="Y90" s="69"/>
    </row>
    <row r="91" spans="1:25" ht="30" customHeight="1" x14ac:dyDescent="0.2">
      <c r="A91" s="45"/>
      <c r="B91" s="1065" t="s">
        <v>118</v>
      </c>
      <c r="C91" s="1065"/>
      <c r="D91" s="1065"/>
      <c r="E91" s="1065"/>
      <c r="F91" s="1065"/>
      <c r="G91" s="1065"/>
      <c r="H91" s="1065"/>
      <c r="I91" s="61">
        <v>0</v>
      </c>
      <c r="J91" s="42">
        <v>1</v>
      </c>
      <c r="K91" s="66"/>
      <c r="L91" s="67"/>
      <c r="O91" s="67"/>
      <c r="R91" s="69"/>
      <c r="U91" s="70"/>
      <c r="V91" s="71"/>
      <c r="W91" s="71"/>
      <c r="X91" s="72"/>
      <c r="Y91" s="69"/>
    </row>
    <row r="92" spans="1:25" ht="30" customHeight="1" x14ac:dyDescent="0.2">
      <c r="A92" s="1268" t="s">
        <v>119</v>
      </c>
      <c r="B92" s="1268"/>
      <c r="C92" s="1268"/>
      <c r="D92" s="1268"/>
      <c r="E92" s="1268"/>
      <c r="F92" s="1268"/>
      <c r="G92" s="1268"/>
      <c r="H92" s="1268"/>
      <c r="I92" s="1268"/>
      <c r="J92" s="1268"/>
      <c r="K92" s="66"/>
      <c r="L92" s="67"/>
      <c r="N92" s="46" t="s">
        <v>30</v>
      </c>
      <c r="O92" s="67"/>
      <c r="R92" s="69"/>
      <c r="U92" s="70"/>
      <c r="V92" s="71"/>
      <c r="W92" s="71"/>
      <c r="X92" s="72"/>
      <c r="Y92" s="69"/>
    </row>
    <row r="93" spans="1:25" ht="99" customHeight="1" x14ac:dyDescent="0.2">
      <c r="A93" s="1065" t="s">
        <v>120</v>
      </c>
      <c r="B93" s="1065"/>
      <c r="C93" s="1065"/>
      <c r="D93" s="1065"/>
      <c r="E93" s="1065"/>
      <c r="F93" s="1065"/>
      <c r="G93" s="1065"/>
      <c r="H93" s="1065"/>
      <c r="I93" s="61">
        <v>0</v>
      </c>
      <c r="J93" s="42">
        <v>1</v>
      </c>
      <c r="K93" s="66"/>
      <c r="L93" s="67"/>
      <c r="O93" s="67"/>
      <c r="R93" s="69"/>
      <c r="U93" s="70"/>
      <c r="V93" s="71"/>
      <c r="W93" s="71"/>
      <c r="X93" s="72"/>
      <c r="Y93" s="69"/>
    </row>
    <row r="94" spans="1:25" ht="243" customHeight="1" x14ac:dyDescent="0.2">
      <c r="A94" s="73"/>
      <c r="B94" s="1065" t="s">
        <v>121</v>
      </c>
      <c r="C94" s="1065"/>
      <c r="D94" s="1065"/>
      <c r="E94" s="1065"/>
      <c r="F94" s="1065"/>
      <c r="G94" s="1065"/>
      <c r="H94" s="1065"/>
      <c r="I94" s="1065"/>
      <c r="J94" s="1065"/>
      <c r="K94" s="66"/>
      <c r="L94" s="67"/>
      <c r="O94" s="67"/>
      <c r="R94" s="69"/>
      <c r="U94" s="70"/>
      <c r="V94" s="71"/>
      <c r="W94" s="71"/>
      <c r="X94" s="72"/>
      <c r="Y94" s="69"/>
    </row>
    <row r="95" spans="1:25" s="24" customFormat="1" ht="20.100000000000001" customHeight="1" x14ac:dyDescent="0.2">
      <c r="B95" s="62"/>
      <c r="C95" s="63"/>
      <c r="D95" s="63"/>
      <c r="E95" s="63"/>
      <c r="F95" s="63"/>
      <c r="G95" s="63"/>
      <c r="H95" s="63"/>
      <c r="I95" s="64"/>
      <c r="J95" s="65"/>
      <c r="K95" s="1"/>
      <c r="L95" s="2"/>
      <c r="M95" s="3"/>
      <c r="N95" s="4"/>
      <c r="O95" s="2"/>
      <c r="P95" s="18"/>
    </row>
    <row r="96" spans="1:25" s="24" customFormat="1" ht="30" customHeight="1" x14ac:dyDescent="0.2">
      <c r="A96" s="4"/>
      <c r="B96" s="904" t="s">
        <v>122</v>
      </c>
      <c r="C96" s="905"/>
      <c r="D96" s="905"/>
      <c r="E96" s="905"/>
      <c r="F96" s="905"/>
      <c r="G96" s="905"/>
      <c r="H96" s="906"/>
      <c r="I96" s="34" t="s">
        <v>17</v>
      </c>
      <c r="J96" s="35" t="s">
        <v>18</v>
      </c>
      <c r="K96" s="43"/>
      <c r="L96" s="44"/>
      <c r="M96" s="3"/>
      <c r="N96" s="4"/>
      <c r="O96" s="37"/>
      <c r="P96" s="38"/>
    </row>
    <row r="97" spans="1:16" ht="54.95" customHeight="1" x14ac:dyDescent="0.2">
      <c r="A97" s="45"/>
      <c r="B97" s="1835" t="s">
        <v>124</v>
      </c>
      <c r="C97" s="1932" t="s">
        <v>125</v>
      </c>
      <c r="D97" s="1933"/>
      <c r="E97" s="1933"/>
      <c r="F97" s="1933"/>
      <c r="G97" s="1933"/>
      <c r="H97" s="1933"/>
      <c r="I97" s="1933"/>
      <c r="J97" s="1955"/>
      <c r="K97" s="226" t="s">
        <v>123</v>
      </c>
      <c r="L97" s="183">
        <v>50</v>
      </c>
      <c r="N97" s="182" t="s">
        <v>30</v>
      </c>
      <c r="O97" s="183">
        <v>50</v>
      </c>
      <c r="P97" s="568" t="s">
        <v>20</v>
      </c>
    </row>
    <row r="98" spans="1:16" ht="30" customHeight="1" x14ac:dyDescent="0.2">
      <c r="A98" s="45"/>
      <c r="B98" s="1836"/>
      <c r="C98" s="1932" t="s">
        <v>126</v>
      </c>
      <c r="D98" s="1933"/>
      <c r="E98" s="1933"/>
      <c r="F98" s="1933"/>
      <c r="G98" s="1933"/>
      <c r="H98" s="1955"/>
      <c r="I98" s="539">
        <v>70</v>
      </c>
      <c r="J98" s="75" t="s">
        <v>127</v>
      </c>
      <c r="K98" s="226" t="s">
        <v>123</v>
      </c>
      <c r="L98" s="183">
        <v>50</v>
      </c>
      <c r="O98" s="183">
        <v>50</v>
      </c>
      <c r="P98" s="568" t="s">
        <v>20</v>
      </c>
    </row>
    <row r="99" spans="1:16" ht="30" customHeight="1" x14ac:dyDescent="0.2">
      <c r="A99" s="45"/>
      <c r="B99" s="1837"/>
      <c r="C99" s="1932" t="s">
        <v>128</v>
      </c>
      <c r="D99" s="1933"/>
      <c r="E99" s="1933"/>
      <c r="F99" s="1933"/>
      <c r="G99" s="1933"/>
      <c r="H99" s="1955"/>
      <c r="I99" s="539">
        <v>50</v>
      </c>
      <c r="J99" s="75" t="s">
        <v>127</v>
      </c>
      <c r="K99" s="226" t="s">
        <v>123</v>
      </c>
      <c r="L99" s="183">
        <v>50</v>
      </c>
      <c r="O99" s="183">
        <v>50</v>
      </c>
      <c r="P99" s="568" t="s">
        <v>20</v>
      </c>
    </row>
    <row r="100" spans="1:16" ht="20.100000000000001" customHeight="1" x14ac:dyDescent="0.2">
      <c r="A100" s="45"/>
      <c r="B100" s="583"/>
      <c r="C100" s="584"/>
      <c r="D100" s="584"/>
      <c r="E100" s="584"/>
      <c r="F100" s="584"/>
      <c r="G100" s="584"/>
      <c r="H100" s="584"/>
      <c r="I100" s="585"/>
      <c r="J100" s="78"/>
      <c r="K100" s="66"/>
      <c r="L100" s="67"/>
      <c r="O100" s="67"/>
      <c r="P100" s="586"/>
    </row>
    <row r="101" spans="1:16" ht="30" customHeight="1" x14ac:dyDescent="0.2">
      <c r="A101" s="45"/>
      <c r="B101" s="1662" t="s">
        <v>145</v>
      </c>
      <c r="C101" s="1956"/>
      <c r="D101" s="1956"/>
      <c r="E101" s="1956"/>
      <c r="F101" s="1956"/>
      <c r="G101" s="1956"/>
      <c r="H101" s="1957"/>
      <c r="I101" s="406" t="s">
        <v>17</v>
      </c>
      <c r="J101" s="35" t="s">
        <v>18</v>
      </c>
      <c r="K101" s="66"/>
      <c r="L101" s="67"/>
      <c r="N101" s="46" t="s">
        <v>30</v>
      </c>
      <c r="O101" s="67"/>
      <c r="P101" s="586"/>
    </row>
    <row r="102" spans="1:16" ht="36.75" customHeight="1" x14ac:dyDescent="0.2">
      <c r="A102" s="45"/>
      <c r="B102" s="1835" t="s">
        <v>26</v>
      </c>
      <c r="C102" s="1944" t="s">
        <v>146</v>
      </c>
      <c r="D102" s="1945"/>
      <c r="E102" s="1945" t="s">
        <v>147</v>
      </c>
      <c r="F102" s="1945"/>
      <c r="G102" s="1945" t="s">
        <v>90</v>
      </c>
      <c r="H102" s="1946"/>
      <c r="I102" s="1949">
        <v>0</v>
      </c>
      <c r="J102" s="962">
        <f>+'[2]Datos CESANTES'!$E$3</f>
        <v>0.9</v>
      </c>
      <c r="K102" s="66"/>
      <c r="L102" s="67"/>
      <c r="O102" s="67"/>
      <c r="P102" s="586"/>
    </row>
    <row r="103" spans="1:16" ht="30" customHeight="1" x14ac:dyDescent="0.2">
      <c r="A103" s="45"/>
      <c r="B103" s="1837"/>
      <c r="C103" s="1929" t="s">
        <v>74</v>
      </c>
      <c r="D103" s="1930"/>
      <c r="E103" s="1265"/>
      <c r="F103" s="1265"/>
      <c r="G103" s="587"/>
      <c r="H103" s="588"/>
      <c r="I103" s="1950"/>
      <c r="J103" s="964"/>
      <c r="K103" s="66"/>
      <c r="L103" s="67"/>
      <c r="O103" s="67"/>
      <c r="P103" s="586"/>
    </row>
    <row r="104" spans="1:16" ht="31.5" customHeight="1" x14ac:dyDescent="0.2">
      <c r="A104" s="45"/>
      <c r="B104" s="1828" t="s">
        <v>71</v>
      </c>
      <c r="C104" s="1938" t="s">
        <v>134</v>
      </c>
      <c r="D104" s="1939"/>
      <c r="E104" s="1939" t="s">
        <v>92</v>
      </c>
      <c r="F104" s="1939"/>
      <c r="G104" s="1939" t="s">
        <v>78</v>
      </c>
      <c r="H104" s="1940"/>
      <c r="I104" s="1765">
        <v>0</v>
      </c>
      <c r="J104" s="962">
        <f>+'[2]Datos CESANTES'!$E$7</f>
        <v>0.85</v>
      </c>
      <c r="K104" s="66"/>
      <c r="L104" s="67"/>
      <c r="O104" s="67"/>
      <c r="P104" s="586"/>
    </row>
    <row r="105" spans="1:16" ht="31.5" customHeight="1" x14ac:dyDescent="0.2">
      <c r="A105" s="45"/>
      <c r="B105" s="1828"/>
      <c r="C105" s="589" t="s">
        <v>149</v>
      </c>
      <c r="D105" s="584"/>
      <c r="E105" s="584" t="s">
        <v>148</v>
      </c>
      <c r="F105" s="584"/>
      <c r="G105" s="584" t="s">
        <v>150</v>
      </c>
      <c r="H105" s="590"/>
      <c r="I105" s="1766"/>
      <c r="J105" s="963"/>
      <c r="K105" s="66"/>
      <c r="L105" s="67"/>
      <c r="O105" s="67"/>
      <c r="P105" s="586"/>
    </row>
    <row r="106" spans="1:16" s="66" customFormat="1" ht="30" customHeight="1" x14ac:dyDescent="0.2">
      <c r="A106" s="149"/>
      <c r="B106" s="1827" t="s">
        <v>87</v>
      </c>
      <c r="C106" s="1944" t="s">
        <v>215</v>
      </c>
      <c r="D106" s="1947"/>
      <c r="E106" s="1945" t="s">
        <v>592</v>
      </c>
      <c r="F106" s="1945"/>
      <c r="G106" s="1945" t="s">
        <v>593</v>
      </c>
      <c r="H106" s="1948"/>
      <c r="I106" s="1949">
        <v>0</v>
      </c>
      <c r="J106" s="1951">
        <f>+'[2]Datos CESANTES'!$E$12</f>
        <v>0.7</v>
      </c>
      <c r="M106" s="67"/>
    </row>
    <row r="107" spans="1:16" s="66" customFormat="1" ht="30" customHeight="1" x14ac:dyDescent="0.2">
      <c r="A107" s="149"/>
      <c r="B107" s="1829"/>
      <c r="C107" s="1929" t="s">
        <v>669</v>
      </c>
      <c r="D107" s="1953"/>
      <c r="E107" s="1388" t="s">
        <v>586</v>
      </c>
      <c r="F107" s="1388"/>
      <c r="G107" s="1930"/>
      <c r="H107" s="1954"/>
      <c r="I107" s="1950"/>
      <c r="J107" s="1952"/>
      <c r="M107" s="67"/>
    </row>
    <row r="108" spans="1:16" ht="20.100000000000001" customHeight="1" x14ac:dyDescent="0.2">
      <c r="A108" s="45"/>
      <c r="B108" s="591"/>
      <c r="C108" s="592"/>
      <c r="D108" s="592"/>
      <c r="E108" s="592"/>
      <c r="F108" s="592"/>
      <c r="G108" s="592"/>
      <c r="H108" s="592"/>
      <c r="I108" s="593"/>
      <c r="J108" s="65"/>
    </row>
    <row r="109" spans="1:16" ht="30" customHeight="1" x14ac:dyDescent="0.2">
      <c r="A109" s="45"/>
      <c r="B109" s="1662" t="s">
        <v>155</v>
      </c>
      <c r="C109" s="1663"/>
      <c r="D109" s="1663"/>
      <c r="E109" s="1663"/>
      <c r="F109" s="1663"/>
      <c r="G109" s="1663"/>
      <c r="H109" s="1664"/>
      <c r="I109" s="406" t="s">
        <v>17</v>
      </c>
      <c r="J109" s="35" t="s">
        <v>18</v>
      </c>
      <c r="K109" s="226" t="s">
        <v>156</v>
      </c>
      <c r="L109" s="183">
        <v>7</v>
      </c>
      <c r="N109" s="182" t="s">
        <v>30</v>
      </c>
      <c r="O109" s="183">
        <v>7</v>
      </c>
      <c r="P109" s="568" t="s">
        <v>157</v>
      </c>
    </row>
    <row r="110" spans="1:16" ht="36" customHeight="1" x14ac:dyDescent="0.2">
      <c r="B110" s="1913" t="s">
        <v>21</v>
      </c>
      <c r="C110" s="1913"/>
      <c r="D110" s="1913"/>
      <c r="E110" s="1913"/>
      <c r="F110" s="1913"/>
      <c r="G110" s="1913"/>
      <c r="H110" s="1913"/>
      <c r="I110" s="1913"/>
      <c r="J110" s="1913"/>
      <c r="L110" s="594"/>
      <c r="O110" s="183">
        <v>7</v>
      </c>
      <c r="P110" s="568" t="s">
        <v>157</v>
      </c>
    </row>
    <row r="111" spans="1:16" ht="78" customHeight="1" x14ac:dyDescent="0.2">
      <c r="A111" s="595"/>
      <c r="B111" s="1166" t="s">
        <v>819</v>
      </c>
      <c r="C111" s="933"/>
      <c r="D111" s="933"/>
      <c r="E111" s="933"/>
      <c r="F111" s="933"/>
      <c r="G111" s="933"/>
      <c r="H111" s="933"/>
      <c r="I111" s="1167"/>
      <c r="J111" s="1168"/>
      <c r="K111" s="596" t="s">
        <v>160</v>
      </c>
      <c r="L111" s="597" t="s">
        <v>161</v>
      </c>
      <c r="O111" s="183">
        <v>7</v>
      </c>
      <c r="P111" s="568" t="s">
        <v>157</v>
      </c>
    </row>
    <row r="112" spans="1:16" ht="39.950000000000003" customHeight="1" x14ac:dyDescent="0.2">
      <c r="B112" s="1718" t="s">
        <v>162</v>
      </c>
      <c r="C112" s="1944" t="s">
        <v>29</v>
      </c>
      <c r="D112" s="1945"/>
      <c r="E112" s="1945" t="s">
        <v>94</v>
      </c>
      <c r="F112" s="1945"/>
      <c r="G112" s="1945" t="s">
        <v>163</v>
      </c>
      <c r="H112" s="1946"/>
      <c r="I112" s="1922">
        <f>+'[2]Datos CESANTES'!$D$31</f>
        <v>20</v>
      </c>
      <c r="J112" s="915">
        <f>+'[2]Datos CESANTES'!$E$31</f>
        <v>0.9</v>
      </c>
      <c r="K112" s="596" t="s">
        <v>160</v>
      </c>
      <c r="L112" s="597" t="s">
        <v>161</v>
      </c>
      <c r="M112" s="598"/>
      <c r="O112" s="183">
        <v>7</v>
      </c>
      <c r="P112" s="568" t="s">
        <v>157</v>
      </c>
    </row>
    <row r="113" spans="1:16" ht="39.950000000000003" customHeight="1" x14ac:dyDescent="0.2">
      <c r="B113" s="1891"/>
      <c r="C113" s="1938" t="s">
        <v>135</v>
      </c>
      <c r="D113" s="1939"/>
      <c r="E113" s="1939" t="s">
        <v>133</v>
      </c>
      <c r="F113" s="1939"/>
      <c r="G113" s="1939" t="s">
        <v>136</v>
      </c>
      <c r="H113" s="1940"/>
      <c r="I113" s="1923"/>
      <c r="J113" s="1045"/>
      <c r="K113" s="596" t="s">
        <v>160</v>
      </c>
      <c r="L113" s="597" t="s">
        <v>161</v>
      </c>
      <c r="M113" s="598"/>
      <c r="O113" s="183">
        <v>7</v>
      </c>
      <c r="P113" s="568" t="s">
        <v>157</v>
      </c>
    </row>
    <row r="114" spans="1:16" ht="30" customHeight="1" x14ac:dyDescent="0.2">
      <c r="B114" s="1719"/>
      <c r="C114" s="1941" t="s">
        <v>164</v>
      </c>
      <c r="D114" s="1942"/>
      <c r="E114" s="1265" t="s">
        <v>165</v>
      </c>
      <c r="F114" s="1265"/>
      <c r="G114" s="1265" t="s">
        <v>166</v>
      </c>
      <c r="H114" s="1266"/>
      <c r="I114" s="1924"/>
      <c r="J114" s="916"/>
      <c r="K114" s="596" t="s">
        <v>160</v>
      </c>
      <c r="L114" s="597" t="s">
        <v>161</v>
      </c>
      <c r="M114" s="598"/>
      <c r="O114" s="183">
        <v>7</v>
      </c>
      <c r="P114" s="568" t="s">
        <v>157</v>
      </c>
    </row>
    <row r="115" spans="1:16" ht="30" customHeight="1" x14ac:dyDescent="0.2">
      <c r="A115" s="45"/>
      <c r="B115" s="1720" t="s">
        <v>168</v>
      </c>
      <c r="C115" s="1944" t="s">
        <v>172</v>
      </c>
      <c r="D115" s="1945"/>
      <c r="E115" s="1945" t="s">
        <v>169</v>
      </c>
      <c r="F115" s="1945"/>
      <c r="G115" s="1945" t="s">
        <v>245</v>
      </c>
      <c r="H115" s="1946"/>
      <c r="I115" s="1922">
        <f>+'[2]Datos CESANTES'!$D$32</f>
        <v>20</v>
      </c>
      <c r="J115" s="1255">
        <f>+'[2]Datos CESANTES'!$E$32</f>
        <v>0.9</v>
      </c>
      <c r="K115" s="596" t="s">
        <v>171</v>
      </c>
      <c r="L115" s="597" t="s">
        <v>161</v>
      </c>
      <c r="M115" s="598"/>
      <c r="O115" s="183">
        <v>7</v>
      </c>
      <c r="P115" s="568" t="s">
        <v>157</v>
      </c>
    </row>
    <row r="116" spans="1:16" ht="39.950000000000003" customHeight="1" x14ac:dyDescent="0.2">
      <c r="A116" s="599"/>
      <c r="B116" s="1943"/>
      <c r="C116" s="1938" t="s">
        <v>175</v>
      </c>
      <c r="D116" s="1939"/>
      <c r="E116" s="1939" t="s">
        <v>173</v>
      </c>
      <c r="F116" s="1939"/>
      <c r="G116" s="1939" t="s">
        <v>174</v>
      </c>
      <c r="H116" s="1940"/>
      <c r="I116" s="1923"/>
      <c r="J116" s="1256"/>
      <c r="K116" s="596" t="s">
        <v>171</v>
      </c>
      <c r="L116" s="597" t="s">
        <v>161</v>
      </c>
      <c r="M116" s="598"/>
      <c r="N116" s="182" t="s">
        <v>30</v>
      </c>
      <c r="O116" s="183">
        <v>7</v>
      </c>
      <c r="P116" s="568" t="s">
        <v>157</v>
      </c>
    </row>
    <row r="117" spans="1:16" ht="38.25" customHeight="1" x14ac:dyDescent="0.2">
      <c r="A117" s="599"/>
      <c r="B117" s="1943"/>
      <c r="C117" s="1938" t="s">
        <v>82</v>
      </c>
      <c r="D117" s="1939"/>
      <c r="E117" s="1939" t="s">
        <v>176</v>
      </c>
      <c r="F117" s="1939"/>
      <c r="G117" s="1939" t="s">
        <v>27</v>
      </c>
      <c r="H117" s="1940"/>
      <c r="I117" s="1923"/>
      <c r="J117" s="1256"/>
      <c r="K117" s="596" t="s">
        <v>171</v>
      </c>
      <c r="L117" s="597" t="s">
        <v>161</v>
      </c>
      <c r="M117" s="598"/>
      <c r="O117" s="183">
        <v>7</v>
      </c>
      <c r="P117" s="568" t="s">
        <v>157</v>
      </c>
    </row>
    <row r="118" spans="1:16" ht="39.950000000000003" customHeight="1" x14ac:dyDescent="0.2">
      <c r="A118" s="599"/>
      <c r="B118" s="1943"/>
      <c r="C118" s="1938" t="s">
        <v>81</v>
      </c>
      <c r="D118" s="1939"/>
      <c r="E118" s="1939" t="s">
        <v>177</v>
      </c>
      <c r="F118" s="1939"/>
      <c r="G118" s="1180" t="s">
        <v>84</v>
      </c>
      <c r="H118" s="1227"/>
      <c r="I118" s="1923"/>
      <c r="J118" s="1256"/>
      <c r="K118" s="596" t="s">
        <v>171</v>
      </c>
      <c r="L118" s="597" t="s">
        <v>161</v>
      </c>
      <c r="M118" s="598"/>
      <c r="O118" s="183">
        <v>7</v>
      </c>
      <c r="P118" s="568" t="s">
        <v>157</v>
      </c>
    </row>
    <row r="119" spans="1:16" ht="30" customHeight="1" x14ac:dyDescent="0.2">
      <c r="A119" s="599"/>
      <c r="B119" s="1721"/>
      <c r="C119" s="1929" t="s">
        <v>178</v>
      </c>
      <c r="D119" s="1930"/>
      <c r="E119" s="1930"/>
      <c r="F119" s="1930"/>
      <c r="G119" s="1930"/>
      <c r="H119" s="1931"/>
      <c r="I119" s="1924"/>
      <c r="J119" s="1578"/>
      <c r="K119" s="596" t="s">
        <v>171</v>
      </c>
      <c r="L119" s="597" t="s">
        <v>161</v>
      </c>
      <c r="M119" s="598"/>
      <c r="O119" s="183">
        <v>7</v>
      </c>
      <c r="P119" s="568" t="s">
        <v>157</v>
      </c>
    </row>
    <row r="120" spans="1:16" ht="74.25" customHeight="1" x14ac:dyDescent="0.2">
      <c r="A120" s="572" t="s">
        <v>69</v>
      </c>
      <c r="B120" s="600" t="s">
        <v>179</v>
      </c>
      <c r="C120" s="1932" t="s">
        <v>180</v>
      </c>
      <c r="D120" s="1933"/>
      <c r="E120" s="1933" t="s">
        <v>181</v>
      </c>
      <c r="F120" s="1933"/>
      <c r="G120" s="601"/>
      <c r="H120" s="602"/>
      <c r="I120" s="603">
        <v>60</v>
      </c>
      <c r="J120" s="271">
        <v>0.7</v>
      </c>
      <c r="K120" s="597" t="s">
        <v>182</v>
      </c>
      <c r="L120" s="606" t="s">
        <v>618</v>
      </c>
      <c r="M120" s="598"/>
      <c r="N120" s="182" t="s">
        <v>30</v>
      </c>
      <c r="O120" s="183">
        <v>7</v>
      </c>
      <c r="P120" s="568" t="s">
        <v>157</v>
      </c>
    </row>
    <row r="121" spans="1:16" s="66" customFormat="1" ht="54.95" customHeight="1" x14ac:dyDescent="0.2">
      <c r="A121" s="572"/>
      <c r="B121" s="533" t="s">
        <v>898</v>
      </c>
      <c r="C121" s="1934" t="s">
        <v>616</v>
      </c>
      <c r="D121" s="1935"/>
      <c r="E121" s="1935"/>
      <c r="F121" s="1935"/>
      <c r="G121" s="1935"/>
      <c r="H121" s="1936"/>
      <c r="I121" s="604">
        <f>'[2]Datos CESANTES'!$D$33</f>
        <v>50</v>
      </c>
      <c r="J121" s="605">
        <f>'[2]Datos CESANTES'!$E$33</f>
        <v>0.8</v>
      </c>
      <c r="K121" s="597" t="s">
        <v>617</v>
      </c>
      <c r="L121" s="606" t="s">
        <v>618</v>
      </c>
      <c r="M121" s="67"/>
      <c r="N121" s="182" t="s">
        <v>30</v>
      </c>
      <c r="O121" s="183">
        <v>7</v>
      </c>
      <c r="P121" s="568" t="s">
        <v>157</v>
      </c>
    </row>
    <row r="122" spans="1:16" s="66" customFormat="1" ht="54.95" customHeight="1" x14ac:dyDescent="0.2">
      <c r="A122" s="572"/>
      <c r="B122" s="105" t="s">
        <v>615</v>
      </c>
      <c r="C122" s="1937" t="s">
        <v>773</v>
      </c>
      <c r="D122" s="1786"/>
      <c r="E122" s="1786"/>
      <c r="F122" s="1786"/>
      <c r="G122" s="1786"/>
      <c r="H122" s="1787"/>
      <c r="I122" s="607">
        <f>'[2]Datos CESANTES'!$D$34</f>
        <v>50</v>
      </c>
      <c r="J122" s="608">
        <f>'[2]Datos CESANTES'!$E$34</f>
        <v>0.8</v>
      </c>
      <c r="K122" s="597" t="s">
        <v>774</v>
      </c>
      <c r="L122" s="606" t="s">
        <v>618</v>
      </c>
      <c r="N122" s="182" t="s">
        <v>30</v>
      </c>
      <c r="O122" s="183">
        <v>7</v>
      </c>
      <c r="P122" s="568" t="s">
        <v>157</v>
      </c>
    </row>
    <row r="123" spans="1:16" s="66" customFormat="1" ht="114.75" customHeight="1" x14ac:dyDescent="0.2">
      <c r="A123" s="572"/>
      <c r="B123" s="1621" t="s">
        <v>876</v>
      </c>
      <c r="C123" s="1621"/>
      <c r="D123" s="1621"/>
      <c r="E123" s="1621"/>
      <c r="F123" s="1621"/>
      <c r="G123" s="1621"/>
      <c r="H123" s="1621"/>
      <c r="I123" s="1621"/>
      <c r="J123" s="1621"/>
      <c r="K123" s="597"/>
      <c r="L123" s="606"/>
      <c r="N123" s="182"/>
      <c r="O123" s="183"/>
      <c r="P123" s="568"/>
    </row>
    <row r="124" spans="1:16" s="66" customFormat="1" ht="23.25" customHeight="1" x14ac:dyDescent="0.2">
      <c r="A124" s="572"/>
      <c r="B124" s="867" t="s">
        <v>184</v>
      </c>
      <c r="C124" s="868"/>
      <c r="D124" s="868"/>
      <c r="E124" s="868"/>
      <c r="F124" s="868"/>
      <c r="G124" s="868"/>
      <c r="H124" s="868"/>
      <c r="I124" s="868"/>
      <c r="J124" s="869"/>
      <c r="K124" s="597"/>
      <c r="L124" s="606"/>
      <c r="N124" s="182"/>
      <c r="O124" s="183"/>
      <c r="P124" s="568"/>
    </row>
    <row r="125" spans="1:16" ht="20.100000000000001" customHeight="1" x14ac:dyDescent="0.2">
      <c r="A125" s="45"/>
      <c r="B125" s="609"/>
      <c r="C125" s="610"/>
      <c r="D125" s="611"/>
      <c r="E125" s="611"/>
      <c r="F125" s="611"/>
      <c r="G125" s="611"/>
      <c r="H125" s="611"/>
      <c r="I125" s="612"/>
      <c r="J125" s="114"/>
      <c r="L125" s="561"/>
      <c r="M125" s="181"/>
      <c r="O125" s="561"/>
      <c r="P125" s="45"/>
    </row>
    <row r="126" spans="1:16" ht="30" customHeight="1" x14ac:dyDescent="0.2">
      <c r="A126" s="45"/>
      <c r="B126" s="1662" t="s">
        <v>185</v>
      </c>
      <c r="C126" s="1663"/>
      <c r="D126" s="1663"/>
      <c r="E126" s="1663"/>
      <c r="F126" s="1663"/>
      <c r="G126" s="1663"/>
      <c r="H126" s="1664"/>
      <c r="I126" s="406" t="s">
        <v>17</v>
      </c>
      <c r="J126" s="35" t="s">
        <v>18</v>
      </c>
      <c r="K126" s="226" t="s">
        <v>186</v>
      </c>
      <c r="L126" s="183">
        <v>8</v>
      </c>
      <c r="N126" s="182" t="s">
        <v>30</v>
      </c>
      <c r="O126" s="183">
        <v>8</v>
      </c>
      <c r="P126" s="568" t="s">
        <v>187</v>
      </c>
    </row>
    <row r="127" spans="1:16" ht="36" customHeight="1" x14ac:dyDescent="0.2">
      <c r="A127" s="45"/>
      <c r="B127" s="1736" t="s">
        <v>21</v>
      </c>
      <c r="C127" s="1737"/>
      <c r="D127" s="1737"/>
      <c r="E127" s="1737"/>
      <c r="F127" s="1737"/>
      <c r="G127" s="1737"/>
      <c r="H127" s="1737"/>
      <c r="I127" s="1737"/>
      <c r="J127" s="1738"/>
      <c r="O127" s="183">
        <v>8</v>
      </c>
      <c r="P127" s="568" t="s">
        <v>187</v>
      </c>
    </row>
    <row r="128" spans="1:16" ht="163.5" customHeight="1" x14ac:dyDescent="0.2">
      <c r="A128" s="39"/>
      <c r="B128" s="163" t="s">
        <v>188</v>
      </c>
      <c r="C128" s="1166" t="s">
        <v>873</v>
      </c>
      <c r="D128" s="1167"/>
      <c r="E128" s="1167"/>
      <c r="F128" s="1167"/>
      <c r="G128" s="1167"/>
      <c r="H128" s="1168"/>
      <c r="I128" s="164">
        <v>40</v>
      </c>
      <c r="J128" s="42">
        <v>1</v>
      </c>
      <c r="K128" s="613" t="s">
        <v>24</v>
      </c>
      <c r="L128" s="613" t="s">
        <v>190</v>
      </c>
      <c r="M128" s="67"/>
      <c r="N128" s="182" t="s">
        <v>30</v>
      </c>
      <c r="O128" s="183">
        <v>8</v>
      </c>
      <c r="P128" s="568" t="s">
        <v>187</v>
      </c>
    </row>
    <row r="129" spans="1:16" ht="35.1" customHeight="1" x14ac:dyDescent="0.2">
      <c r="A129" s="45"/>
      <c r="B129" s="1309" t="s">
        <v>191</v>
      </c>
      <c r="C129" s="1217" t="s">
        <v>192</v>
      </c>
      <c r="D129" s="1016"/>
      <c r="E129" s="1016" t="s">
        <v>193</v>
      </c>
      <c r="F129" s="1016"/>
      <c r="G129" s="1016" t="s">
        <v>194</v>
      </c>
      <c r="H129" s="1125"/>
      <c r="I129" s="1926">
        <f>'[2]Datos CESANTES'!$D$3</f>
        <v>35</v>
      </c>
      <c r="J129" s="1241">
        <f>'[2]Datos CESANTES'!$E$3</f>
        <v>0.9</v>
      </c>
      <c r="K129" s="614" t="s">
        <v>26</v>
      </c>
      <c r="L129" s="613" t="s">
        <v>190</v>
      </c>
      <c r="M129" s="598"/>
      <c r="N129" s="182" t="s">
        <v>30</v>
      </c>
      <c r="O129" s="183">
        <v>8</v>
      </c>
      <c r="P129" s="568" t="s">
        <v>187</v>
      </c>
    </row>
    <row r="130" spans="1:16" ht="30" customHeight="1" x14ac:dyDescent="0.2">
      <c r="A130" s="45"/>
      <c r="B130" s="1310"/>
      <c r="C130" s="1244" t="s">
        <v>195</v>
      </c>
      <c r="D130" s="1245"/>
      <c r="E130" s="1245" t="s">
        <v>196</v>
      </c>
      <c r="F130" s="1245"/>
      <c r="G130" s="1245" t="s">
        <v>197</v>
      </c>
      <c r="H130" s="1246"/>
      <c r="I130" s="1927"/>
      <c r="J130" s="1242"/>
      <c r="K130" s="614" t="s">
        <v>26</v>
      </c>
      <c r="L130" s="613" t="s">
        <v>190</v>
      </c>
      <c r="M130" s="598"/>
      <c r="O130" s="183">
        <v>8</v>
      </c>
      <c r="P130" s="568" t="s">
        <v>187</v>
      </c>
    </row>
    <row r="131" spans="1:16" ht="30" customHeight="1" x14ac:dyDescent="0.2">
      <c r="A131" s="45"/>
      <c r="B131" s="1310"/>
      <c r="C131" s="1247" t="s">
        <v>31</v>
      </c>
      <c r="D131" s="1248"/>
      <c r="E131" s="1022" t="s">
        <v>198</v>
      </c>
      <c r="F131" s="1022"/>
      <c r="G131" s="1245" t="s">
        <v>199</v>
      </c>
      <c r="H131" s="1246"/>
      <c r="I131" s="1927"/>
      <c r="J131" s="1242"/>
      <c r="K131" s="614" t="s">
        <v>26</v>
      </c>
      <c r="L131" s="613" t="s">
        <v>190</v>
      </c>
      <c r="M131" s="598"/>
      <c r="O131" s="183">
        <v>8</v>
      </c>
      <c r="P131" s="568" t="s">
        <v>187</v>
      </c>
    </row>
    <row r="132" spans="1:16" ht="30" customHeight="1" x14ac:dyDescent="0.2">
      <c r="A132" s="45"/>
      <c r="B132" s="1310"/>
      <c r="C132" s="1046" t="s">
        <v>32</v>
      </c>
      <c r="D132" s="1022"/>
      <c r="E132" s="1022" t="s">
        <v>29</v>
      </c>
      <c r="F132" s="1022"/>
      <c r="G132" s="1022" t="s">
        <v>200</v>
      </c>
      <c r="H132" s="1028"/>
      <c r="I132" s="1927"/>
      <c r="J132" s="1242"/>
      <c r="K132" s="614" t="s">
        <v>26</v>
      </c>
      <c r="L132" s="613" t="s">
        <v>190</v>
      </c>
      <c r="M132" s="598"/>
      <c r="O132" s="183">
        <v>8</v>
      </c>
      <c r="P132" s="568" t="s">
        <v>187</v>
      </c>
    </row>
    <row r="133" spans="1:16" ht="30" customHeight="1" x14ac:dyDescent="0.2">
      <c r="A133" s="45"/>
      <c r="B133" s="1310"/>
      <c r="C133" s="1046" t="s">
        <v>38</v>
      </c>
      <c r="D133" s="1022"/>
      <c r="E133" s="1180" t="s">
        <v>34</v>
      </c>
      <c r="F133" s="1180"/>
      <c r="G133" s="1022" t="s">
        <v>27</v>
      </c>
      <c r="H133" s="1028"/>
      <c r="I133" s="1927"/>
      <c r="J133" s="1242"/>
      <c r="K133" s="614" t="s">
        <v>26</v>
      </c>
      <c r="L133" s="613" t="s">
        <v>190</v>
      </c>
      <c r="M133" s="598"/>
      <c r="O133" s="183">
        <v>8</v>
      </c>
      <c r="P133" s="568" t="s">
        <v>187</v>
      </c>
    </row>
    <row r="134" spans="1:16" ht="30" customHeight="1" x14ac:dyDescent="0.2">
      <c r="A134" s="45"/>
      <c r="B134" s="1311"/>
      <c r="C134" s="1181" t="s">
        <v>37</v>
      </c>
      <c r="D134" s="1182"/>
      <c r="E134" s="1177"/>
      <c r="F134" s="1177"/>
      <c r="G134" s="1034"/>
      <c r="H134" s="1035"/>
      <c r="I134" s="1928"/>
      <c r="J134" s="1243"/>
      <c r="K134" s="614" t="s">
        <v>26</v>
      </c>
      <c r="L134" s="613" t="s">
        <v>190</v>
      </c>
      <c r="M134" s="598"/>
      <c r="O134" s="183">
        <v>8</v>
      </c>
      <c r="P134" s="568" t="s">
        <v>187</v>
      </c>
    </row>
    <row r="135" spans="1:16" ht="39.950000000000003" customHeight="1" x14ac:dyDescent="0.2">
      <c r="A135" s="45"/>
      <c r="B135" s="1236" t="s">
        <v>201</v>
      </c>
      <c r="C135" s="1150" t="s">
        <v>42</v>
      </c>
      <c r="D135" s="1149"/>
      <c r="E135" s="1188" t="s">
        <v>202</v>
      </c>
      <c r="F135" s="1188"/>
      <c r="G135" s="1188" t="s">
        <v>203</v>
      </c>
      <c r="H135" s="1189"/>
      <c r="I135" s="1926">
        <f>'[2]Datos CESANTES'!$D$4</f>
        <v>35</v>
      </c>
      <c r="J135" s="1241">
        <f>'[2]Datos CESANTES'!$E$4</f>
        <v>0.9</v>
      </c>
      <c r="K135" s="614" t="s">
        <v>40</v>
      </c>
      <c r="L135" s="613" t="s">
        <v>190</v>
      </c>
      <c r="M135" s="598"/>
      <c r="N135" s="182" t="s">
        <v>30</v>
      </c>
      <c r="O135" s="183">
        <v>8</v>
      </c>
      <c r="P135" s="568" t="s">
        <v>187</v>
      </c>
    </row>
    <row r="136" spans="1:16" ht="30" customHeight="1" x14ac:dyDescent="0.2">
      <c r="A136" s="45"/>
      <c r="B136" s="1237"/>
      <c r="C136" s="1144" t="s">
        <v>204</v>
      </c>
      <c r="D136" s="1145"/>
      <c r="E136" s="1145" t="s">
        <v>234</v>
      </c>
      <c r="F136" s="1145"/>
      <c r="G136" s="1145" t="s">
        <v>206</v>
      </c>
      <c r="H136" s="1146"/>
      <c r="I136" s="1927"/>
      <c r="J136" s="1242"/>
      <c r="K136" s="614" t="s">
        <v>40</v>
      </c>
      <c r="L136" s="613" t="s">
        <v>190</v>
      </c>
      <c r="M136" s="598"/>
      <c r="O136" s="183">
        <v>8</v>
      </c>
      <c r="P136" s="568" t="s">
        <v>187</v>
      </c>
    </row>
    <row r="137" spans="1:16" ht="39.950000000000003" customHeight="1" x14ac:dyDescent="0.2">
      <c r="A137" s="45"/>
      <c r="B137" s="1237"/>
      <c r="C137" s="1144" t="s">
        <v>207</v>
      </c>
      <c r="D137" s="1145"/>
      <c r="E137" s="1145" t="s">
        <v>208</v>
      </c>
      <c r="F137" s="1145"/>
      <c r="G137" s="957" t="s">
        <v>63</v>
      </c>
      <c r="H137" s="958"/>
      <c r="I137" s="1927"/>
      <c r="J137" s="1242"/>
      <c r="K137" s="614" t="s">
        <v>40</v>
      </c>
      <c r="L137" s="613" t="s">
        <v>190</v>
      </c>
      <c r="M137" s="598"/>
      <c r="O137" s="183">
        <v>8</v>
      </c>
      <c r="P137" s="568" t="s">
        <v>187</v>
      </c>
    </row>
    <row r="138" spans="1:16" ht="39.950000000000003" customHeight="1" x14ac:dyDescent="0.2">
      <c r="A138" s="45"/>
      <c r="B138" s="1237"/>
      <c r="C138" s="1144" t="s">
        <v>209</v>
      </c>
      <c r="D138" s="1145"/>
      <c r="E138" s="1145" t="s">
        <v>44</v>
      </c>
      <c r="F138" s="1145"/>
      <c r="G138" s="1145" t="s">
        <v>48</v>
      </c>
      <c r="H138" s="1146"/>
      <c r="I138" s="1927"/>
      <c r="J138" s="1242"/>
      <c r="K138" s="614" t="s">
        <v>40</v>
      </c>
      <c r="L138" s="613" t="s">
        <v>190</v>
      </c>
      <c r="M138" s="598"/>
      <c r="O138" s="183">
        <v>8</v>
      </c>
      <c r="P138" s="568" t="s">
        <v>187</v>
      </c>
    </row>
    <row r="139" spans="1:16" ht="39.950000000000003" customHeight="1" x14ac:dyDescent="0.2">
      <c r="A139" s="45"/>
      <c r="B139" s="1237"/>
      <c r="C139" s="965" t="s">
        <v>54</v>
      </c>
      <c r="D139" s="957"/>
      <c r="E139" s="957" t="s">
        <v>58</v>
      </c>
      <c r="F139" s="957"/>
      <c r="G139" s="1145"/>
      <c r="H139" s="1146"/>
      <c r="I139" s="1927"/>
      <c r="J139" s="1242"/>
      <c r="K139" s="614" t="s">
        <v>40</v>
      </c>
      <c r="L139" s="613" t="s">
        <v>190</v>
      </c>
      <c r="M139" s="598"/>
      <c r="O139" s="183">
        <v>8</v>
      </c>
      <c r="P139" s="568" t="s">
        <v>187</v>
      </c>
    </row>
    <row r="140" spans="1:16" ht="30" customHeight="1" x14ac:dyDescent="0.2">
      <c r="A140" s="45"/>
      <c r="B140" s="1238"/>
      <c r="C140" s="1147" t="s">
        <v>210</v>
      </c>
      <c r="D140" s="1148"/>
      <c r="E140" s="1148"/>
      <c r="F140" s="1148"/>
      <c r="G140" s="1148"/>
      <c r="H140" s="1152"/>
      <c r="I140" s="1928"/>
      <c r="J140" s="1243"/>
      <c r="K140" s="614" t="s">
        <v>40</v>
      </c>
      <c r="L140" s="613" t="s">
        <v>190</v>
      </c>
      <c r="M140" s="598"/>
      <c r="O140" s="183">
        <v>8</v>
      </c>
      <c r="P140" s="568" t="s">
        <v>187</v>
      </c>
    </row>
    <row r="141" spans="1:16" ht="39.950000000000003" customHeight="1" x14ac:dyDescent="0.2">
      <c r="A141" s="45"/>
      <c r="B141" s="1309" t="s">
        <v>211</v>
      </c>
      <c r="C141" s="1217" t="s">
        <v>212</v>
      </c>
      <c r="D141" s="1016"/>
      <c r="E141" s="1016" t="s">
        <v>213</v>
      </c>
      <c r="F141" s="1016"/>
      <c r="G141" s="1016" t="s">
        <v>877</v>
      </c>
      <c r="H141" s="1125"/>
      <c r="I141" s="1698">
        <f>'[2]Datos CESANTES'!$D$5</f>
        <v>40</v>
      </c>
      <c r="J141" s="915">
        <f>'[2]Datos CESANTES'!$E$5</f>
        <v>0.9</v>
      </c>
      <c r="K141" s="614" t="s">
        <v>71</v>
      </c>
      <c r="L141" s="613" t="s">
        <v>190</v>
      </c>
      <c r="M141" s="598"/>
      <c r="N141" s="182" t="s">
        <v>30</v>
      </c>
      <c r="O141" s="183">
        <v>8</v>
      </c>
      <c r="P141" s="568" t="s">
        <v>187</v>
      </c>
    </row>
    <row r="142" spans="1:16" ht="39.950000000000003" customHeight="1" x14ac:dyDescent="0.2">
      <c r="A142" s="45"/>
      <c r="B142" s="1310"/>
      <c r="C142" s="1216" t="s">
        <v>215</v>
      </c>
      <c r="D142" s="1108"/>
      <c r="E142" s="1180" t="s">
        <v>216</v>
      </c>
      <c r="F142" s="1180"/>
      <c r="G142" s="1180" t="s">
        <v>79</v>
      </c>
      <c r="H142" s="1227"/>
      <c r="I142" s="1699"/>
      <c r="J142" s="1045"/>
      <c r="K142" s="614" t="s">
        <v>71</v>
      </c>
      <c r="L142" s="613" t="s">
        <v>190</v>
      </c>
      <c r="M142" s="598"/>
      <c r="O142" s="183">
        <v>8</v>
      </c>
      <c r="P142" s="568" t="s">
        <v>187</v>
      </c>
    </row>
    <row r="143" spans="1:16" ht="39.950000000000003" customHeight="1" x14ac:dyDescent="0.2">
      <c r="A143" s="45"/>
      <c r="B143" s="1310"/>
      <c r="C143" s="1218" t="s">
        <v>74</v>
      </c>
      <c r="D143" s="1180"/>
      <c r="E143" s="1180" t="s">
        <v>78</v>
      </c>
      <c r="F143" s="1180"/>
      <c r="G143" s="1022" t="s">
        <v>82</v>
      </c>
      <c r="H143" s="1028"/>
      <c r="I143" s="1699"/>
      <c r="J143" s="1045"/>
      <c r="K143" s="614" t="s">
        <v>71</v>
      </c>
      <c r="L143" s="613" t="s">
        <v>190</v>
      </c>
      <c r="M143" s="598"/>
      <c r="O143" s="183">
        <v>8</v>
      </c>
      <c r="P143" s="568" t="s">
        <v>187</v>
      </c>
    </row>
    <row r="144" spans="1:16" ht="39.950000000000003" customHeight="1" x14ac:dyDescent="0.2">
      <c r="A144" s="45"/>
      <c r="B144" s="1310"/>
      <c r="C144" s="1046" t="s">
        <v>80</v>
      </c>
      <c r="D144" s="1022"/>
      <c r="E144" s="1180" t="s">
        <v>72</v>
      </c>
      <c r="F144" s="1180"/>
      <c r="G144" s="1180" t="s">
        <v>75</v>
      </c>
      <c r="H144" s="1227"/>
      <c r="I144" s="1699"/>
      <c r="J144" s="1045"/>
      <c r="K144" s="614" t="s">
        <v>71</v>
      </c>
      <c r="L144" s="613" t="s">
        <v>190</v>
      </c>
      <c r="M144" s="598"/>
      <c r="O144" s="183">
        <v>8</v>
      </c>
      <c r="P144" s="568" t="s">
        <v>187</v>
      </c>
    </row>
    <row r="145" spans="1:16" ht="39.950000000000003" customHeight="1" x14ac:dyDescent="0.2">
      <c r="A145" s="45"/>
      <c r="B145" s="1310"/>
      <c r="C145" s="1218" t="s">
        <v>76</v>
      </c>
      <c r="D145" s="1180"/>
      <c r="E145" s="1022" t="s">
        <v>81</v>
      </c>
      <c r="F145" s="1022"/>
      <c r="G145" s="1180" t="s">
        <v>73</v>
      </c>
      <c r="H145" s="1227"/>
      <c r="I145" s="1699"/>
      <c r="J145" s="1045"/>
      <c r="K145" s="614" t="s">
        <v>71</v>
      </c>
      <c r="L145" s="613" t="s">
        <v>190</v>
      </c>
      <c r="M145" s="598"/>
      <c r="O145" s="183">
        <v>8</v>
      </c>
      <c r="P145" s="568" t="s">
        <v>187</v>
      </c>
    </row>
    <row r="146" spans="1:16" ht="39.950000000000003" customHeight="1" x14ac:dyDescent="0.2">
      <c r="A146" s="45"/>
      <c r="B146" s="1310"/>
      <c r="C146" s="1046" t="s">
        <v>39</v>
      </c>
      <c r="D146" s="1022"/>
      <c r="E146" s="1180" t="s">
        <v>77</v>
      </c>
      <c r="F146" s="1180"/>
      <c r="G146" s="1022" t="s">
        <v>218</v>
      </c>
      <c r="H146" s="1028"/>
      <c r="I146" s="1699"/>
      <c r="J146" s="1045"/>
      <c r="K146" s="614" t="s">
        <v>71</v>
      </c>
      <c r="L146" s="613" t="s">
        <v>190</v>
      </c>
      <c r="M146" s="598"/>
      <c r="O146" s="183">
        <v>8</v>
      </c>
      <c r="P146" s="568" t="s">
        <v>187</v>
      </c>
    </row>
    <row r="147" spans="1:16" ht="39.950000000000003" customHeight="1" x14ac:dyDescent="0.2">
      <c r="A147" s="45"/>
      <c r="B147" s="1925"/>
      <c r="C147" s="1116" t="s">
        <v>217</v>
      </c>
      <c r="D147" s="1034"/>
      <c r="E147" s="50"/>
      <c r="F147" s="50"/>
      <c r="G147" s="1034"/>
      <c r="H147" s="1035"/>
      <c r="I147" s="1700"/>
      <c r="J147" s="916"/>
      <c r="K147" s="614" t="s">
        <v>71</v>
      </c>
      <c r="L147" s="613" t="s">
        <v>190</v>
      </c>
      <c r="M147" s="598"/>
      <c r="O147" s="183">
        <v>8</v>
      </c>
      <c r="P147" s="568" t="s">
        <v>187</v>
      </c>
    </row>
    <row r="148" spans="1:16" ht="39.950000000000003" customHeight="1" x14ac:dyDescent="0.2">
      <c r="B148" s="1120" t="s">
        <v>219</v>
      </c>
      <c r="C148" s="1211" t="s">
        <v>572</v>
      </c>
      <c r="D148" s="1190"/>
      <c r="E148" s="1108" t="s">
        <v>378</v>
      </c>
      <c r="F148" s="1108"/>
      <c r="G148" s="969" t="s">
        <v>342</v>
      </c>
      <c r="H148" s="1193"/>
      <c r="I148" s="1698">
        <f>'[2]Datos CESANTES'!$D$6</f>
        <v>40</v>
      </c>
      <c r="J148" s="915">
        <f>'[2]Datos CESANTES'!$E$6</f>
        <v>0.85</v>
      </c>
      <c r="K148" s="614" t="s">
        <v>85</v>
      </c>
      <c r="L148" s="613" t="s">
        <v>190</v>
      </c>
      <c r="M148" s="598"/>
      <c r="N148" s="182" t="s">
        <v>30</v>
      </c>
      <c r="O148" s="183">
        <v>8</v>
      </c>
      <c r="P148" s="568" t="s">
        <v>187</v>
      </c>
    </row>
    <row r="149" spans="1:16" ht="39.950000000000003" customHeight="1" x14ac:dyDescent="0.2">
      <c r="B149" s="1121"/>
      <c r="C149" s="1211" t="s">
        <v>86</v>
      </c>
      <c r="D149" s="1190"/>
      <c r="E149" s="1190" t="s">
        <v>574</v>
      </c>
      <c r="F149" s="1190"/>
      <c r="G149" s="1022" t="s">
        <v>402</v>
      </c>
      <c r="H149" s="1028"/>
      <c r="I149" s="1699"/>
      <c r="J149" s="1045"/>
      <c r="K149" s="614" t="s">
        <v>85</v>
      </c>
      <c r="L149" s="613" t="s">
        <v>190</v>
      </c>
      <c r="M149" s="598"/>
      <c r="O149" s="183">
        <v>8</v>
      </c>
      <c r="P149" s="568" t="s">
        <v>187</v>
      </c>
    </row>
    <row r="150" spans="1:16" ht="39.950000000000003" customHeight="1" x14ac:dyDescent="0.2">
      <c r="B150" s="1121"/>
      <c r="C150" s="1211" t="s">
        <v>576</v>
      </c>
      <c r="D150" s="1190"/>
      <c r="E150" s="1190" t="s">
        <v>577</v>
      </c>
      <c r="F150" s="1190"/>
      <c r="G150" s="1190" t="s">
        <v>575</v>
      </c>
      <c r="H150" s="1212"/>
      <c r="I150" s="1699"/>
      <c r="J150" s="1045"/>
      <c r="K150" s="614" t="s">
        <v>85</v>
      </c>
      <c r="L150" s="613" t="s">
        <v>190</v>
      </c>
      <c r="M150" s="598"/>
      <c r="O150" s="183">
        <v>8</v>
      </c>
      <c r="P150" s="568" t="s">
        <v>187</v>
      </c>
    </row>
    <row r="151" spans="1:16" ht="39.950000000000003" customHeight="1" x14ac:dyDescent="0.2">
      <c r="B151" s="1121"/>
      <c r="C151" s="1211" t="s">
        <v>579</v>
      </c>
      <c r="D151" s="1190"/>
      <c r="E151" s="1190" t="s">
        <v>578</v>
      </c>
      <c r="F151" s="1190"/>
      <c r="G151" s="1190" t="s">
        <v>580</v>
      </c>
      <c r="H151" s="1212"/>
      <c r="I151" s="1699"/>
      <c r="J151" s="1045"/>
      <c r="K151" s="614" t="s">
        <v>85</v>
      </c>
      <c r="L151" s="613" t="s">
        <v>190</v>
      </c>
      <c r="M151" s="598"/>
      <c r="O151" s="183">
        <v>8</v>
      </c>
      <c r="P151" s="568" t="s">
        <v>187</v>
      </c>
    </row>
    <row r="152" spans="1:16" ht="39.950000000000003" customHeight="1" x14ac:dyDescent="0.2">
      <c r="B152" s="1122"/>
      <c r="C152" s="1211" t="s">
        <v>581</v>
      </c>
      <c r="D152" s="1190"/>
      <c r="E152" s="1180" t="s">
        <v>573</v>
      </c>
      <c r="F152" s="1180"/>
      <c r="G152" s="1022"/>
      <c r="H152" s="1028"/>
      <c r="I152" s="1700"/>
      <c r="J152" s="916"/>
      <c r="K152" s="614" t="s">
        <v>85</v>
      </c>
      <c r="L152" s="613" t="s">
        <v>190</v>
      </c>
      <c r="M152" s="598"/>
      <c r="O152" s="183">
        <v>8</v>
      </c>
      <c r="P152" s="568" t="s">
        <v>187</v>
      </c>
    </row>
    <row r="153" spans="1:16" ht="39.950000000000003" customHeight="1" x14ac:dyDescent="0.2">
      <c r="B153" s="1309" t="s">
        <v>220</v>
      </c>
      <c r="C153" s="1187" t="s">
        <v>88</v>
      </c>
      <c r="D153" s="1188"/>
      <c r="E153" s="1130" t="s">
        <v>89</v>
      </c>
      <c r="F153" s="1130"/>
      <c r="G153" s="1195" t="s">
        <v>90</v>
      </c>
      <c r="H153" s="1226"/>
      <c r="I153" s="1922">
        <f>'[2]Datos CESANTES'!$D$7</f>
        <v>45</v>
      </c>
      <c r="J153" s="915">
        <f>'[2]Datos CESANTES'!$E$7</f>
        <v>0.85</v>
      </c>
      <c r="K153" s="614" t="s">
        <v>87</v>
      </c>
      <c r="L153" s="613" t="s">
        <v>190</v>
      </c>
      <c r="M153" s="598"/>
      <c r="N153" s="182" t="s">
        <v>30</v>
      </c>
      <c r="O153" s="183">
        <v>8</v>
      </c>
      <c r="P153" s="568" t="s">
        <v>187</v>
      </c>
    </row>
    <row r="154" spans="1:16" ht="39.950000000000003" customHeight="1" x14ac:dyDescent="0.2">
      <c r="B154" s="1310"/>
      <c r="C154" s="1211" t="s">
        <v>92</v>
      </c>
      <c r="D154" s="1190"/>
      <c r="E154" s="969" t="s">
        <v>221</v>
      </c>
      <c r="F154" s="969"/>
      <c r="G154" s="969" t="s">
        <v>222</v>
      </c>
      <c r="H154" s="1193"/>
      <c r="I154" s="1923"/>
      <c r="J154" s="1045"/>
      <c r="K154" s="614" t="s">
        <v>87</v>
      </c>
      <c r="L154" s="613" t="s">
        <v>190</v>
      </c>
      <c r="M154" s="598"/>
      <c r="N154" s="537"/>
      <c r="O154" s="183">
        <v>8</v>
      </c>
      <c r="P154" s="568" t="s">
        <v>187</v>
      </c>
    </row>
    <row r="155" spans="1:16" ht="39.950000000000003" customHeight="1" x14ac:dyDescent="0.2">
      <c r="B155" s="1310"/>
      <c r="C155" s="1046" t="s">
        <v>223</v>
      </c>
      <c r="D155" s="1022"/>
      <c r="E155" s="1022" t="s">
        <v>224</v>
      </c>
      <c r="F155" s="1022"/>
      <c r="G155" s="957" t="s">
        <v>225</v>
      </c>
      <c r="H155" s="958"/>
      <c r="I155" s="1923"/>
      <c r="J155" s="1045"/>
      <c r="K155" s="614" t="s">
        <v>87</v>
      </c>
      <c r="L155" s="613" t="s">
        <v>190</v>
      </c>
      <c r="M155" s="598"/>
      <c r="N155" s="537"/>
      <c r="O155" s="183">
        <v>8</v>
      </c>
      <c r="P155" s="568" t="s">
        <v>187</v>
      </c>
    </row>
    <row r="156" spans="1:16" ht="39.950000000000003" customHeight="1" x14ac:dyDescent="0.2">
      <c r="B156" s="1310"/>
      <c r="C156" s="1046" t="s">
        <v>226</v>
      </c>
      <c r="D156" s="1022"/>
      <c r="E156" s="1022" t="s">
        <v>227</v>
      </c>
      <c r="F156" s="1022"/>
      <c r="G156" s="24" t="s">
        <v>95</v>
      </c>
      <c r="H156" s="123"/>
      <c r="I156" s="1923"/>
      <c r="J156" s="1045"/>
      <c r="K156" s="614" t="s">
        <v>87</v>
      </c>
      <c r="L156" s="613" t="s">
        <v>190</v>
      </c>
      <c r="M156" s="598"/>
      <c r="N156" s="537"/>
      <c r="O156" s="183">
        <v>8</v>
      </c>
      <c r="P156" s="568" t="s">
        <v>187</v>
      </c>
    </row>
    <row r="157" spans="1:16" ht="39.950000000000003" customHeight="1" x14ac:dyDescent="0.2">
      <c r="B157" s="782"/>
      <c r="C157" s="1116" t="s">
        <v>94</v>
      </c>
      <c r="D157" s="1034"/>
      <c r="E157" s="90"/>
      <c r="F157" s="90"/>
      <c r="G157" s="50"/>
      <c r="H157" s="124"/>
      <c r="I157" s="1924"/>
      <c r="J157" s="916"/>
      <c r="K157" s="614" t="s">
        <v>87</v>
      </c>
      <c r="L157" s="613" t="s">
        <v>190</v>
      </c>
      <c r="M157" s="598"/>
      <c r="N157" s="537"/>
      <c r="O157" s="183">
        <v>8</v>
      </c>
      <c r="P157" s="568" t="s">
        <v>187</v>
      </c>
    </row>
    <row r="158" spans="1:16" ht="39.75" customHeight="1" x14ac:dyDescent="0.2">
      <c r="B158" s="1479" t="s">
        <v>619</v>
      </c>
      <c r="C158" s="1214" t="s">
        <v>134</v>
      </c>
      <c r="D158" s="1195"/>
      <c r="E158" s="1195" t="s">
        <v>570</v>
      </c>
      <c r="F158" s="1195"/>
      <c r="G158" s="1195" t="s">
        <v>569</v>
      </c>
      <c r="H158" s="1226"/>
      <c r="I158" s="1921">
        <f>'[2]Datos CESANTES'!$D$8</f>
        <v>45</v>
      </c>
      <c r="J158" s="1225">
        <f>'[2]Datos CESANTES'!$E$8</f>
        <v>0.85</v>
      </c>
      <c r="K158" s="614" t="s">
        <v>567</v>
      </c>
      <c r="L158" s="613" t="s">
        <v>190</v>
      </c>
      <c r="M158" s="598"/>
      <c r="N158" s="182" t="s">
        <v>30</v>
      </c>
      <c r="O158" s="183">
        <v>8</v>
      </c>
      <c r="P158" s="568" t="s">
        <v>187</v>
      </c>
    </row>
    <row r="159" spans="1:16" ht="39.75" customHeight="1" x14ac:dyDescent="0.2">
      <c r="B159" s="1479"/>
      <c r="C159" s="1481" t="s">
        <v>620</v>
      </c>
      <c r="D159" s="1482"/>
      <c r="E159" s="1482" t="s">
        <v>621</v>
      </c>
      <c r="F159" s="1482"/>
      <c r="G159" s="1022" t="s">
        <v>622</v>
      </c>
      <c r="H159" s="1028"/>
      <c r="I159" s="1921"/>
      <c r="J159" s="1225"/>
      <c r="K159" s="614" t="s">
        <v>567</v>
      </c>
      <c r="L159" s="613" t="s">
        <v>190</v>
      </c>
      <c r="M159" s="598"/>
      <c r="N159" s="615"/>
      <c r="O159" s="183">
        <v>8</v>
      </c>
      <c r="P159" s="568" t="s">
        <v>187</v>
      </c>
    </row>
    <row r="160" spans="1:16" ht="39.75" customHeight="1" x14ac:dyDescent="0.2">
      <c r="B160" s="1479"/>
      <c r="C160" s="1206" t="s">
        <v>568</v>
      </c>
      <c r="D160" s="1207"/>
      <c r="E160" s="1207"/>
      <c r="F160" s="1207"/>
      <c r="G160" s="344"/>
      <c r="H160" s="345"/>
      <c r="I160" s="1921"/>
      <c r="J160" s="1225"/>
      <c r="K160" s="614" t="s">
        <v>567</v>
      </c>
      <c r="L160" s="613" t="s">
        <v>190</v>
      </c>
      <c r="M160" s="598"/>
      <c r="N160" s="615"/>
      <c r="O160" s="183">
        <v>8</v>
      </c>
      <c r="P160" s="568" t="s">
        <v>187</v>
      </c>
    </row>
    <row r="161" spans="1:16" s="66" customFormat="1" ht="39.950000000000003" customHeight="1" x14ac:dyDescent="0.2">
      <c r="A161" s="67"/>
      <c r="B161" s="1309" t="s">
        <v>625</v>
      </c>
      <c r="C161" s="1476" t="s">
        <v>585</v>
      </c>
      <c r="D161" s="1477"/>
      <c r="E161" s="1896" t="s">
        <v>587</v>
      </c>
      <c r="F161" s="1896"/>
      <c r="G161" s="1896" t="s">
        <v>588</v>
      </c>
      <c r="H161" s="1900"/>
      <c r="I161" s="1887">
        <f>'[2]Datos CESANTES'!$D$10</f>
        <v>50</v>
      </c>
      <c r="J161" s="915">
        <f>'[2]Datos CESANTES'!$E$10</f>
        <v>0.85</v>
      </c>
      <c r="K161" s="614" t="s">
        <v>584</v>
      </c>
      <c r="L161" s="613" t="s">
        <v>190</v>
      </c>
      <c r="M161" s="67"/>
      <c r="O161" s="183">
        <v>8</v>
      </c>
      <c r="P161" s="568" t="s">
        <v>187</v>
      </c>
    </row>
    <row r="162" spans="1:16" s="66" customFormat="1" ht="30" customHeight="1" x14ac:dyDescent="0.2">
      <c r="A162" s="67"/>
      <c r="B162" s="1310"/>
      <c r="C162" s="1704" t="s">
        <v>586</v>
      </c>
      <c r="D162" s="1685"/>
      <c r="E162" s="1685"/>
      <c r="F162" s="1685"/>
      <c r="G162" s="1685"/>
      <c r="H162" s="1686"/>
      <c r="I162" s="1892"/>
      <c r="J162" s="1045"/>
      <c r="K162" s="614" t="s">
        <v>584</v>
      </c>
      <c r="L162" s="613" t="s">
        <v>190</v>
      </c>
      <c r="M162" s="67"/>
      <c r="O162" s="183">
        <v>8</v>
      </c>
      <c r="P162" s="568" t="s">
        <v>187</v>
      </c>
    </row>
    <row r="163" spans="1:16" s="577" customFormat="1" ht="30" customHeight="1" x14ac:dyDescent="0.2">
      <c r="A163" s="67"/>
      <c r="B163" s="1236" t="s">
        <v>623</v>
      </c>
      <c r="C163" s="1872" t="s">
        <v>596</v>
      </c>
      <c r="D163" s="1873"/>
      <c r="E163" s="1702" t="s">
        <v>597</v>
      </c>
      <c r="F163" s="1702"/>
      <c r="G163" s="1919" t="s">
        <v>598</v>
      </c>
      <c r="H163" s="1920"/>
      <c r="I163" s="1397">
        <f>'[2]Datos CESANTES'!$D$9</f>
        <v>40</v>
      </c>
      <c r="J163" s="915">
        <f>'[2]Datos CESANTES'!$E$9</f>
        <v>0.85</v>
      </c>
      <c r="K163" s="614" t="s">
        <v>571</v>
      </c>
      <c r="L163" s="613" t="s">
        <v>190</v>
      </c>
      <c r="M163" s="576"/>
      <c r="N163" s="182" t="s">
        <v>30</v>
      </c>
      <c r="O163" s="183">
        <v>8</v>
      </c>
      <c r="P163" s="568" t="s">
        <v>187</v>
      </c>
    </row>
    <row r="164" spans="1:16" s="577" customFormat="1" ht="30" customHeight="1" x14ac:dyDescent="0.2">
      <c r="A164" s="67"/>
      <c r="B164" s="1238"/>
      <c r="C164" s="1845" t="s">
        <v>599</v>
      </c>
      <c r="D164" s="1846"/>
      <c r="E164" s="1846" t="s">
        <v>600</v>
      </c>
      <c r="F164" s="1846"/>
      <c r="G164" s="578"/>
      <c r="H164" s="579"/>
      <c r="I164" s="1398"/>
      <c r="J164" s="916"/>
      <c r="K164" s="614" t="s">
        <v>571</v>
      </c>
      <c r="L164" s="613" t="s">
        <v>190</v>
      </c>
      <c r="M164" s="576"/>
      <c r="N164" s="182"/>
      <c r="O164" s="183">
        <v>8</v>
      </c>
      <c r="P164" s="568" t="s">
        <v>187</v>
      </c>
    </row>
    <row r="165" spans="1:16" s="66" customFormat="1" ht="39.950000000000003" customHeight="1" x14ac:dyDescent="0.2">
      <c r="B165" s="1236" t="s">
        <v>626</v>
      </c>
      <c r="C165" s="1461" t="s">
        <v>592</v>
      </c>
      <c r="D165" s="1462"/>
      <c r="E165" s="1462" t="s">
        <v>176</v>
      </c>
      <c r="F165" s="1462"/>
      <c r="G165" s="1462" t="s">
        <v>593</v>
      </c>
      <c r="H165" s="1463"/>
      <c r="I165" s="1868">
        <f>'[2]Datos CESANTES'!$D$11</f>
        <v>80</v>
      </c>
      <c r="J165" s="1449">
        <f>'[2]Datos CESANTES'!$E$11</f>
        <v>0.75</v>
      </c>
      <c r="K165" s="614" t="s">
        <v>591</v>
      </c>
      <c r="L165" s="613" t="s">
        <v>190</v>
      </c>
      <c r="N165" s="182" t="s">
        <v>30</v>
      </c>
      <c r="O165" s="183">
        <v>8</v>
      </c>
      <c r="P165" s="568" t="s">
        <v>187</v>
      </c>
    </row>
    <row r="166" spans="1:16" s="66" customFormat="1" ht="39.950000000000003" customHeight="1" x14ac:dyDescent="0.2">
      <c r="B166" s="1238"/>
      <c r="C166" s="1213" t="s">
        <v>594</v>
      </c>
      <c r="D166" s="1213"/>
      <c r="E166" s="346"/>
      <c r="F166" s="346"/>
      <c r="G166" s="346"/>
      <c r="H166" s="347"/>
      <c r="I166" s="1870"/>
      <c r="J166" s="1451"/>
      <c r="K166" s="614" t="s">
        <v>591</v>
      </c>
      <c r="L166" s="613" t="s">
        <v>190</v>
      </c>
      <c r="N166" s="182"/>
      <c r="O166" s="183">
        <v>8</v>
      </c>
      <c r="P166" s="568" t="s">
        <v>187</v>
      </c>
    </row>
    <row r="167" spans="1:16" s="66" customFormat="1" ht="30" customHeight="1" x14ac:dyDescent="0.2">
      <c r="A167" s="595"/>
      <c r="B167" s="1236" t="s">
        <v>775</v>
      </c>
      <c r="C167" s="1461" t="s">
        <v>776</v>
      </c>
      <c r="D167" s="1462"/>
      <c r="E167" s="440"/>
      <c r="F167" s="440"/>
      <c r="G167" s="440"/>
      <c r="H167" s="441"/>
      <c r="I167" s="1918">
        <f>+'[2]Datos CESANTES'!$D$12</f>
        <v>90</v>
      </c>
      <c r="J167" s="1538">
        <f>'[2]Datos CESANTES'!$E$12</f>
        <v>0.7</v>
      </c>
      <c r="K167" s="614" t="s">
        <v>758</v>
      </c>
      <c r="L167" s="613" t="s">
        <v>190</v>
      </c>
      <c r="N167" s="182" t="s">
        <v>30</v>
      </c>
      <c r="O167" s="183">
        <v>8</v>
      </c>
      <c r="P167" s="568" t="s">
        <v>187</v>
      </c>
    </row>
    <row r="168" spans="1:16" s="66" customFormat="1" ht="30" customHeight="1" x14ac:dyDescent="0.2">
      <c r="A168" s="572" t="s">
        <v>69</v>
      </c>
      <c r="B168" s="1238"/>
      <c r="C168" s="1453" t="s">
        <v>765</v>
      </c>
      <c r="D168" s="1213"/>
      <c r="E168" s="1213"/>
      <c r="F168" s="1213"/>
      <c r="G168" s="1213"/>
      <c r="H168" s="1454"/>
      <c r="I168" s="1918"/>
      <c r="J168" s="1538"/>
      <c r="K168" s="614" t="s">
        <v>758</v>
      </c>
      <c r="L168" s="613" t="s">
        <v>190</v>
      </c>
      <c r="N168" s="67"/>
      <c r="O168" s="183">
        <v>8</v>
      </c>
      <c r="P168" s="568" t="s">
        <v>187</v>
      </c>
    </row>
    <row r="169" spans="1:16" s="66" customFormat="1" ht="39.950000000000003" customHeight="1" x14ac:dyDescent="0.2">
      <c r="A169" s="67"/>
      <c r="B169" s="327" t="s">
        <v>628</v>
      </c>
      <c r="C169" s="1252" t="s">
        <v>602</v>
      </c>
      <c r="D169" s="1252"/>
      <c r="E169" s="1252"/>
      <c r="F169" s="1252"/>
      <c r="G169" s="1252"/>
      <c r="H169" s="1252"/>
      <c r="I169" s="409">
        <f>'[2]Datos CESANTES'!$D$13</f>
        <v>35</v>
      </c>
      <c r="J169" s="42">
        <f>'[2]Datos CESANTES'!$E$13</f>
        <v>0.9</v>
      </c>
      <c r="K169" s="614" t="s">
        <v>601</v>
      </c>
      <c r="L169" s="613" t="s">
        <v>190</v>
      </c>
      <c r="M169" s="67"/>
      <c r="N169" s="182" t="s">
        <v>30</v>
      </c>
      <c r="O169" s="183">
        <v>8</v>
      </c>
      <c r="P169" s="568" t="s">
        <v>187</v>
      </c>
    </row>
    <row r="170" spans="1:16" s="66" customFormat="1" ht="39.950000000000003" customHeight="1" x14ac:dyDescent="0.2">
      <c r="A170" s="67"/>
      <c r="B170" s="327" t="s">
        <v>629</v>
      </c>
      <c r="C170" s="1252" t="s">
        <v>604</v>
      </c>
      <c r="D170" s="1252"/>
      <c r="E170" s="1252"/>
      <c r="F170" s="1252"/>
      <c r="G170" s="1252"/>
      <c r="H170" s="1252"/>
      <c r="I170" s="409">
        <f>'[2]Datos CESANTES'!$D$14</f>
        <v>55</v>
      </c>
      <c r="J170" s="42">
        <f>'[2]Datos CESANTES'!$E$14</f>
        <v>0.85</v>
      </c>
      <c r="K170" s="614" t="s">
        <v>603</v>
      </c>
      <c r="L170" s="613" t="s">
        <v>190</v>
      </c>
      <c r="M170" s="67"/>
      <c r="N170" s="182" t="s">
        <v>30</v>
      </c>
      <c r="O170" s="183">
        <v>8</v>
      </c>
      <c r="P170" s="568" t="s">
        <v>187</v>
      </c>
    </row>
    <row r="171" spans="1:16" ht="39.950000000000003" customHeight="1" x14ac:dyDescent="0.2">
      <c r="A171" s="45"/>
      <c r="B171" s="327" t="s">
        <v>778</v>
      </c>
      <c r="C171" s="1252" t="s">
        <v>770</v>
      </c>
      <c r="D171" s="1252"/>
      <c r="E171" s="1252"/>
      <c r="F171" s="1252"/>
      <c r="G171" s="1252"/>
      <c r="H171" s="1252"/>
      <c r="I171" s="580">
        <f>'[2]Datos CESANTES'!$D$15</f>
        <v>115</v>
      </c>
      <c r="J171" s="353">
        <f>'[2]Datos CESANTES'!$E$15</f>
        <v>0.65</v>
      </c>
      <c r="K171" s="614" t="s">
        <v>769</v>
      </c>
      <c r="L171" s="613" t="s">
        <v>190</v>
      </c>
      <c r="M171" s="66"/>
      <c r="N171" s="182" t="s">
        <v>30</v>
      </c>
      <c r="O171" s="183">
        <v>8</v>
      </c>
      <c r="P171" s="568" t="s">
        <v>187</v>
      </c>
    </row>
    <row r="172" spans="1:16" s="66" customFormat="1" ht="30" customHeight="1" x14ac:dyDescent="0.2">
      <c r="A172" s="572"/>
      <c r="B172" s="327" t="s">
        <v>777</v>
      </c>
      <c r="C172" s="1432" t="s">
        <v>768</v>
      </c>
      <c r="D172" s="1433"/>
      <c r="E172" s="166"/>
      <c r="F172" s="166"/>
      <c r="G172" s="166"/>
      <c r="H172" s="442"/>
      <c r="I172" s="580">
        <v>120</v>
      </c>
      <c r="J172" s="353">
        <v>0.6</v>
      </c>
      <c r="L172" s="661"/>
      <c r="N172" s="67"/>
      <c r="O172" s="67"/>
      <c r="P172" s="586"/>
    </row>
    <row r="173" spans="1:16" ht="19.5" customHeight="1" x14ac:dyDescent="0.2">
      <c r="B173" s="616"/>
      <c r="C173" s="617"/>
      <c r="D173" s="617"/>
      <c r="E173" s="617"/>
      <c r="F173" s="617"/>
      <c r="G173" s="617"/>
      <c r="H173" s="617"/>
      <c r="I173" s="618"/>
      <c r="J173" s="128"/>
      <c r="L173" s="594"/>
      <c r="O173" s="594"/>
    </row>
    <row r="174" spans="1:16" ht="30" customHeight="1" x14ac:dyDescent="0.2">
      <c r="B174" s="1662" t="s">
        <v>228</v>
      </c>
      <c r="C174" s="1663"/>
      <c r="D174" s="1663"/>
      <c r="E174" s="1663"/>
      <c r="F174" s="1663"/>
      <c r="G174" s="1663"/>
      <c r="H174" s="1664"/>
      <c r="I174" s="406" t="s">
        <v>229</v>
      </c>
      <c r="J174" s="35" t="s">
        <v>18</v>
      </c>
      <c r="K174" s="226" t="s">
        <v>230</v>
      </c>
      <c r="L174" s="183">
        <v>9</v>
      </c>
      <c r="N174" s="182" t="s">
        <v>30</v>
      </c>
      <c r="O174" s="183">
        <v>9</v>
      </c>
    </row>
    <row r="175" spans="1:16" ht="30" customHeight="1" x14ac:dyDescent="0.2">
      <c r="B175" s="1736" t="s">
        <v>822</v>
      </c>
      <c r="C175" s="1914"/>
      <c r="D175" s="1914"/>
      <c r="E175" s="1914"/>
      <c r="F175" s="1914"/>
      <c r="G175" s="1914"/>
      <c r="H175" s="1914"/>
      <c r="I175" s="1737"/>
      <c r="J175" s="1738"/>
      <c r="K175" s="226" t="s">
        <v>230</v>
      </c>
      <c r="L175" s="183">
        <v>9</v>
      </c>
      <c r="O175" s="183">
        <v>9</v>
      </c>
    </row>
    <row r="176" spans="1:16" ht="39.950000000000003" customHeight="1" x14ac:dyDescent="0.2">
      <c r="B176" s="1915" t="s">
        <v>26</v>
      </c>
      <c r="C176" s="1203" t="s">
        <v>217</v>
      </c>
      <c r="D176" s="1204"/>
      <c r="E176" s="1204" t="s">
        <v>231</v>
      </c>
      <c r="F176" s="1204"/>
      <c r="G176" s="1204" t="s">
        <v>226</v>
      </c>
      <c r="H176" s="1205"/>
      <c r="I176" s="1698" t="s">
        <v>232</v>
      </c>
      <c r="J176" s="915">
        <v>1</v>
      </c>
      <c r="K176" s="226" t="s">
        <v>230</v>
      </c>
      <c r="L176" s="183">
        <v>9</v>
      </c>
      <c r="O176" s="183">
        <v>9</v>
      </c>
    </row>
    <row r="177" spans="1:16" ht="30" customHeight="1" x14ac:dyDescent="0.2">
      <c r="B177" s="1916"/>
      <c r="C177" s="889" t="s">
        <v>196</v>
      </c>
      <c r="D177" s="890"/>
      <c r="E177" s="969" t="s">
        <v>233</v>
      </c>
      <c r="F177" s="969"/>
      <c r="G177" s="969" t="s">
        <v>234</v>
      </c>
      <c r="H177" s="1193"/>
      <c r="I177" s="1699"/>
      <c r="J177" s="1045"/>
      <c r="K177" s="226" t="s">
        <v>230</v>
      </c>
      <c r="L177" s="183">
        <v>9</v>
      </c>
      <c r="O177" s="183">
        <v>9</v>
      </c>
    </row>
    <row r="178" spans="1:16" ht="30" customHeight="1" x14ac:dyDescent="0.2">
      <c r="B178" s="1917"/>
      <c r="C178" s="894" t="s">
        <v>198</v>
      </c>
      <c r="D178" s="895"/>
      <c r="E178" s="132"/>
      <c r="F178" s="132"/>
      <c r="G178" s="132"/>
      <c r="H178" s="133"/>
      <c r="I178" s="1700"/>
      <c r="J178" s="916"/>
      <c r="K178" s="226" t="s">
        <v>230</v>
      </c>
      <c r="L178" s="183">
        <v>9</v>
      </c>
      <c r="O178" s="183">
        <v>9</v>
      </c>
    </row>
    <row r="179" spans="1:16" ht="85.5" customHeight="1" x14ac:dyDescent="0.2">
      <c r="B179" s="1345" t="s">
        <v>235</v>
      </c>
      <c r="C179" s="1630"/>
      <c r="D179" s="1630"/>
      <c r="E179" s="1630"/>
      <c r="F179" s="1630"/>
      <c r="G179" s="1630"/>
      <c r="H179" s="1630"/>
      <c r="I179" s="1346"/>
      <c r="J179" s="1347"/>
      <c r="K179" s="226" t="s">
        <v>230</v>
      </c>
      <c r="L179" s="183">
        <v>9</v>
      </c>
      <c r="O179" s="183">
        <v>9</v>
      </c>
    </row>
    <row r="180" spans="1:16" ht="20.100000000000001" customHeight="1" x14ac:dyDescent="0.2">
      <c r="B180" s="619"/>
      <c r="C180" s="619"/>
      <c r="D180" s="619"/>
      <c r="E180" s="619"/>
      <c r="F180" s="619"/>
      <c r="G180" s="619"/>
      <c r="H180" s="619"/>
      <c r="I180" s="619"/>
      <c r="J180" s="135"/>
      <c r="K180" s="66"/>
      <c r="L180" s="67"/>
      <c r="O180" s="67"/>
    </row>
    <row r="181" spans="1:16" ht="30" customHeight="1" x14ac:dyDescent="0.2">
      <c r="B181" s="1662" t="s">
        <v>237</v>
      </c>
      <c r="C181" s="1663"/>
      <c r="D181" s="1663"/>
      <c r="E181" s="1663"/>
      <c r="F181" s="1663"/>
      <c r="G181" s="1663"/>
      <c r="H181" s="1664"/>
      <c r="I181" s="406" t="s">
        <v>238</v>
      </c>
      <c r="J181" s="35" t="s">
        <v>18</v>
      </c>
      <c r="K181" s="66"/>
      <c r="L181" s="67"/>
      <c r="N181" s="182" t="s">
        <v>30</v>
      </c>
      <c r="O181" s="67"/>
    </row>
    <row r="182" spans="1:16" ht="36.75" customHeight="1" x14ac:dyDescent="0.2">
      <c r="B182" s="620" t="s">
        <v>26</v>
      </c>
      <c r="C182" s="1169" t="s">
        <v>239</v>
      </c>
      <c r="D182" s="1170"/>
      <c r="E182" s="1170"/>
      <c r="F182" s="1170"/>
      <c r="G182" s="1170"/>
      <c r="H182" s="1171"/>
      <c r="I182" s="539">
        <v>170</v>
      </c>
      <c r="J182" s="75">
        <v>1</v>
      </c>
      <c r="K182" s="66"/>
      <c r="L182" s="67"/>
      <c r="O182" s="67"/>
    </row>
    <row r="183" spans="1:16" ht="20.100000000000001" customHeight="1" x14ac:dyDescent="0.2">
      <c r="B183" s="616"/>
      <c r="C183" s="561"/>
      <c r="D183" s="621"/>
      <c r="E183" s="621"/>
      <c r="F183" s="621"/>
      <c r="G183" s="621"/>
      <c r="H183" s="621"/>
      <c r="I183" s="593"/>
      <c r="J183" s="65"/>
    </row>
    <row r="184" spans="1:16" ht="30" customHeight="1" x14ac:dyDescent="0.2">
      <c r="A184" s="45"/>
      <c r="B184" s="1662" t="s">
        <v>240</v>
      </c>
      <c r="C184" s="1663"/>
      <c r="D184" s="1663"/>
      <c r="E184" s="1663"/>
      <c r="F184" s="1663"/>
      <c r="G184" s="1663"/>
      <c r="H184" s="1664"/>
      <c r="I184" s="406" t="s">
        <v>241</v>
      </c>
      <c r="J184" s="35" t="s">
        <v>18</v>
      </c>
      <c r="K184" s="226" t="s">
        <v>242</v>
      </c>
      <c r="L184" s="183">
        <v>10</v>
      </c>
      <c r="N184" s="182" t="s">
        <v>30</v>
      </c>
      <c r="O184" s="183">
        <v>10</v>
      </c>
      <c r="P184" s="568" t="s">
        <v>243</v>
      </c>
    </row>
    <row r="185" spans="1:16" ht="36" customHeight="1" x14ac:dyDescent="0.2">
      <c r="A185" s="45"/>
      <c r="B185" s="1913" t="s">
        <v>823</v>
      </c>
      <c r="C185" s="1913"/>
      <c r="D185" s="1913"/>
      <c r="E185" s="1913"/>
      <c r="F185" s="1913"/>
      <c r="G185" s="1913"/>
      <c r="H185" s="1913"/>
      <c r="I185" s="1913"/>
      <c r="J185" s="1913"/>
      <c r="O185" s="183">
        <v>10</v>
      </c>
      <c r="P185" s="568" t="s">
        <v>243</v>
      </c>
    </row>
    <row r="186" spans="1:16" ht="39.950000000000003" customHeight="1" x14ac:dyDescent="0.2">
      <c r="A186" s="45"/>
      <c r="B186" s="1818" t="s">
        <v>26</v>
      </c>
      <c r="C186" s="1203" t="s">
        <v>32</v>
      </c>
      <c r="D186" s="1204"/>
      <c r="E186" s="1188" t="s">
        <v>245</v>
      </c>
      <c r="F186" s="1188"/>
      <c r="G186" s="1204" t="s">
        <v>35</v>
      </c>
      <c r="H186" s="1205"/>
      <c r="I186" s="1698" t="str">
        <f>+'[2]Datos CESANTES'!$F$3</f>
        <v>1 día de hab.</v>
      </c>
      <c r="J186" s="915">
        <f>+'[2]Datos CESANTES'!$G$3</f>
        <v>0.9</v>
      </c>
      <c r="K186" s="570" t="s">
        <v>26</v>
      </c>
      <c r="L186" s="571" t="s">
        <v>246</v>
      </c>
      <c r="M186" s="598"/>
      <c r="O186" s="183">
        <v>10</v>
      </c>
      <c r="P186" s="568" t="s">
        <v>243</v>
      </c>
    </row>
    <row r="187" spans="1:16" ht="30" customHeight="1" x14ac:dyDescent="0.2">
      <c r="A187" s="45"/>
      <c r="B187" s="1793"/>
      <c r="C187" s="137" t="s">
        <v>29</v>
      </c>
      <c r="D187" s="134"/>
      <c r="E187" s="148" t="s">
        <v>31</v>
      </c>
      <c r="G187" s="1192" t="s">
        <v>27</v>
      </c>
      <c r="H187" s="1215"/>
      <c r="I187" s="1699"/>
      <c r="J187" s="1045"/>
      <c r="K187" s="570" t="s">
        <v>26</v>
      </c>
      <c r="L187" s="571" t="s">
        <v>246</v>
      </c>
      <c r="M187" s="598"/>
      <c r="O187" s="183">
        <v>10</v>
      </c>
      <c r="P187" s="568" t="s">
        <v>243</v>
      </c>
    </row>
    <row r="188" spans="1:16" ht="39.950000000000003" customHeight="1" x14ac:dyDescent="0.2">
      <c r="A188" s="45"/>
      <c r="B188" s="1794"/>
      <c r="C188" s="1194" t="s">
        <v>38</v>
      </c>
      <c r="D188" s="1177"/>
      <c r="E188" s="1213"/>
      <c r="F188" s="1213"/>
      <c r="G188" s="862"/>
      <c r="H188" s="863"/>
      <c r="I188" s="1700"/>
      <c r="J188" s="916"/>
      <c r="K188" s="570" t="s">
        <v>26</v>
      </c>
      <c r="L188" s="571" t="s">
        <v>246</v>
      </c>
      <c r="M188" s="598"/>
      <c r="O188" s="183">
        <v>10</v>
      </c>
      <c r="P188" s="568" t="s">
        <v>243</v>
      </c>
    </row>
    <row r="189" spans="1:16" s="623" customFormat="1" ht="39.950000000000003" customHeight="1" x14ac:dyDescent="0.2">
      <c r="A189" s="622"/>
      <c r="B189" s="1783" t="s">
        <v>40</v>
      </c>
      <c r="C189" s="1214" t="s">
        <v>42</v>
      </c>
      <c r="D189" s="1195"/>
      <c r="E189" s="1195" t="s">
        <v>44</v>
      </c>
      <c r="F189" s="1195"/>
      <c r="G189" s="1195" t="s">
        <v>45</v>
      </c>
      <c r="H189" s="1226"/>
      <c r="I189" s="1819" t="str">
        <f>+'[2]Datos CESANTES'!$F$4</f>
        <v>1 día de hab.</v>
      </c>
      <c r="J189" s="915">
        <f>+'[2]Datos CESANTES'!$G$4</f>
        <v>0.9</v>
      </c>
      <c r="K189" s="570" t="s">
        <v>40</v>
      </c>
      <c r="L189" s="571" t="s">
        <v>246</v>
      </c>
      <c r="M189" s="598"/>
      <c r="N189" s="182" t="s">
        <v>30</v>
      </c>
      <c r="O189" s="183">
        <v>10</v>
      </c>
      <c r="P189" s="568" t="s">
        <v>243</v>
      </c>
    </row>
    <row r="190" spans="1:16" s="623" customFormat="1" ht="35.1" customHeight="1" x14ac:dyDescent="0.2">
      <c r="A190" s="622"/>
      <c r="B190" s="1784"/>
      <c r="C190" s="1133" t="s">
        <v>55</v>
      </c>
      <c r="D190" s="1132"/>
      <c r="E190" s="1132" t="s">
        <v>47</v>
      </c>
      <c r="F190" s="1132"/>
      <c r="G190" s="1190" t="s">
        <v>48</v>
      </c>
      <c r="H190" s="1212"/>
      <c r="I190" s="1826"/>
      <c r="J190" s="1045"/>
      <c r="K190" s="570" t="s">
        <v>40</v>
      </c>
      <c r="L190" s="571" t="s">
        <v>246</v>
      </c>
      <c r="M190" s="598"/>
      <c r="N190" s="67"/>
      <c r="O190" s="183">
        <v>10</v>
      </c>
      <c r="P190" s="568" t="s">
        <v>243</v>
      </c>
    </row>
    <row r="191" spans="1:16" s="623" customFormat="1" ht="35.1" customHeight="1" x14ac:dyDescent="0.2">
      <c r="A191" s="622"/>
      <c r="B191" s="1784"/>
      <c r="C191" s="1211" t="s">
        <v>46</v>
      </c>
      <c r="D191" s="1190"/>
      <c r="E191" s="1132" t="s">
        <v>247</v>
      </c>
      <c r="F191" s="1132"/>
      <c r="G191" s="1132" t="s">
        <v>64</v>
      </c>
      <c r="H191" s="1132"/>
      <c r="I191" s="1826"/>
      <c r="J191" s="1045"/>
      <c r="K191" s="570" t="s">
        <v>40</v>
      </c>
      <c r="L191" s="571" t="s">
        <v>246</v>
      </c>
      <c r="M191" s="598"/>
      <c r="N191" s="67"/>
      <c r="O191" s="183">
        <v>10</v>
      </c>
      <c r="P191" s="568" t="s">
        <v>243</v>
      </c>
    </row>
    <row r="192" spans="1:16" s="623" customFormat="1" ht="35.1" customHeight="1" x14ac:dyDescent="0.2">
      <c r="A192" s="622"/>
      <c r="B192" s="1784"/>
      <c r="C192" s="1211" t="s">
        <v>49</v>
      </c>
      <c r="D192" s="1190"/>
      <c r="E192" s="1132" t="s">
        <v>62</v>
      </c>
      <c r="F192" s="1132"/>
      <c r="G192" s="1132" t="s">
        <v>54</v>
      </c>
      <c r="H192" s="1134"/>
      <c r="I192" s="1826"/>
      <c r="J192" s="1045"/>
      <c r="K192" s="570" t="s">
        <v>40</v>
      </c>
      <c r="L192" s="571" t="s">
        <v>246</v>
      </c>
      <c r="M192" s="598"/>
      <c r="N192" s="67"/>
      <c r="O192" s="183">
        <v>10</v>
      </c>
      <c r="P192" s="568" t="s">
        <v>243</v>
      </c>
    </row>
    <row r="193" spans="1:16" s="623" customFormat="1" ht="45" customHeight="1" x14ac:dyDescent="0.2">
      <c r="A193" s="622"/>
      <c r="B193" s="1784"/>
      <c r="C193" s="1132" t="s">
        <v>68</v>
      </c>
      <c r="D193" s="1132"/>
      <c r="E193" s="1132" t="s">
        <v>56</v>
      </c>
      <c r="F193" s="1132"/>
      <c r="G193" s="1132" t="s">
        <v>58</v>
      </c>
      <c r="H193" s="1134"/>
      <c r="I193" s="1826"/>
      <c r="J193" s="1045"/>
      <c r="K193" s="570" t="s">
        <v>40</v>
      </c>
      <c r="L193" s="571" t="s">
        <v>246</v>
      </c>
      <c r="M193" s="598"/>
      <c r="N193" s="67"/>
      <c r="O193" s="183">
        <v>10</v>
      </c>
      <c r="P193" s="568" t="s">
        <v>243</v>
      </c>
    </row>
    <row r="194" spans="1:16" ht="30" customHeight="1" x14ac:dyDescent="0.2">
      <c r="A194" s="572" t="s">
        <v>69</v>
      </c>
      <c r="B194" s="1785"/>
      <c r="C194" s="1211" t="s">
        <v>249</v>
      </c>
      <c r="D194" s="1190"/>
      <c r="E194" s="1190"/>
      <c r="F194" s="1190"/>
      <c r="G194" s="1190"/>
      <c r="H194" s="1212"/>
      <c r="I194" s="1820"/>
      <c r="J194" s="916"/>
      <c r="K194" s="570" t="s">
        <v>40</v>
      </c>
      <c r="L194" s="571" t="s">
        <v>246</v>
      </c>
      <c r="M194" s="598"/>
      <c r="O194" s="183">
        <v>10</v>
      </c>
      <c r="P194" s="568" t="s">
        <v>243</v>
      </c>
    </row>
    <row r="195" spans="1:16" ht="33" customHeight="1" x14ac:dyDescent="0.2">
      <c r="A195" s="622"/>
      <c r="B195" s="1718" t="s">
        <v>71</v>
      </c>
      <c r="C195" s="1187" t="s">
        <v>72</v>
      </c>
      <c r="D195" s="1188"/>
      <c r="E195" s="1188" t="s">
        <v>74</v>
      </c>
      <c r="F195" s="1188"/>
      <c r="G195" s="1188" t="s">
        <v>75</v>
      </c>
      <c r="H195" s="1189"/>
      <c r="I195" s="1887" t="str">
        <f>+'[2]Datos CESANTES'!$F$5</f>
        <v>1 día de hab.</v>
      </c>
      <c r="J195" s="915">
        <f>+'[2]Datos CESANTES'!$G$5</f>
        <v>0.85</v>
      </c>
      <c r="K195" s="570" t="s">
        <v>71</v>
      </c>
      <c r="L195" s="571" t="s">
        <v>246</v>
      </c>
      <c r="M195" s="598"/>
      <c r="N195" s="182" t="s">
        <v>30</v>
      </c>
      <c r="O195" s="183">
        <v>10</v>
      </c>
      <c r="P195" s="568" t="s">
        <v>243</v>
      </c>
    </row>
    <row r="196" spans="1:16" ht="33" customHeight="1" x14ac:dyDescent="0.2">
      <c r="A196" s="622"/>
      <c r="B196" s="1891"/>
      <c r="C196" s="968" t="s">
        <v>81</v>
      </c>
      <c r="D196" s="969"/>
      <c r="E196" s="969" t="s">
        <v>82</v>
      </c>
      <c r="F196" s="969"/>
      <c r="G196" s="1180" t="s">
        <v>80</v>
      </c>
      <c r="H196" s="1227"/>
      <c r="I196" s="1892"/>
      <c r="J196" s="1045"/>
      <c r="K196" s="570" t="s">
        <v>71</v>
      </c>
      <c r="L196" s="571" t="s">
        <v>246</v>
      </c>
      <c r="M196" s="598"/>
      <c r="O196" s="183">
        <v>10</v>
      </c>
      <c r="P196" s="568" t="s">
        <v>243</v>
      </c>
    </row>
    <row r="197" spans="1:16" ht="33" customHeight="1" x14ac:dyDescent="0.2">
      <c r="A197" s="622"/>
      <c r="B197" s="1891"/>
      <c r="C197" s="1206" t="s">
        <v>77</v>
      </c>
      <c r="D197" s="1207"/>
      <c r="E197" s="1207" t="s">
        <v>76</v>
      </c>
      <c r="F197" s="1207"/>
      <c r="G197" s="1182" t="s">
        <v>78</v>
      </c>
      <c r="H197" s="1183"/>
      <c r="I197" s="1892"/>
      <c r="J197" s="1045"/>
      <c r="K197" s="570" t="s">
        <v>71</v>
      </c>
      <c r="L197" s="571" t="s">
        <v>246</v>
      </c>
      <c r="M197" s="598"/>
      <c r="O197" s="183">
        <v>10</v>
      </c>
      <c r="P197" s="568" t="s">
        <v>243</v>
      </c>
    </row>
    <row r="198" spans="1:16" ht="39.950000000000003" customHeight="1" x14ac:dyDescent="0.2">
      <c r="A198" s="622"/>
      <c r="B198" s="1783" t="s">
        <v>85</v>
      </c>
      <c r="C198" s="1211" t="s">
        <v>378</v>
      </c>
      <c r="D198" s="1190"/>
      <c r="E198" s="1190" t="s">
        <v>342</v>
      </c>
      <c r="F198" s="1190"/>
      <c r="G198" s="1190" t="s">
        <v>86</v>
      </c>
      <c r="H198" s="1212"/>
      <c r="I198" s="1698" t="str">
        <f>+'[2]Datos CESANTES'!$F$6</f>
        <v>1 día de hab.</v>
      </c>
      <c r="J198" s="915">
        <f>+'[2]Datos CESANTES'!$G$6</f>
        <v>0.85</v>
      </c>
      <c r="K198" s="570" t="s">
        <v>85</v>
      </c>
      <c r="L198" s="571" t="s">
        <v>246</v>
      </c>
      <c r="M198" s="598"/>
      <c r="N198" s="182" t="s">
        <v>30</v>
      </c>
      <c r="O198" s="183">
        <v>10</v>
      </c>
      <c r="P198" s="568" t="s">
        <v>243</v>
      </c>
    </row>
    <row r="199" spans="1:16" ht="39.950000000000003" customHeight="1" x14ac:dyDescent="0.2">
      <c r="A199" s="622"/>
      <c r="B199" s="1784"/>
      <c r="C199" s="1211" t="s">
        <v>574</v>
      </c>
      <c r="D199" s="1190"/>
      <c r="E199" s="1190" t="s">
        <v>580</v>
      </c>
      <c r="F199" s="1190"/>
      <c r="G199" s="1190" t="s">
        <v>576</v>
      </c>
      <c r="H199" s="1212"/>
      <c r="I199" s="1699"/>
      <c r="J199" s="1045"/>
      <c r="K199" s="570" t="s">
        <v>85</v>
      </c>
      <c r="L199" s="571" t="s">
        <v>246</v>
      </c>
      <c r="M199" s="598"/>
      <c r="O199" s="183">
        <v>10</v>
      </c>
      <c r="P199" s="568" t="s">
        <v>243</v>
      </c>
    </row>
    <row r="200" spans="1:16" ht="30" customHeight="1" x14ac:dyDescent="0.2">
      <c r="A200" s="622"/>
      <c r="B200" s="1784"/>
      <c r="C200" s="1211" t="s">
        <v>577</v>
      </c>
      <c r="D200" s="1190"/>
      <c r="E200" s="1190" t="s">
        <v>624</v>
      </c>
      <c r="F200" s="1190"/>
      <c r="G200" s="1190" t="s">
        <v>578</v>
      </c>
      <c r="H200" s="1212"/>
      <c r="I200" s="1699"/>
      <c r="J200" s="1045"/>
      <c r="K200" s="570" t="s">
        <v>85</v>
      </c>
      <c r="L200" s="571" t="s">
        <v>246</v>
      </c>
      <c r="M200" s="598"/>
      <c r="O200" s="183">
        <v>10</v>
      </c>
      <c r="P200" s="568" t="s">
        <v>243</v>
      </c>
    </row>
    <row r="201" spans="1:16" ht="30" customHeight="1" x14ac:dyDescent="0.2">
      <c r="A201" s="622"/>
      <c r="B201" s="1784"/>
      <c r="C201" s="1046" t="s">
        <v>402</v>
      </c>
      <c r="D201" s="1022"/>
      <c r="E201" s="1190" t="s">
        <v>581</v>
      </c>
      <c r="F201" s="1190"/>
      <c r="G201" s="1190" t="s">
        <v>579</v>
      </c>
      <c r="H201" s="1212"/>
      <c r="I201" s="1699"/>
      <c r="J201" s="1045"/>
      <c r="K201" s="570" t="s">
        <v>85</v>
      </c>
      <c r="L201" s="571" t="s">
        <v>246</v>
      </c>
      <c r="M201" s="598"/>
      <c r="O201" s="183">
        <v>10</v>
      </c>
      <c r="P201" s="568" t="s">
        <v>243</v>
      </c>
    </row>
    <row r="202" spans="1:16" ht="30" customHeight="1" x14ac:dyDescent="0.2">
      <c r="A202" s="622"/>
      <c r="B202" s="1785"/>
      <c r="C202" s="1116" t="s">
        <v>573</v>
      </c>
      <c r="D202" s="1034"/>
      <c r="E202" s="140"/>
      <c r="F202" s="140"/>
      <c r="G202" s="140"/>
      <c r="H202" s="516"/>
      <c r="I202" s="1700"/>
      <c r="J202" s="916"/>
      <c r="K202" s="570" t="s">
        <v>85</v>
      </c>
      <c r="L202" s="571" t="s">
        <v>246</v>
      </c>
      <c r="M202" s="598"/>
      <c r="O202" s="183">
        <v>10</v>
      </c>
      <c r="P202" s="568" t="s">
        <v>243</v>
      </c>
    </row>
    <row r="203" spans="1:16" ht="39.950000000000003" customHeight="1" x14ac:dyDescent="0.2">
      <c r="A203" s="622"/>
      <c r="B203" s="1783" t="s">
        <v>87</v>
      </c>
      <c r="C203" s="1895" t="s">
        <v>88</v>
      </c>
      <c r="D203" s="1896"/>
      <c r="E203" s="1896" t="s">
        <v>89</v>
      </c>
      <c r="F203" s="1896"/>
      <c r="G203" s="1896" t="s">
        <v>90</v>
      </c>
      <c r="H203" s="1900"/>
      <c r="I203" s="1698" t="str">
        <f>+'[2]Datos CESANTES'!$F$7</f>
        <v>1 día de hab.</v>
      </c>
      <c r="J203" s="915">
        <f>+'[2]Datos CESANTES'!$G$7</f>
        <v>0.85</v>
      </c>
      <c r="K203" s="570" t="s">
        <v>87</v>
      </c>
      <c r="L203" s="571" t="s">
        <v>246</v>
      </c>
      <c r="M203" s="598"/>
      <c r="N203" s="182" t="s">
        <v>30</v>
      </c>
      <c r="O203" s="183">
        <v>10</v>
      </c>
      <c r="P203" s="568" t="s">
        <v>243</v>
      </c>
    </row>
    <row r="204" spans="1:16" ht="39.950000000000003" customHeight="1" x14ac:dyDescent="0.2">
      <c r="A204" s="622"/>
      <c r="B204" s="1784"/>
      <c r="C204" s="1701" t="s">
        <v>93</v>
      </c>
      <c r="D204" s="1702"/>
      <c r="E204" s="1702" t="s">
        <v>92</v>
      </c>
      <c r="F204" s="1702"/>
      <c r="G204" s="890" t="s">
        <v>96</v>
      </c>
      <c r="H204" s="1912"/>
      <c r="I204" s="1699"/>
      <c r="J204" s="1045"/>
      <c r="K204" s="570" t="s">
        <v>87</v>
      </c>
      <c r="L204" s="571" t="s">
        <v>246</v>
      </c>
      <c r="M204" s="598"/>
      <c r="N204" s="149"/>
      <c r="O204" s="183">
        <v>10</v>
      </c>
      <c r="P204" s="568" t="s">
        <v>243</v>
      </c>
    </row>
    <row r="205" spans="1:16" ht="39.950000000000003" customHeight="1" x14ac:dyDescent="0.2">
      <c r="A205" s="622"/>
      <c r="B205" s="1785"/>
      <c r="C205" s="1704" t="s">
        <v>39</v>
      </c>
      <c r="D205" s="1685"/>
      <c r="E205" s="625"/>
      <c r="F205" s="625"/>
      <c r="G205" s="476"/>
      <c r="H205" s="783"/>
      <c r="I205" s="1700"/>
      <c r="J205" s="916"/>
      <c r="K205" s="570" t="s">
        <v>87</v>
      </c>
      <c r="L205" s="571" t="s">
        <v>246</v>
      </c>
      <c r="M205" s="598"/>
      <c r="N205" s="149"/>
      <c r="O205" s="183">
        <v>10</v>
      </c>
      <c r="P205" s="568" t="s">
        <v>243</v>
      </c>
    </row>
    <row r="206" spans="1:16" s="630" customFormat="1" ht="30" customHeight="1" x14ac:dyDescent="0.2">
      <c r="A206" s="627"/>
      <c r="B206" s="628" t="s">
        <v>567</v>
      </c>
      <c r="C206" s="1704" t="s">
        <v>134</v>
      </c>
      <c r="D206" s="1685"/>
      <c r="E206" s="1909" t="s">
        <v>631</v>
      </c>
      <c r="F206" s="1909"/>
      <c r="G206" s="1685" t="s">
        <v>95</v>
      </c>
      <c r="H206" s="1686"/>
      <c r="I206" s="629" t="str">
        <f>+'[2]Datos CESANTES'!$F$8</f>
        <v>1 día de hab.</v>
      </c>
      <c r="J206" s="121">
        <f>+'[2]Datos CESANTES'!$G$8</f>
        <v>0.85</v>
      </c>
      <c r="K206" s="570" t="s">
        <v>567</v>
      </c>
      <c r="L206" s="571" t="s">
        <v>246</v>
      </c>
      <c r="M206" s="598"/>
      <c r="N206" s="182" t="s">
        <v>30</v>
      </c>
      <c r="O206" s="183">
        <v>10</v>
      </c>
      <c r="P206" s="568" t="s">
        <v>243</v>
      </c>
    </row>
    <row r="207" spans="1:16" s="66" customFormat="1" ht="30" customHeight="1" x14ac:dyDescent="0.2">
      <c r="A207" s="67"/>
      <c r="B207" s="1910" t="s">
        <v>584</v>
      </c>
      <c r="C207" s="1457" t="s">
        <v>585</v>
      </c>
      <c r="D207" s="1219"/>
      <c r="E207" s="1702" t="s">
        <v>138</v>
      </c>
      <c r="F207" s="1702"/>
      <c r="G207" s="1702" t="s">
        <v>586</v>
      </c>
      <c r="H207" s="1703"/>
      <c r="I207" s="1698" t="str">
        <f>+'[2]Datos CESANTES'!$F$10</f>
        <v>1 día de hab.</v>
      </c>
      <c r="J207" s="915">
        <f>+'[2]Datos CESANTES'!$G$10</f>
        <v>0.8</v>
      </c>
      <c r="K207" s="570" t="s">
        <v>584</v>
      </c>
      <c r="L207" s="571" t="s">
        <v>246</v>
      </c>
      <c r="M207" s="67"/>
      <c r="O207" s="183">
        <v>10</v>
      </c>
      <c r="P207" s="568" t="s">
        <v>243</v>
      </c>
    </row>
    <row r="208" spans="1:16" s="66" customFormat="1" ht="30" customHeight="1" x14ac:dyDescent="0.2">
      <c r="A208" s="67"/>
      <c r="B208" s="1911"/>
      <c r="C208" s="1453" t="s">
        <v>587</v>
      </c>
      <c r="D208" s="1213"/>
      <c r="E208" s="1213"/>
      <c r="F208" s="1213"/>
      <c r="G208" s="1283"/>
      <c r="H208" s="1813"/>
      <c r="I208" s="1700"/>
      <c r="J208" s="916"/>
      <c r="K208" s="570" t="s">
        <v>584</v>
      </c>
      <c r="L208" s="571" t="s">
        <v>246</v>
      </c>
      <c r="M208" s="67"/>
      <c r="O208" s="183">
        <v>10</v>
      </c>
      <c r="P208" s="568" t="s">
        <v>243</v>
      </c>
    </row>
    <row r="209" spans="1:32" s="66" customFormat="1" ht="30" customHeight="1" x14ac:dyDescent="0.2">
      <c r="A209" s="67"/>
      <c r="B209" s="631" t="s">
        <v>571</v>
      </c>
      <c r="C209" s="1878" t="s">
        <v>596</v>
      </c>
      <c r="D209" s="1879"/>
      <c r="E209" s="1781" t="s">
        <v>598</v>
      </c>
      <c r="F209" s="1781"/>
      <c r="G209" s="1879" t="s">
        <v>599</v>
      </c>
      <c r="H209" s="1880"/>
      <c r="I209" s="351" t="str">
        <f>'[2]Datos CESANTES'!$F$9</f>
        <v>1 día de hab.</v>
      </c>
      <c r="J209" s="42">
        <f>'[2]Datos CESANTES'!$G$9</f>
        <v>0.8</v>
      </c>
      <c r="K209" s="570" t="s">
        <v>571</v>
      </c>
      <c r="L209" s="571" t="s">
        <v>246</v>
      </c>
      <c r="M209" s="67"/>
      <c r="N209" s="182" t="s">
        <v>30</v>
      </c>
      <c r="O209" s="183">
        <v>10</v>
      </c>
      <c r="P209" s="568" t="s">
        <v>243</v>
      </c>
    </row>
    <row r="210" spans="1:32" s="66" customFormat="1" ht="39.950000000000003" customHeight="1" x14ac:dyDescent="0.2">
      <c r="B210" s="541" t="s">
        <v>591</v>
      </c>
      <c r="C210" s="1432" t="s">
        <v>592</v>
      </c>
      <c r="D210" s="1433"/>
      <c r="E210" s="1433" t="s">
        <v>176</v>
      </c>
      <c r="F210" s="1433"/>
      <c r="G210" s="1433" t="s">
        <v>593</v>
      </c>
      <c r="H210" s="1472"/>
      <c r="I210" s="580" t="str">
        <f>+'[2]Datos CESANTES'!$F$11</f>
        <v>1 día de hab.</v>
      </c>
      <c r="J210" s="353">
        <f>+'[2]Datos CESANTES'!$G$11</f>
        <v>0.75</v>
      </c>
      <c r="K210" s="570" t="s">
        <v>591</v>
      </c>
      <c r="L210" s="571" t="s">
        <v>246</v>
      </c>
      <c r="N210" s="182" t="s">
        <v>30</v>
      </c>
      <c r="O210" s="183">
        <v>10</v>
      </c>
      <c r="P210" s="568" t="s">
        <v>243</v>
      </c>
    </row>
    <row r="211" spans="1:32" s="66" customFormat="1" ht="30" customHeight="1" x14ac:dyDescent="0.2">
      <c r="A211" s="537"/>
      <c r="B211" s="1865" t="s">
        <v>758</v>
      </c>
      <c r="C211" s="1461" t="s">
        <v>759</v>
      </c>
      <c r="D211" s="1462"/>
      <c r="E211" s="1462" t="s">
        <v>779</v>
      </c>
      <c r="F211" s="1462"/>
      <c r="G211" s="1462" t="s">
        <v>762</v>
      </c>
      <c r="H211" s="1463"/>
      <c r="I211" s="1868" t="str">
        <f>+'[2]Datos CESANTES'!$F$12</f>
        <v>1 día de hab.</v>
      </c>
      <c r="J211" s="1449">
        <f>+'[2]Datos CESANTES'!$G$12</f>
        <v>0.7</v>
      </c>
      <c r="K211" s="570" t="s">
        <v>758</v>
      </c>
      <c r="L211" s="571" t="s">
        <v>246</v>
      </c>
      <c r="N211" s="182" t="s">
        <v>30</v>
      </c>
      <c r="O211" s="183">
        <v>10</v>
      </c>
      <c r="P211" s="568" t="s">
        <v>243</v>
      </c>
    </row>
    <row r="212" spans="1:32" s="66" customFormat="1" ht="30" customHeight="1" x14ac:dyDescent="0.2">
      <c r="A212" s="537"/>
      <c r="B212" s="1866"/>
      <c r="C212" s="1452" t="s">
        <v>215</v>
      </c>
      <c r="D212" s="1192"/>
      <c r="E212" s="1192"/>
      <c r="F212" s="1192"/>
      <c r="G212" s="621"/>
      <c r="H212" s="635"/>
      <c r="I212" s="1869"/>
      <c r="J212" s="1450"/>
      <c r="K212" s="570" t="s">
        <v>758</v>
      </c>
      <c r="L212" s="571" t="s">
        <v>246</v>
      </c>
      <c r="O212" s="183">
        <v>10</v>
      </c>
      <c r="P212" s="568" t="s">
        <v>243</v>
      </c>
    </row>
    <row r="213" spans="1:32" s="66" customFormat="1" ht="30" customHeight="1" x14ac:dyDescent="0.2">
      <c r="A213" s="572" t="s">
        <v>69</v>
      </c>
      <c r="B213" s="1866"/>
      <c r="C213" s="1452" t="s">
        <v>765</v>
      </c>
      <c r="D213" s="1192"/>
      <c r="E213" s="1192"/>
      <c r="F213" s="1192"/>
      <c r="G213" s="1192"/>
      <c r="H213" s="1215"/>
      <c r="I213" s="1869"/>
      <c r="J213" s="1450"/>
      <c r="K213" s="570" t="s">
        <v>758</v>
      </c>
      <c r="L213" s="571" t="s">
        <v>246</v>
      </c>
      <c r="O213" s="183">
        <v>10</v>
      </c>
      <c r="P213" s="568" t="s">
        <v>243</v>
      </c>
    </row>
    <row r="214" spans="1:32" s="66" customFormat="1" ht="20.100000000000001" customHeight="1" x14ac:dyDescent="0.2">
      <c r="A214" s="183" t="s">
        <v>97</v>
      </c>
      <c r="B214" s="1866"/>
      <c r="C214" s="1452" t="s">
        <v>98</v>
      </c>
      <c r="D214" s="1192"/>
      <c r="E214" s="1192"/>
      <c r="F214" s="1192"/>
      <c r="G214" s="1192"/>
      <c r="H214" s="1215"/>
      <c r="I214" s="1869"/>
      <c r="J214" s="1450"/>
      <c r="K214" s="570" t="s">
        <v>758</v>
      </c>
      <c r="L214" s="571" t="s">
        <v>246</v>
      </c>
      <c r="O214" s="183">
        <v>10</v>
      </c>
      <c r="P214" s="568" t="s">
        <v>243</v>
      </c>
      <c r="Q214" s="45"/>
      <c r="R214" s="45"/>
      <c r="S214" s="45"/>
      <c r="T214" s="45"/>
      <c r="U214" s="45"/>
      <c r="V214" s="45"/>
      <c r="W214" s="45"/>
      <c r="X214" s="45"/>
      <c r="Y214" s="45"/>
      <c r="Z214" s="45"/>
      <c r="AA214" s="45"/>
      <c r="AB214" s="45"/>
      <c r="AC214" s="45"/>
      <c r="AD214" s="45"/>
      <c r="AE214" s="45"/>
      <c r="AF214" s="45"/>
    </row>
    <row r="215" spans="1:32" s="66" customFormat="1" ht="30" customHeight="1" x14ac:dyDescent="0.2">
      <c r="A215" s="183" t="s">
        <v>97</v>
      </c>
      <c r="B215" s="1867"/>
      <c r="C215" s="1453" t="s">
        <v>766</v>
      </c>
      <c r="D215" s="1213"/>
      <c r="E215" s="1213"/>
      <c r="F215" s="1213"/>
      <c r="G215" s="1213"/>
      <c r="H215" s="1454"/>
      <c r="I215" s="1870"/>
      <c r="J215" s="1451"/>
      <c r="K215" s="570" t="s">
        <v>758</v>
      </c>
      <c r="L215" s="571" t="s">
        <v>246</v>
      </c>
      <c r="O215" s="183">
        <v>10</v>
      </c>
      <c r="P215" s="568" t="s">
        <v>243</v>
      </c>
      <c r="Q215" s="45"/>
      <c r="R215" s="45"/>
      <c r="S215" s="45"/>
      <c r="T215" s="45"/>
      <c r="U215" s="45"/>
      <c r="V215" s="45"/>
      <c r="W215" s="45"/>
      <c r="X215" s="45"/>
      <c r="Y215" s="45"/>
      <c r="Z215" s="45"/>
      <c r="AA215" s="45"/>
      <c r="AB215" s="45"/>
      <c r="AC215" s="45"/>
      <c r="AD215" s="45"/>
      <c r="AE215" s="45"/>
      <c r="AF215" s="45"/>
    </row>
    <row r="216" spans="1:32" s="66" customFormat="1" ht="39.950000000000003" customHeight="1" x14ac:dyDescent="0.2">
      <c r="A216" s="67"/>
      <c r="B216" s="541" t="s">
        <v>601</v>
      </c>
      <c r="C216" s="1861" t="s">
        <v>602</v>
      </c>
      <c r="D216" s="1861"/>
      <c r="E216" s="1861"/>
      <c r="F216" s="1861"/>
      <c r="G216" s="1861"/>
      <c r="H216" s="1861"/>
      <c r="I216" s="580" t="str">
        <f>+'[2]Datos CESANTES'!$F$13</f>
        <v>1 día de hab.</v>
      </c>
      <c r="J216" s="353">
        <f>+'[2]Datos CESANTES'!$G$13</f>
        <v>0.9</v>
      </c>
      <c r="K216" s="570" t="s">
        <v>601</v>
      </c>
      <c r="L216" s="571" t="s">
        <v>246</v>
      </c>
      <c r="M216" s="67"/>
      <c r="N216" s="182" t="s">
        <v>30</v>
      </c>
      <c r="O216" s="183">
        <v>10</v>
      </c>
      <c r="P216" s="568" t="s">
        <v>243</v>
      </c>
    </row>
    <row r="217" spans="1:32" s="66" customFormat="1" ht="39.950000000000003" customHeight="1" x14ac:dyDescent="0.2">
      <c r="A217" s="67"/>
      <c r="B217" s="541" t="s">
        <v>603</v>
      </c>
      <c r="C217" s="1252" t="s">
        <v>604</v>
      </c>
      <c r="D217" s="1252"/>
      <c r="E217" s="1252"/>
      <c r="F217" s="1252"/>
      <c r="G217" s="1252"/>
      <c r="H217" s="1252"/>
      <c r="I217" s="580" t="str">
        <f>+'[2]Datos CESANTES'!$F$14</f>
        <v>1 día de hab.</v>
      </c>
      <c r="J217" s="353">
        <f>+'[2]Datos CESANTES'!$G$14</f>
        <v>0.85</v>
      </c>
      <c r="K217" s="570" t="s">
        <v>603</v>
      </c>
      <c r="L217" s="571" t="s">
        <v>246</v>
      </c>
      <c r="M217" s="67"/>
      <c r="N217" s="182" t="s">
        <v>30</v>
      </c>
      <c r="O217" s="183">
        <v>10</v>
      </c>
      <c r="P217" s="568" t="s">
        <v>243</v>
      </c>
    </row>
    <row r="218" spans="1:32" ht="39.950000000000003" customHeight="1" x14ac:dyDescent="0.2">
      <c r="A218" s="45"/>
      <c r="B218" s="636" t="s">
        <v>769</v>
      </c>
      <c r="C218" s="1908" t="s">
        <v>770</v>
      </c>
      <c r="D218" s="1908"/>
      <c r="E218" s="1908"/>
      <c r="F218" s="1908"/>
      <c r="G218" s="1908"/>
      <c r="H218" s="1908"/>
      <c r="I218" s="633" t="str">
        <f>+'[2]Datos CESANTES'!$F$15</f>
        <v>1 día de hab.</v>
      </c>
      <c r="J218" s="637">
        <f>+'[2]Datos CESANTES'!$G$15</f>
        <v>0.6</v>
      </c>
      <c r="K218" s="570" t="s">
        <v>769</v>
      </c>
      <c r="L218" s="571" t="s">
        <v>246</v>
      </c>
      <c r="M218" s="66"/>
      <c r="N218" s="182" t="s">
        <v>30</v>
      </c>
      <c r="O218" s="183">
        <v>10</v>
      </c>
      <c r="P218" s="568" t="s">
        <v>243</v>
      </c>
    </row>
    <row r="219" spans="1:32" s="66" customFormat="1" ht="43.5" customHeight="1" x14ac:dyDescent="0.2">
      <c r="A219" s="183"/>
      <c r="B219" s="541" t="s">
        <v>767</v>
      </c>
      <c r="C219" s="1432" t="s">
        <v>768</v>
      </c>
      <c r="D219" s="1433"/>
      <c r="E219" s="432"/>
      <c r="F219" s="432"/>
      <c r="G219" s="432"/>
      <c r="H219" s="433"/>
      <c r="I219" s="580" t="s">
        <v>410</v>
      </c>
      <c r="J219" s="353">
        <v>0.6</v>
      </c>
      <c r="L219" s="661"/>
      <c r="O219" s="67"/>
      <c r="P219" s="586"/>
      <c r="Q219" s="45"/>
      <c r="R219" s="45"/>
      <c r="S219" s="45"/>
      <c r="T219" s="45"/>
      <c r="U219" s="45"/>
      <c r="V219" s="45"/>
      <c r="W219" s="45"/>
      <c r="X219" s="45"/>
      <c r="Y219" s="45"/>
      <c r="Z219" s="45"/>
      <c r="AA219" s="45"/>
      <c r="AB219" s="45"/>
      <c r="AC219" s="45"/>
      <c r="AD219" s="45"/>
      <c r="AE219" s="45"/>
      <c r="AF219" s="45"/>
    </row>
    <row r="220" spans="1:32" ht="20.100000000000001" customHeight="1" x14ac:dyDescent="0.2">
      <c r="A220" s="45"/>
      <c r="B220" s="638"/>
      <c r="C220" s="638"/>
      <c r="D220" s="638"/>
      <c r="E220" s="638"/>
      <c r="F220" s="638"/>
      <c r="G220" s="638"/>
      <c r="H220" s="638"/>
      <c r="I220" s="639"/>
      <c r="J220" s="640"/>
      <c r="L220" s="67"/>
      <c r="N220" s="149"/>
      <c r="O220" s="67"/>
    </row>
    <row r="221" spans="1:32" s="18" customFormat="1" ht="30" customHeight="1" x14ac:dyDescent="0.2">
      <c r="A221" s="23"/>
      <c r="B221" s="1223" t="s">
        <v>878</v>
      </c>
      <c r="C221" s="1223"/>
      <c r="D221" s="1223"/>
      <c r="E221" s="1223"/>
      <c r="F221" s="1223"/>
      <c r="G221" s="1223"/>
      <c r="H221" s="1223"/>
      <c r="I221" s="34" t="s">
        <v>17</v>
      </c>
      <c r="J221" s="254" t="s">
        <v>18</v>
      </c>
      <c r="K221" s="354" t="s">
        <v>634</v>
      </c>
      <c r="L221" s="354" t="s">
        <v>634</v>
      </c>
      <c r="M221" s="4"/>
      <c r="N221" s="46" t="s">
        <v>30</v>
      </c>
      <c r="O221" s="4"/>
    </row>
    <row r="222" spans="1:32" s="66" customFormat="1" ht="58.5" customHeight="1" x14ac:dyDescent="0.2">
      <c r="A222" s="67"/>
      <c r="B222" s="949" t="s">
        <v>879</v>
      </c>
      <c r="C222" s="950"/>
      <c r="D222" s="950"/>
      <c r="E222" s="950"/>
      <c r="F222" s="950"/>
      <c r="G222" s="950"/>
      <c r="H222" s="950"/>
      <c r="I222" s="950"/>
      <c r="J222" s="951"/>
      <c r="K222" s="641" t="s">
        <v>634</v>
      </c>
      <c r="L222" s="641" t="s">
        <v>634</v>
      </c>
      <c r="M222" s="67"/>
    </row>
    <row r="223" spans="1:32" ht="30" customHeight="1" x14ac:dyDescent="0.2">
      <c r="A223" s="45"/>
      <c r="B223" s="979" t="s">
        <v>880</v>
      </c>
      <c r="C223" s="980"/>
      <c r="D223" s="980"/>
      <c r="E223" s="980"/>
      <c r="F223" s="980"/>
      <c r="G223" s="980"/>
      <c r="H223" s="980"/>
      <c r="I223" s="980"/>
      <c r="J223" s="981"/>
      <c r="K223" s="641" t="s">
        <v>634</v>
      </c>
      <c r="L223" s="641" t="s">
        <v>634</v>
      </c>
      <c r="M223" s="181"/>
      <c r="N223" s="149"/>
      <c r="O223"/>
      <c r="P223"/>
    </row>
    <row r="224" spans="1:32" s="18" customFormat="1" ht="56.25" customHeight="1" x14ac:dyDescent="0.2">
      <c r="A224" s="4"/>
      <c r="B224" s="96" t="s">
        <v>328</v>
      </c>
      <c r="C224" s="1065" t="s">
        <v>637</v>
      </c>
      <c r="D224" s="1065"/>
      <c r="E224" s="1065"/>
      <c r="F224" s="1065"/>
      <c r="G224" s="1065"/>
      <c r="H224" s="1065"/>
      <c r="I224" s="74">
        <v>0</v>
      </c>
      <c r="J224" s="97">
        <v>1</v>
      </c>
      <c r="K224" s="354" t="s">
        <v>634</v>
      </c>
      <c r="L224" s="354" t="s">
        <v>634</v>
      </c>
      <c r="M224" s="4"/>
      <c r="O224"/>
      <c r="P224"/>
    </row>
    <row r="225" spans="1:16" ht="30" customHeight="1" x14ac:dyDescent="0.2">
      <c r="A225" s="45"/>
      <c r="B225" s="979" t="s">
        <v>881</v>
      </c>
      <c r="C225" s="980"/>
      <c r="D225" s="980"/>
      <c r="E225" s="980"/>
      <c r="F225" s="980"/>
      <c r="G225" s="980"/>
      <c r="H225" s="980"/>
      <c r="I225" s="980"/>
      <c r="J225" s="981"/>
      <c r="K225" s="641" t="s">
        <v>634</v>
      </c>
      <c r="L225" s="641" t="s">
        <v>634</v>
      </c>
      <c r="M225" s="181"/>
      <c r="N225" s="149"/>
      <c r="O225"/>
      <c r="P225"/>
    </row>
    <row r="226" spans="1:16" s="66" customFormat="1" ht="56.25" customHeight="1" x14ac:dyDescent="0.2">
      <c r="A226" s="67"/>
      <c r="B226" s="471" t="s">
        <v>328</v>
      </c>
      <c r="C226" s="1065" t="s">
        <v>882</v>
      </c>
      <c r="D226" s="1065"/>
      <c r="E226" s="1065"/>
      <c r="F226" s="1065"/>
      <c r="G226" s="1065"/>
      <c r="H226" s="1065"/>
      <c r="I226" s="539">
        <v>0</v>
      </c>
      <c r="J226" s="75">
        <v>1</v>
      </c>
      <c r="K226" s="641" t="s">
        <v>634</v>
      </c>
      <c r="L226" s="641" t="s">
        <v>634</v>
      </c>
      <c r="M226" s="67"/>
      <c r="O226" s="67"/>
    </row>
    <row r="227" spans="1:16" s="66" customFormat="1" ht="20.100000000000001" customHeight="1" x14ac:dyDescent="0.2">
      <c r="A227" s="67"/>
      <c r="B227" s="583"/>
      <c r="C227" s="642"/>
      <c r="D227" s="642"/>
      <c r="E227" s="642"/>
      <c r="F227" s="642"/>
      <c r="G227" s="642"/>
      <c r="H227" s="642"/>
      <c r="I227" s="585"/>
      <c r="J227" s="78"/>
      <c r="K227" s="623"/>
      <c r="L227" s="623"/>
      <c r="M227" s="67"/>
      <c r="O227" s="67"/>
    </row>
    <row r="228" spans="1:16" ht="30" customHeight="1" x14ac:dyDescent="0.2">
      <c r="A228" s="45"/>
      <c r="B228" s="1355" t="s">
        <v>250</v>
      </c>
      <c r="C228" s="1673"/>
      <c r="D228" s="1673"/>
      <c r="E228" s="1673"/>
      <c r="F228" s="1673"/>
      <c r="G228" s="1673"/>
      <c r="H228" s="1673"/>
      <c r="I228" s="643" t="s">
        <v>17</v>
      </c>
      <c r="J228" s="35" t="s">
        <v>251</v>
      </c>
      <c r="N228" s="182" t="s">
        <v>30</v>
      </c>
    </row>
    <row r="229" spans="1:16" ht="50.1" customHeight="1" x14ac:dyDescent="0.2">
      <c r="A229" s="45"/>
      <c r="B229" s="1777" t="s">
        <v>252</v>
      </c>
      <c r="C229" s="1283"/>
      <c r="D229" s="1283"/>
      <c r="E229" s="1283"/>
      <c r="F229" s="1283"/>
      <c r="G229" s="1283"/>
      <c r="H229" s="1283"/>
      <c r="I229" s="145" t="s">
        <v>253</v>
      </c>
      <c r="J229" s="146" t="s">
        <v>253</v>
      </c>
      <c r="L229" s="67"/>
      <c r="N229" s="149"/>
      <c r="O229" s="67"/>
    </row>
    <row r="230" spans="1:16" ht="20.100000000000001" customHeight="1" x14ac:dyDescent="0.2">
      <c r="A230" s="45"/>
      <c r="B230" s="644"/>
      <c r="C230" s="644"/>
      <c r="D230" s="644"/>
      <c r="E230" s="644"/>
      <c r="F230" s="644"/>
      <c r="G230" s="644"/>
      <c r="H230" s="644"/>
      <c r="I230" s="147"/>
      <c r="J230" s="128"/>
      <c r="L230" s="67"/>
      <c r="N230" s="149"/>
      <c r="O230" s="67"/>
    </row>
    <row r="231" spans="1:16" ht="30" customHeight="1" x14ac:dyDescent="0.2">
      <c r="A231" s="45"/>
      <c r="B231" s="1713" t="s">
        <v>254</v>
      </c>
      <c r="C231" s="1713"/>
      <c r="D231" s="1713"/>
      <c r="E231" s="1713"/>
      <c r="F231" s="1713"/>
      <c r="G231" s="1713"/>
      <c r="H231" s="1713"/>
      <c r="I231" s="406" t="s">
        <v>130</v>
      </c>
      <c r="J231" s="35" t="s">
        <v>18</v>
      </c>
      <c r="L231" s="67"/>
      <c r="N231" s="182" t="s">
        <v>30</v>
      </c>
      <c r="O231" s="67"/>
    </row>
    <row r="232" spans="1:16" ht="69.95" customHeight="1" x14ac:dyDescent="0.2">
      <c r="A232" s="45"/>
      <c r="B232" s="1906" t="s">
        <v>893</v>
      </c>
      <c r="C232" s="1763"/>
      <c r="D232" s="1763"/>
      <c r="E232" s="1763"/>
      <c r="F232" s="1763"/>
      <c r="G232" s="1763"/>
      <c r="H232" s="1764"/>
      <c r="I232" s="1907" t="s">
        <v>256</v>
      </c>
      <c r="J232" s="1225" t="s">
        <v>256</v>
      </c>
      <c r="L232" s="67"/>
      <c r="N232" s="149"/>
      <c r="O232" s="67"/>
    </row>
    <row r="233" spans="1:16" ht="30" customHeight="1" x14ac:dyDescent="0.2">
      <c r="A233" s="45"/>
      <c r="B233" s="1629"/>
      <c r="C233" s="1630"/>
      <c r="D233" s="1630"/>
      <c r="E233" s="1630"/>
      <c r="F233" s="1630"/>
      <c r="G233" s="1630"/>
      <c r="H233" s="1631"/>
      <c r="I233" s="1907"/>
      <c r="J233" s="1225"/>
      <c r="L233" s="67"/>
      <c r="N233" s="149"/>
      <c r="O233" s="67"/>
    </row>
    <row r="234" spans="1:16" ht="20.100000000000001" customHeight="1" x14ac:dyDescent="0.2">
      <c r="A234" s="45"/>
      <c r="B234" s="621"/>
      <c r="C234" s="150"/>
      <c r="D234" s="150"/>
      <c r="E234" s="150"/>
      <c r="F234" s="150"/>
      <c r="G234" s="150"/>
      <c r="H234" s="150"/>
      <c r="I234" s="147"/>
      <c r="J234" s="128"/>
      <c r="N234" s="149"/>
    </row>
    <row r="235" spans="1:16" ht="30" customHeight="1" x14ac:dyDescent="0.2">
      <c r="A235" s="45"/>
      <c r="B235" s="1662" t="s">
        <v>257</v>
      </c>
      <c r="C235" s="1663"/>
      <c r="D235" s="1663"/>
      <c r="E235" s="1663"/>
      <c r="F235" s="1663"/>
      <c r="G235" s="1663"/>
      <c r="H235" s="1664"/>
      <c r="I235" s="406" t="s">
        <v>17</v>
      </c>
      <c r="J235" s="35" t="s">
        <v>18</v>
      </c>
      <c r="K235" s="226" t="s">
        <v>258</v>
      </c>
      <c r="L235" s="183">
        <v>11</v>
      </c>
      <c r="M235" s="181"/>
      <c r="N235" s="182" t="s">
        <v>30</v>
      </c>
      <c r="O235" s="183">
        <v>11</v>
      </c>
      <c r="P235" s="568" t="s">
        <v>259</v>
      </c>
    </row>
    <row r="236" spans="1:16" ht="60" customHeight="1" x14ac:dyDescent="0.2">
      <c r="A236" s="45"/>
      <c r="B236" s="949" t="s">
        <v>863</v>
      </c>
      <c r="C236" s="950"/>
      <c r="D236" s="950"/>
      <c r="E236" s="950"/>
      <c r="F236" s="950"/>
      <c r="G236" s="950"/>
      <c r="H236" s="950"/>
      <c r="I236" s="950"/>
      <c r="J236" s="951"/>
      <c r="K236" s="66"/>
      <c r="L236" s="67"/>
      <c r="M236" s="181"/>
      <c r="O236" s="183">
        <v>11</v>
      </c>
      <c r="P236" s="568" t="s">
        <v>259</v>
      </c>
    </row>
    <row r="237" spans="1:16" ht="30" customHeight="1" x14ac:dyDescent="0.2">
      <c r="A237" s="45"/>
      <c r="B237" s="1756" t="s">
        <v>260</v>
      </c>
      <c r="C237" s="1758"/>
      <c r="D237" s="1758"/>
      <c r="E237" s="1758"/>
      <c r="F237" s="1758"/>
      <c r="G237" s="1758"/>
      <c r="H237" s="1758"/>
      <c r="I237" s="1758"/>
      <c r="J237" s="1759"/>
      <c r="L237" s="561"/>
      <c r="M237" s="181"/>
      <c r="N237" s="149"/>
      <c r="O237" s="183">
        <v>11</v>
      </c>
      <c r="P237" s="568" t="s">
        <v>259</v>
      </c>
    </row>
    <row r="238" spans="1:16" ht="227.25" customHeight="1" x14ac:dyDescent="0.2">
      <c r="A238" s="39"/>
      <c r="B238" s="569" t="s">
        <v>22</v>
      </c>
      <c r="C238" s="1166" t="s">
        <v>894</v>
      </c>
      <c r="D238" s="1167"/>
      <c r="E238" s="1167"/>
      <c r="F238" s="1167"/>
      <c r="G238" s="1167"/>
      <c r="H238" s="1168"/>
      <c r="I238" s="168">
        <v>0</v>
      </c>
      <c r="J238" s="42">
        <v>1</v>
      </c>
      <c r="K238" s="570" t="s">
        <v>24</v>
      </c>
      <c r="L238" s="571" t="s">
        <v>262</v>
      </c>
      <c r="M238" s="67"/>
      <c r="N238" s="182" t="s">
        <v>30</v>
      </c>
      <c r="O238" s="183">
        <v>11</v>
      </c>
      <c r="P238" s="568" t="s">
        <v>259</v>
      </c>
    </row>
    <row r="239" spans="1:16" ht="30" customHeight="1" x14ac:dyDescent="0.2">
      <c r="A239" s="45"/>
      <c r="B239" s="1818" t="s">
        <v>26</v>
      </c>
      <c r="C239" s="1203" t="s">
        <v>32</v>
      </c>
      <c r="D239" s="1204"/>
      <c r="E239" s="1204" t="s">
        <v>245</v>
      </c>
      <c r="F239" s="1204"/>
      <c r="G239" s="1204" t="s">
        <v>35</v>
      </c>
      <c r="H239" s="1205"/>
      <c r="I239" s="1698">
        <f>+'[2]Datos CESANTES'!$D$17</f>
        <v>0</v>
      </c>
      <c r="J239" s="915">
        <f>+'[2]Datos CESANTES'!$E$17</f>
        <v>1</v>
      </c>
      <c r="K239" s="570" t="s">
        <v>26</v>
      </c>
      <c r="L239" s="571" t="s">
        <v>262</v>
      </c>
      <c r="M239" s="598"/>
      <c r="N239" s="182" t="s">
        <v>30</v>
      </c>
      <c r="O239" s="183">
        <v>11</v>
      </c>
      <c r="P239" s="568" t="s">
        <v>259</v>
      </c>
    </row>
    <row r="240" spans="1:16" ht="30" customHeight="1" x14ac:dyDescent="0.2">
      <c r="A240" s="45"/>
      <c r="B240" s="1793"/>
      <c r="C240" s="137" t="s">
        <v>29</v>
      </c>
      <c r="D240" s="134"/>
      <c r="E240" s="148" t="s">
        <v>31</v>
      </c>
      <c r="G240" s="1192" t="s">
        <v>27</v>
      </c>
      <c r="H240" s="1215"/>
      <c r="I240" s="1699"/>
      <c r="J240" s="1045"/>
      <c r="K240" s="570" t="s">
        <v>26</v>
      </c>
      <c r="L240" s="571" t="s">
        <v>262</v>
      </c>
      <c r="M240" s="598"/>
      <c r="N240" s="149"/>
      <c r="O240" s="183">
        <v>11</v>
      </c>
      <c r="P240" s="568" t="s">
        <v>259</v>
      </c>
    </row>
    <row r="241" spans="1:16" ht="30" customHeight="1" x14ac:dyDescent="0.2">
      <c r="A241" s="45"/>
      <c r="B241" s="1794"/>
      <c r="C241" s="1194" t="s">
        <v>38</v>
      </c>
      <c r="D241" s="1177"/>
      <c r="E241" s="1213"/>
      <c r="F241" s="1213"/>
      <c r="G241" s="862"/>
      <c r="H241" s="863"/>
      <c r="I241" s="1700"/>
      <c r="J241" s="916"/>
      <c r="K241" s="570" t="s">
        <v>26</v>
      </c>
      <c r="L241" s="571" t="s">
        <v>262</v>
      </c>
      <c r="M241" s="598"/>
      <c r="N241" s="149"/>
      <c r="O241" s="183">
        <v>11</v>
      </c>
      <c r="P241" s="568" t="s">
        <v>259</v>
      </c>
    </row>
    <row r="242" spans="1:16" ht="39.950000000000003" customHeight="1" x14ac:dyDescent="0.2">
      <c r="A242" s="45"/>
      <c r="B242" s="1783" t="s">
        <v>40</v>
      </c>
      <c r="C242" s="1895" t="s">
        <v>42</v>
      </c>
      <c r="D242" s="1896"/>
      <c r="E242" s="1896" t="s">
        <v>45</v>
      </c>
      <c r="F242" s="1896"/>
      <c r="G242" s="1196" t="s">
        <v>64</v>
      </c>
      <c r="H242" s="1577"/>
      <c r="I242" s="1887">
        <f>+'[2]Datos CESANTES'!$D$18</f>
        <v>0</v>
      </c>
      <c r="J242" s="915">
        <f>+'[2]Datos CESANTES'!$E$18</f>
        <v>1</v>
      </c>
      <c r="K242" s="570" t="s">
        <v>40</v>
      </c>
      <c r="L242" s="571" t="s">
        <v>262</v>
      </c>
      <c r="M242" s="598"/>
      <c r="N242" s="182" t="s">
        <v>30</v>
      </c>
      <c r="O242" s="183">
        <v>11</v>
      </c>
      <c r="P242" s="568" t="s">
        <v>259</v>
      </c>
    </row>
    <row r="243" spans="1:16" ht="39.950000000000003" customHeight="1" x14ac:dyDescent="0.2">
      <c r="A243" s="45"/>
      <c r="B243" s="1784"/>
      <c r="C243" s="1701" t="s">
        <v>44</v>
      </c>
      <c r="D243" s="1702"/>
      <c r="E243" s="1702" t="s">
        <v>48</v>
      </c>
      <c r="F243" s="1702"/>
      <c r="G243" s="1702" t="s">
        <v>46</v>
      </c>
      <c r="H243" s="1703"/>
      <c r="I243" s="1892"/>
      <c r="J243" s="1045"/>
      <c r="K243" s="570" t="s">
        <v>40</v>
      </c>
      <c r="L243" s="571" t="s">
        <v>262</v>
      </c>
      <c r="M243" s="598"/>
      <c r="O243" s="183">
        <v>11</v>
      </c>
      <c r="P243" s="568" t="s">
        <v>259</v>
      </c>
    </row>
    <row r="244" spans="1:16" ht="42.75" customHeight="1" x14ac:dyDescent="0.2">
      <c r="A244" s="45"/>
      <c r="B244" s="1784"/>
      <c r="C244" s="1893" t="s">
        <v>47</v>
      </c>
      <c r="D244" s="1841"/>
      <c r="E244" s="1702" t="s">
        <v>58</v>
      </c>
      <c r="F244" s="1702"/>
      <c r="G244" s="1702" t="s">
        <v>49</v>
      </c>
      <c r="H244" s="1703"/>
      <c r="I244" s="1892"/>
      <c r="J244" s="1045"/>
      <c r="K244" s="570" t="s">
        <v>40</v>
      </c>
      <c r="L244" s="571" t="s">
        <v>262</v>
      </c>
      <c r="M244" s="598"/>
      <c r="O244" s="183">
        <v>11</v>
      </c>
      <c r="P244" s="568" t="s">
        <v>259</v>
      </c>
    </row>
    <row r="245" spans="1:16" ht="50.1" customHeight="1" x14ac:dyDescent="0.2">
      <c r="A245" s="45"/>
      <c r="B245" s="1784"/>
      <c r="C245" s="1701" t="s">
        <v>62</v>
      </c>
      <c r="D245" s="1702"/>
      <c r="E245" s="1191" t="s">
        <v>54</v>
      </c>
      <c r="F245" s="1191"/>
      <c r="G245" s="1132" t="s">
        <v>68</v>
      </c>
      <c r="H245" s="1134"/>
      <c r="I245" s="1892"/>
      <c r="J245" s="1045"/>
      <c r="K245" s="570" t="s">
        <v>40</v>
      </c>
      <c r="L245" s="571" t="s">
        <v>262</v>
      </c>
      <c r="M245" s="598"/>
      <c r="O245" s="183">
        <v>11</v>
      </c>
      <c r="P245" s="568" t="s">
        <v>259</v>
      </c>
    </row>
    <row r="246" spans="1:16" ht="39.950000000000003" customHeight="1" x14ac:dyDescent="0.2">
      <c r="A246" s="45"/>
      <c r="B246" s="1784"/>
      <c r="C246" s="1893" t="s">
        <v>63</v>
      </c>
      <c r="D246" s="1841"/>
      <c r="E246" s="1191" t="s">
        <v>57</v>
      </c>
      <c r="F246" s="1191"/>
      <c r="G246" s="1841" t="s">
        <v>55</v>
      </c>
      <c r="H246" s="1894"/>
      <c r="I246" s="1892"/>
      <c r="J246" s="1045"/>
      <c r="K246" s="570" t="s">
        <v>40</v>
      </c>
      <c r="L246" s="571" t="s">
        <v>262</v>
      </c>
      <c r="M246" s="598"/>
      <c r="O246" s="183">
        <v>11</v>
      </c>
      <c r="P246" s="568" t="s">
        <v>259</v>
      </c>
    </row>
    <row r="247" spans="1:16" ht="39.950000000000003" customHeight="1" x14ac:dyDescent="0.2">
      <c r="A247" s="45"/>
      <c r="B247" s="1784"/>
      <c r="C247" s="1701" t="s">
        <v>56</v>
      </c>
      <c r="D247" s="1702"/>
      <c r="E247" s="1132"/>
      <c r="F247" s="1132"/>
      <c r="G247" s="1841"/>
      <c r="H247" s="1894"/>
      <c r="I247" s="1892"/>
      <c r="J247" s="1045"/>
      <c r="K247" s="570" t="s">
        <v>40</v>
      </c>
      <c r="L247" s="571" t="s">
        <v>262</v>
      </c>
      <c r="M247" s="598"/>
      <c r="O247" s="183">
        <v>11</v>
      </c>
      <c r="P247" s="568" t="s">
        <v>259</v>
      </c>
    </row>
    <row r="248" spans="1:16" ht="39.950000000000003" customHeight="1" x14ac:dyDescent="0.2">
      <c r="A248" s="572" t="s">
        <v>69</v>
      </c>
      <c r="B248" s="1785"/>
      <c r="C248" s="1701" t="s">
        <v>70</v>
      </c>
      <c r="D248" s="1702"/>
      <c r="E248" s="1702"/>
      <c r="F248" s="1702"/>
      <c r="G248" s="1702"/>
      <c r="H248" s="1703"/>
      <c r="I248" s="1888"/>
      <c r="J248" s="916"/>
      <c r="K248" s="570" t="s">
        <v>40</v>
      </c>
      <c r="L248" s="571" t="s">
        <v>262</v>
      </c>
      <c r="M248" s="598"/>
      <c r="O248" s="183">
        <v>11</v>
      </c>
      <c r="P248" s="568" t="s">
        <v>259</v>
      </c>
    </row>
    <row r="249" spans="1:16" ht="30" customHeight="1" x14ac:dyDescent="0.2">
      <c r="A249" s="45"/>
      <c r="B249" s="1718" t="s">
        <v>71</v>
      </c>
      <c r="C249" s="1187" t="s">
        <v>72</v>
      </c>
      <c r="D249" s="1188"/>
      <c r="E249" s="1188" t="s">
        <v>74</v>
      </c>
      <c r="F249" s="1188"/>
      <c r="G249" s="1188" t="s">
        <v>75</v>
      </c>
      <c r="H249" s="1189"/>
      <c r="I249" s="1887">
        <f>+'[2]Datos CESANTES'!$D$19</f>
        <v>0</v>
      </c>
      <c r="J249" s="915">
        <f>+'[2]Datos CESANTES'!$E$19</f>
        <v>0.95</v>
      </c>
      <c r="K249" s="570" t="s">
        <v>71</v>
      </c>
      <c r="L249" s="571" t="s">
        <v>262</v>
      </c>
      <c r="M249" s="598"/>
      <c r="N249" s="182" t="s">
        <v>30</v>
      </c>
      <c r="O249" s="183">
        <v>11</v>
      </c>
      <c r="P249" s="568" t="s">
        <v>259</v>
      </c>
    </row>
    <row r="250" spans="1:16" ht="30" customHeight="1" x14ac:dyDescent="0.2">
      <c r="A250" s="45"/>
      <c r="B250" s="1891"/>
      <c r="C250" s="1218" t="s">
        <v>78</v>
      </c>
      <c r="D250" s="1180"/>
      <c r="E250" s="1180" t="s">
        <v>80</v>
      </c>
      <c r="F250" s="1180"/>
      <c r="G250" s="969" t="s">
        <v>81</v>
      </c>
      <c r="H250" s="1193"/>
      <c r="I250" s="1892"/>
      <c r="J250" s="1045"/>
      <c r="K250" s="570" t="s">
        <v>71</v>
      </c>
      <c r="L250" s="571" t="s">
        <v>262</v>
      </c>
      <c r="M250" s="598"/>
      <c r="O250" s="183">
        <v>11</v>
      </c>
      <c r="P250" s="568" t="s">
        <v>259</v>
      </c>
    </row>
    <row r="251" spans="1:16" ht="30" customHeight="1" x14ac:dyDescent="0.2">
      <c r="A251" s="45"/>
      <c r="B251" s="1891"/>
      <c r="C251" s="861" t="s">
        <v>82</v>
      </c>
      <c r="D251" s="862"/>
      <c r="E251" s="1610" t="s">
        <v>77</v>
      </c>
      <c r="F251" s="1610"/>
      <c r="G251" s="1610" t="s">
        <v>76</v>
      </c>
      <c r="H251" s="1905"/>
      <c r="I251" s="1892"/>
      <c r="J251" s="1045"/>
      <c r="K251" s="570" t="s">
        <v>71</v>
      </c>
      <c r="L251" s="571" t="s">
        <v>262</v>
      </c>
      <c r="M251" s="598"/>
      <c r="O251" s="183">
        <v>11</v>
      </c>
      <c r="P251" s="568" t="s">
        <v>259</v>
      </c>
    </row>
    <row r="252" spans="1:16" ht="39.950000000000003" customHeight="1" x14ac:dyDescent="0.2">
      <c r="A252" s="45"/>
      <c r="B252" s="1718" t="s">
        <v>85</v>
      </c>
      <c r="C252" s="1211" t="s">
        <v>572</v>
      </c>
      <c r="D252" s="1190"/>
      <c r="E252" s="1190" t="s">
        <v>378</v>
      </c>
      <c r="F252" s="1190"/>
      <c r="G252" s="1190" t="s">
        <v>342</v>
      </c>
      <c r="H252" s="1212"/>
      <c r="I252" s="1887">
        <f>+'[2]Datos CESANTES'!$D$20</f>
        <v>0</v>
      </c>
      <c r="J252" s="915">
        <f>+'[2]Datos CESANTES'!$E$20</f>
        <v>0.95</v>
      </c>
      <c r="K252" s="570" t="s">
        <v>85</v>
      </c>
      <c r="L252" s="571" t="s">
        <v>262</v>
      </c>
      <c r="M252" s="598"/>
      <c r="N252" s="182" t="s">
        <v>30</v>
      </c>
      <c r="O252" s="183">
        <v>11</v>
      </c>
      <c r="P252" s="568" t="s">
        <v>259</v>
      </c>
    </row>
    <row r="253" spans="1:16" ht="39.950000000000003" customHeight="1" x14ac:dyDescent="0.2">
      <c r="A253" s="45"/>
      <c r="B253" s="1891"/>
      <c r="C253" s="1211" t="s">
        <v>86</v>
      </c>
      <c r="D253" s="1190"/>
      <c r="E253" s="1190" t="s">
        <v>574</v>
      </c>
      <c r="F253" s="1190"/>
      <c r="G253" s="1022" t="s">
        <v>402</v>
      </c>
      <c r="H253" s="1028"/>
      <c r="I253" s="1892"/>
      <c r="J253" s="1045"/>
      <c r="K253" s="570" t="s">
        <v>85</v>
      </c>
      <c r="L253" s="571" t="s">
        <v>262</v>
      </c>
      <c r="M253" s="598"/>
      <c r="O253" s="183">
        <v>11</v>
      </c>
      <c r="P253" s="568" t="s">
        <v>259</v>
      </c>
    </row>
    <row r="254" spans="1:16" ht="30" customHeight="1" x14ac:dyDescent="0.2">
      <c r="A254" s="45"/>
      <c r="B254" s="1891"/>
      <c r="C254" s="1211" t="s">
        <v>576</v>
      </c>
      <c r="D254" s="1190"/>
      <c r="E254" s="1190" t="s">
        <v>577</v>
      </c>
      <c r="F254" s="1190"/>
      <c r="G254" s="1190" t="s">
        <v>624</v>
      </c>
      <c r="H254" s="1212"/>
      <c r="I254" s="1892"/>
      <c r="J254" s="1045"/>
      <c r="K254" s="570" t="s">
        <v>85</v>
      </c>
      <c r="L254" s="571" t="s">
        <v>262</v>
      </c>
      <c r="M254" s="598"/>
      <c r="O254" s="183">
        <v>11</v>
      </c>
      <c r="P254" s="568" t="s">
        <v>259</v>
      </c>
    </row>
    <row r="255" spans="1:16" ht="30" customHeight="1" x14ac:dyDescent="0.2">
      <c r="A255" s="45"/>
      <c r="B255" s="1891"/>
      <c r="C255" s="1211" t="s">
        <v>578</v>
      </c>
      <c r="D255" s="1190"/>
      <c r="E255" s="1190" t="s">
        <v>580</v>
      </c>
      <c r="F255" s="1190"/>
      <c r="G255" s="1190" t="s">
        <v>581</v>
      </c>
      <c r="H255" s="1212"/>
      <c r="I255" s="1892"/>
      <c r="J255" s="1045"/>
      <c r="K255" s="570" t="s">
        <v>85</v>
      </c>
      <c r="L255" s="571" t="s">
        <v>262</v>
      </c>
      <c r="M255" s="598"/>
      <c r="O255" s="183">
        <v>11</v>
      </c>
      <c r="P255" s="568" t="s">
        <v>259</v>
      </c>
    </row>
    <row r="256" spans="1:16" ht="30" customHeight="1" x14ac:dyDescent="0.2">
      <c r="A256" s="45"/>
      <c r="B256" s="1891"/>
      <c r="C256" s="1211" t="s">
        <v>579</v>
      </c>
      <c r="D256" s="1190"/>
      <c r="E256" s="1190" t="s">
        <v>573</v>
      </c>
      <c r="F256" s="1190"/>
      <c r="G256" s="140"/>
      <c r="H256" s="516"/>
      <c r="I256" s="1892"/>
      <c r="J256" s="1045"/>
      <c r="K256" s="570" t="s">
        <v>85</v>
      </c>
      <c r="L256" s="571" t="s">
        <v>262</v>
      </c>
      <c r="M256" s="598"/>
      <c r="O256" s="183">
        <v>11</v>
      </c>
      <c r="P256" s="568" t="s">
        <v>259</v>
      </c>
    </row>
    <row r="257" spans="1:32" ht="30" customHeight="1" x14ac:dyDescent="0.2">
      <c r="A257" s="45"/>
      <c r="B257" s="1891"/>
      <c r="C257" s="1046" t="s">
        <v>98</v>
      </c>
      <c r="D257" s="1022"/>
      <c r="E257" s="1022"/>
      <c r="F257" s="1022"/>
      <c r="G257" s="1022"/>
      <c r="H257" s="1028"/>
      <c r="I257" s="1892"/>
      <c r="J257" s="1045"/>
      <c r="K257" s="570" t="s">
        <v>85</v>
      </c>
      <c r="L257" s="571" t="s">
        <v>262</v>
      </c>
      <c r="M257" s="598"/>
      <c r="O257" s="183">
        <v>11</v>
      </c>
      <c r="P257" s="568" t="s">
        <v>259</v>
      </c>
    </row>
    <row r="258" spans="1:32" ht="39.950000000000003" customHeight="1" x14ac:dyDescent="0.2">
      <c r="A258" s="183" t="s">
        <v>97</v>
      </c>
      <c r="B258" s="1719"/>
      <c r="C258" s="1046" t="s">
        <v>642</v>
      </c>
      <c r="D258" s="1022"/>
      <c r="E258" s="1022"/>
      <c r="F258" s="1022"/>
      <c r="G258" s="1022"/>
      <c r="H258" s="1028"/>
      <c r="I258" s="1888"/>
      <c r="J258" s="916"/>
      <c r="K258" s="570" t="s">
        <v>85</v>
      </c>
      <c r="L258" s="571" t="s">
        <v>262</v>
      </c>
      <c r="M258" s="598"/>
      <c r="O258" s="183">
        <v>11</v>
      </c>
      <c r="P258" s="568" t="s">
        <v>259</v>
      </c>
    </row>
    <row r="259" spans="1:32" ht="39.950000000000003" customHeight="1" x14ac:dyDescent="0.2">
      <c r="A259" s="45"/>
      <c r="B259" s="1718" t="s">
        <v>87</v>
      </c>
      <c r="C259" s="1823" t="s">
        <v>88</v>
      </c>
      <c r="D259" s="1824"/>
      <c r="E259" s="1824" t="s">
        <v>89</v>
      </c>
      <c r="F259" s="1824"/>
      <c r="G259" s="1824" t="s">
        <v>90</v>
      </c>
      <c r="H259" s="1825"/>
      <c r="I259" s="1698">
        <f>+'[2]Datos CESANTES'!$D$21</f>
        <v>0</v>
      </c>
      <c r="J259" s="915">
        <f>+'[2]Datos CESANTES'!$E$21</f>
        <v>0.95</v>
      </c>
      <c r="K259" s="570" t="s">
        <v>87</v>
      </c>
      <c r="L259" s="571" t="s">
        <v>262</v>
      </c>
      <c r="M259" s="598"/>
      <c r="N259" s="182" t="s">
        <v>30</v>
      </c>
      <c r="O259" s="183">
        <v>11</v>
      </c>
      <c r="P259" s="568" t="s">
        <v>259</v>
      </c>
    </row>
    <row r="260" spans="1:32" ht="39.950000000000003" customHeight="1" x14ac:dyDescent="0.2">
      <c r="A260" s="45"/>
      <c r="B260" s="1891"/>
      <c r="C260" s="1904" t="s">
        <v>92</v>
      </c>
      <c r="D260" s="1816"/>
      <c r="E260" s="1775" t="s">
        <v>93</v>
      </c>
      <c r="F260" s="1775"/>
      <c r="G260" s="1775" t="s">
        <v>39</v>
      </c>
      <c r="H260" s="1776"/>
      <c r="I260" s="1699"/>
      <c r="J260" s="1045"/>
      <c r="K260" s="570" t="s">
        <v>87</v>
      </c>
      <c r="L260" s="571" t="s">
        <v>262</v>
      </c>
      <c r="M260" s="598"/>
      <c r="O260" s="183">
        <v>11</v>
      </c>
      <c r="P260" s="568" t="s">
        <v>259</v>
      </c>
    </row>
    <row r="261" spans="1:32" ht="39.950000000000003" customHeight="1" x14ac:dyDescent="0.2">
      <c r="A261" s="45"/>
      <c r="B261" s="1891"/>
      <c r="C261" s="645" t="s">
        <v>94</v>
      </c>
      <c r="D261" s="623"/>
      <c r="E261" s="644"/>
      <c r="F261" s="644"/>
      <c r="G261" s="644"/>
      <c r="H261" s="646"/>
      <c r="I261" s="1699"/>
      <c r="J261" s="1045"/>
      <c r="K261" s="570" t="s">
        <v>87</v>
      </c>
      <c r="L261" s="571" t="s">
        <v>262</v>
      </c>
      <c r="M261" s="598"/>
      <c r="O261" s="183">
        <v>11</v>
      </c>
      <c r="P261" s="568" t="s">
        <v>259</v>
      </c>
    </row>
    <row r="262" spans="1:32" ht="39.950000000000003" customHeight="1" x14ac:dyDescent="0.2">
      <c r="A262" s="45"/>
      <c r="B262" s="1891"/>
      <c r="C262" s="1218" t="s">
        <v>98</v>
      </c>
      <c r="D262" s="1180"/>
      <c r="E262" s="1180"/>
      <c r="F262" s="1180"/>
      <c r="G262" s="1180"/>
      <c r="H262" s="1227"/>
      <c r="I262" s="1699"/>
      <c r="J262" s="1045"/>
      <c r="K262" s="570" t="s">
        <v>87</v>
      </c>
      <c r="L262" s="571" t="s">
        <v>262</v>
      </c>
      <c r="M262" s="598"/>
      <c r="O262" s="183">
        <v>11</v>
      </c>
      <c r="P262" s="568" t="s">
        <v>259</v>
      </c>
    </row>
    <row r="263" spans="1:32" ht="39.950000000000003" customHeight="1" x14ac:dyDescent="0.2">
      <c r="A263" s="45"/>
      <c r="B263" s="1719"/>
      <c r="C263" s="1181" t="s">
        <v>263</v>
      </c>
      <c r="D263" s="1182"/>
      <c r="E263" s="1182"/>
      <c r="F263" s="1182"/>
      <c r="G263" s="1182"/>
      <c r="H263" s="1183"/>
      <c r="I263" s="1700"/>
      <c r="J263" s="916"/>
      <c r="K263" s="570" t="s">
        <v>87</v>
      </c>
      <c r="L263" s="571" t="s">
        <v>262</v>
      </c>
      <c r="M263" s="598"/>
      <c r="O263" s="183">
        <v>11</v>
      </c>
      <c r="P263" s="568" t="s">
        <v>259</v>
      </c>
    </row>
    <row r="264" spans="1:32" ht="39.950000000000003" customHeight="1" x14ac:dyDescent="0.2">
      <c r="A264" s="45"/>
      <c r="B264" s="538" t="s">
        <v>567</v>
      </c>
      <c r="C264" s="1902" t="s">
        <v>134</v>
      </c>
      <c r="D264" s="1903"/>
      <c r="E264" s="1283" t="s">
        <v>95</v>
      </c>
      <c r="F264" s="1283"/>
      <c r="G264" s="1283" t="s">
        <v>631</v>
      </c>
      <c r="H264" s="1813"/>
      <c r="I264" s="409">
        <f>+'[2]Datos CESANTES'!$D$22</f>
        <v>0</v>
      </c>
      <c r="J264" s="42">
        <f>+'[2]Datos CESANTES'!$E$22</f>
        <v>0.95</v>
      </c>
      <c r="K264" s="570" t="s">
        <v>567</v>
      </c>
      <c r="L264" s="571" t="s">
        <v>262</v>
      </c>
      <c r="M264" s="598"/>
      <c r="N264" s="182" t="s">
        <v>30</v>
      </c>
      <c r="O264" s="183">
        <v>11</v>
      </c>
      <c r="P264" s="568" t="s">
        <v>259</v>
      </c>
    </row>
    <row r="265" spans="1:32" s="66" customFormat="1" ht="39.950000000000003" customHeight="1" x14ac:dyDescent="0.2">
      <c r="A265" s="67"/>
      <c r="B265" s="1164" t="s">
        <v>584</v>
      </c>
      <c r="C265" s="1476" t="s">
        <v>585</v>
      </c>
      <c r="D265" s="1477"/>
      <c r="E265" s="1477" t="s">
        <v>138</v>
      </c>
      <c r="F265" s="1477"/>
      <c r="G265" s="933" t="s">
        <v>586</v>
      </c>
      <c r="H265" s="934"/>
      <c r="I265" s="1874">
        <f>+'[2]Datos CESANTES'!$D$24</f>
        <v>0</v>
      </c>
      <c r="J265" s="1156">
        <f>+'[2]Datos CESANTES'!$E$24</f>
        <v>0.9</v>
      </c>
      <c r="K265" s="570" t="s">
        <v>584</v>
      </c>
      <c r="L265" s="571" t="s">
        <v>262</v>
      </c>
      <c r="M265" s="67"/>
      <c r="O265" s="183">
        <v>11</v>
      </c>
      <c r="P265" s="568" t="s">
        <v>259</v>
      </c>
    </row>
    <row r="266" spans="1:32" s="66" customFormat="1" ht="30" customHeight="1" x14ac:dyDescent="0.2">
      <c r="A266" s="67"/>
      <c r="B266" s="1165"/>
      <c r="C266" s="1901" t="s">
        <v>587</v>
      </c>
      <c r="D266" s="1876"/>
      <c r="E266" s="1610"/>
      <c r="F266" s="1610"/>
      <c r="G266" s="1750"/>
      <c r="H266" s="1751"/>
      <c r="I266" s="1875"/>
      <c r="J266" s="1158"/>
      <c r="K266" s="570" t="s">
        <v>584</v>
      </c>
      <c r="L266" s="571" t="s">
        <v>262</v>
      </c>
      <c r="M266" s="67"/>
      <c r="O266" s="183">
        <v>11</v>
      </c>
      <c r="P266" s="568" t="s">
        <v>259</v>
      </c>
    </row>
    <row r="267" spans="1:32" s="66" customFormat="1" ht="30" customHeight="1" x14ac:dyDescent="0.2">
      <c r="A267" s="67"/>
      <c r="B267" s="631" t="s">
        <v>571</v>
      </c>
      <c r="C267" s="1878" t="s">
        <v>596</v>
      </c>
      <c r="D267" s="1879"/>
      <c r="E267" s="1781" t="s">
        <v>598</v>
      </c>
      <c r="F267" s="1781"/>
      <c r="G267" s="1879" t="s">
        <v>599</v>
      </c>
      <c r="H267" s="1880"/>
      <c r="I267" s="351">
        <f>'[2]Datos CESANTES'!$D$23</f>
        <v>0</v>
      </c>
      <c r="J267" s="42">
        <f>'[2]Datos CESANTES'!$E$23</f>
        <v>0.9</v>
      </c>
      <c r="K267" s="570" t="s">
        <v>571</v>
      </c>
      <c r="L267" s="571" t="s">
        <v>262</v>
      </c>
      <c r="M267" s="67"/>
      <c r="N267" s="182" t="s">
        <v>30</v>
      </c>
      <c r="O267" s="183">
        <v>11</v>
      </c>
      <c r="P267" s="568" t="s">
        <v>259</v>
      </c>
    </row>
    <row r="268" spans="1:32" s="66" customFormat="1" ht="39.950000000000003" customHeight="1" x14ac:dyDescent="0.2">
      <c r="B268" s="1865" t="s">
        <v>591</v>
      </c>
      <c r="C268" s="1461" t="s">
        <v>592</v>
      </c>
      <c r="D268" s="1462"/>
      <c r="E268" s="1696" t="s">
        <v>176</v>
      </c>
      <c r="F268" s="1696"/>
      <c r="G268" s="1896" t="s">
        <v>593</v>
      </c>
      <c r="H268" s="1900"/>
      <c r="I268" s="1868" t="str">
        <f>+'[2]Datos CESANTES'!$D$25</f>
        <v>1 día de hab.</v>
      </c>
      <c r="J268" s="1449">
        <f>+'[2]Datos CESANTES'!$E$25</f>
        <v>0.8</v>
      </c>
      <c r="K268" s="570" t="s">
        <v>591</v>
      </c>
      <c r="L268" s="571" t="s">
        <v>262</v>
      </c>
      <c r="N268" s="182" t="s">
        <v>30</v>
      </c>
      <c r="O268" s="183">
        <v>11</v>
      </c>
      <c r="P268" s="568" t="s">
        <v>259</v>
      </c>
      <c r="Q268" s="45"/>
      <c r="R268" s="45"/>
      <c r="S268" s="45"/>
      <c r="T268" s="45"/>
      <c r="U268" s="45"/>
      <c r="V268" s="45"/>
      <c r="W268" s="45"/>
      <c r="X268" s="45"/>
      <c r="Y268" s="45"/>
      <c r="Z268" s="45"/>
      <c r="AA268" s="45"/>
      <c r="AB268" s="45"/>
      <c r="AC268" s="45"/>
      <c r="AD268" s="45"/>
      <c r="AE268" s="45"/>
      <c r="AF268" s="45"/>
    </row>
    <row r="269" spans="1:32" s="66" customFormat="1" ht="39.950000000000003" customHeight="1" x14ac:dyDescent="0.2">
      <c r="B269" s="1867"/>
      <c r="C269" s="1213" t="s">
        <v>594</v>
      </c>
      <c r="D269" s="1213"/>
      <c r="E269" s="784"/>
      <c r="F269" s="784"/>
      <c r="G269" s="625"/>
      <c r="H269" s="625"/>
      <c r="I269" s="1870"/>
      <c r="J269" s="1451"/>
      <c r="K269" s="570" t="s">
        <v>591</v>
      </c>
      <c r="L269" s="571" t="s">
        <v>262</v>
      </c>
      <c r="N269" s="182"/>
      <c r="O269" s="183">
        <v>11</v>
      </c>
      <c r="P269" s="568" t="s">
        <v>259</v>
      </c>
      <c r="Q269" s="45"/>
      <c r="R269" s="45"/>
      <c r="S269" s="45"/>
      <c r="T269" s="45"/>
      <c r="U269" s="45"/>
      <c r="V269" s="45"/>
      <c r="W269" s="45"/>
      <c r="X269" s="45"/>
      <c r="Y269" s="45"/>
      <c r="Z269" s="45"/>
      <c r="AA269" s="45"/>
      <c r="AB269" s="45"/>
      <c r="AC269" s="45"/>
      <c r="AD269" s="45"/>
      <c r="AE269" s="45"/>
      <c r="AF269" s="45"/>
    </row>
    <row r="270" spans="1:32" ht="30" customHeight="1" x14ac:dyDescent="0.2">
      <c r="A270" s="45"/>
      <c r="B270" s="1865" t="s">
        <v>758</v>
      </c>
      <c r="C270" s="1898" t="s">
        <v>759</v>
      </c>
      <c r="D270" s="1899"/>
      <c r="E270" s="1462" t="s">
        <v>779</v>
      </c>
      <c r="F270" s="1462"/>
      <c r="G270" s="1462" t="s">
        <v>762</v>
      </c>
      <c r="H270" s="1463"/>
      <c r="I270" s="1868" t="str">
        <f>+'[2]Datos CESANTES'!$D$26</f>
        <v>1 día de hab.</v>
      </c>
      <c r="J270" s="1449">
        <f>+'[2]Datos CESANTES'!$E$26</f>
        <v>0.8</v>
      </c>
      <c r="K270" s="570" t="s">
        <v>758</v>
      </c>
      <c r="L270" s="571" t="s">
        <v>262</v>
      </c>
      <c r="M270" s="66"/>
      <c r="N270" s="182" t="s">
        <v>30</v>
      </c>
      <c r="O270" s="183">
        <v>11</v>
      </c>
      <c r="P270" s="568" t="s">
        <v>259</v>
      </c>
    </row>
    <row r="271" spans="1:32" ht="30" customHeight="1" x14ac:dyDescent="0.2">
      <c r="A271" s="45"/>
      <c r="B271" s="1866"/>
      <c r="C271" s="1452" t="s">
        <v>215</v>
      </c>
      <c r="D271" s="1192"/>
      <c r="E271" s="346"/>
      <c r="F271" s="346"/>
      <c r="G271" s="346"/>
      <c r="H271" s="347"/>
      <c r="I271" s="1869"/>
      <c r="J271" s="1450"/>
      <c r="K271" s="570" t="s">
        <v>758</v>
      </c>
      <c r="L271" s="571" t="s">
        <v>262</v>
      </c>
      <c r="M271" s="66"/>
      <c r="O271" s="183">
        <v>11</v>
      </c>
      <c r="P271" s="568" t="s">
        <v>259</v>
      </c>
    </row>
    <row r="272" spans="1:32" ht="30" customHeight="1" x14ac:dyDescent="0.2">
      <c r="A272" s="650" t="s">
        <v>69</v>
      </c>
      <c r="B272" s="1867"/>
      <c r="C272" s="1213" t="s">
        <v>765</v>
      </c>
      <c r="D272" s="1213"/>
      <c r="E272" s="1213"/>
      <c r="F272" s="1213"/>
      <c r="G272" s="1213"/>
      <c r="H272" s="1213"/>
      <c r="I272" s="1870"/>
      <c r="J272" s="1451"/>
      <c r="K272" s="651" t="s">
        <v>758</v>
      </c>
      <c r="L272" s="652" t="s">
        <v>262</v>
      </c>
      <c r="M272" s="45"/>
      <c r="N272" s="149"/>
      <c r="O272" s="653">
        <v>11</v>
      </c>
      <c r="P272" s="654" t="s">
        <v>259</v>
      </c>
    </row>
    <row r="273" spans="1:16" s="66" customFormat="1" ht="39.950000000000003" customHeight="1" x14ac:dyDescent="0.2">
      <c r="A273" s="67"/>
      <c r="B273" s="163" t="s">
        <v>601</v>
      </c>
      <c r="C273" s="1805" t="s">
        <v>602</v>
      </c>
      <c r="D273" s="1805"/>
      <c r="E273" s="1805"/>
      <c r="F273" s="1805"/>
      <c r="G273" s="1805"/>
      <c r="H273" s="1805"/>
      <c r="I273" s="164">
        <f>+'[2]Datos CESANTES'!$D$27</f>
        <v>0</v>
      </c>
      <c r="J273" s="199">
        <f>+'[2]Datos CESANTES'!$E$27</f>
        <v>1</v>
      </c>
      <c r="K273" s="570" t="s">
        <v>601</v>
      </c>
      <c r="L273" s="571" t="s">
        <v>262</v>
      </c>
      <c r="M273" s="67"/>
      <c r="N273" s="182" t="s">
        <v>30</v>
      </c>
      <c r="O273" s="183">
        <v>11</v>
      </c>
      <c r="P273" s="568" t="s">
        <v>259</v>
      </c>
    </row>
    <row r="274" spans="1:16" s="66" customFormat="1" ht="39.950000000000003" customHeight="1" x14ac:dyDescent="0.2">
      <c r="A274" s="67"/>
      <c r="B274" s="163" t="s">
        <v>603</v>
      </c>
      <c r="C274" s="1805" t="s">
        <v>604</v>
      </c>
      <c r="D274" s="1805"/>
      <c r="E274" s="1805"/>
      <c r="F274" s="1805"/>
      <c r="G274" s="1805"/>
      <c r="H274" s="1805"/>
      <c r="I274" s="164">
        <f>+'[2]Datos CESANTES'!$D$28</f>
        <v>0</v>
      </c>
      <c r="J274" s="199">
        <f>+'[2]Datos CESANTES'!$E$28</f>
        <v>0.95</v>
      </c>
      <c r="K274" s="570" t="s">
        <v>603</v>
      </c>
      <c r="L274" s="571" t="s">
        <v>262</v>
      </c>
      <c r="M274" s="67"/>
      <c r="N274" s="182" t="s">
        <v>30</v>
      </c>
      <c r="O274" s="183">
        <v>11</v>
      </c>
      <c r="P274" s="568" t="s">
        <v>259</v>
      </c>
    </row>
    <row r="275" spans="1:16" ht="39.950000000000003" customHeight="1" x14ac:dyDescent="0.2">
      <c r="A275" s="45"/>
      <c r="B275" s="541" t="s">
        <v>769</v>
      </c>
      <c r="C275" s="1252" t="s">
        <v>770</v>
      </c>
      <c r="D275" s="1252"/>
      <c r="E275" s="1252"/>
      <c r="F275" s="1252"/>
      <c r="G275" s="1252"/>
      <c r="H275" s="1252"/>
      <c r="I275" s="580" t="str">
        <f>+'[2]Datos CESANTES'!$D$29</f>
        <v>1 día de hab.</v>
      </c>
      <c r="J275" s="353">
        <f>+'[2]Datos CESANTES'!$E$29</f>
        <v>0.7</v>
      </c>
      <c r="K275" s="570" t="s">
        <v>769</v>
      </c>
      <c r="L275" s="571" t="s">
        <v>262</v>
      </c>
      <c r="M275" s="66"/>
      <c r="N275" s="182" t="s">
        <v>30</v>
      </c>
      <c r="O275" s="183">
        <v>11</v>
      </c>
      <c r="P275" s="568" t="s">
        <v>259</v>
      </c>
    </row>
    <row r="276" spans="1:16" ht="30" customHeight="1" x14ac:dyDescent="0.2">
      <c r="A276" s="572"/>
      <c r="B276" s="541" t="s">
        <v>767</v>
      </c>
      <c r="C276" s="1432" t="s">
        <v>768</v>
      </c>
      <c r="D276" s="1433"/>
      <c r="E276" s="432"/>
      <c r="F276" s="432"/>
      <c r="G276" s="432"/>
      <c r="H276" s="433"/>
      <c r="I276" s="580">
        <v>0</v>
      </c>
      <c r="J276" s="353">
        <v>0.6</v>
      </c>
      <c r="K276" s="66"/>
      <c r="L276" s="661"/>
      <c r="M276" s="66"/>
      <c r="O276" s="67"/>
      <c r="P276" s="586"/>
    </row>
    <row r="277" spans="1:16" ht="30" customHeight="1" x14ac:dyDescent="0.2">
      <c r="B277" s="1897" t="s">
        <v>264</v>
      </c>
      <c r="C277" s="1897"/>
      <c r="D277" s="1897"/>
      <c r="E277" s="1897"/>
      <c r="F277" s="1897"/>
      <c r="G277" s="1897"/>
      <c r="H277" s="1897"/>
      <c r="I277" s="1897"/>
      <c r="J277" s="1897"/>
      <c r="N277" s="182" t="s">
        <v>30</v>
      </c>
      <c r="O277" s="183">
        <v>11</v>
      </c>
      <c r="P277" s="657" t="s">
        <v>265</v>
      </c>
    </row>
    <row r="278" spans="1:16" ht="30" customHeight="1" x14ac:dyDescent="0.2">
      <c r="B278" s="1818" t="s">
        <v>26</v>
      </c>
      <c r="C278" s="1203" t="s">
        <v>32</v>
      </c>
      <c r="D278" s="1204"/>
      <c r="E278" s="1204" t="s">
        <v>170</v>
      </c>
      <c r="F278" s="1204"/>
      <c r="G278" s="1204" t="s">
        <v>35</v>
      </c>
      <c r="H278" s="1205"/>
      <c r="I278" s="1698" t="str">
        <f>+'[2]Datos CESANTES'!$F$17</f>
        <v>1 día de hab.</v>
      </c>
      <c r="J278" s="915">
        <f>+'[2]Datos CESANTES'!$G$17</f>
        <v>0.9</v>
      </c>
      <c r="K278" s="570" t="s">
        <v>26</v>
      </c>
      <c r="L278" s="571" t="s">
        <v>266</v>
      </c>
      <c r="M278" s="598"/>
      <c r="O278" s="183">
        <v>11</v>
      </c>
      <c r="P278" s="657" t="s">
        <v>265</v>
      </c>
    </row>
    <row r="279" spans="1:16" ht="30" customHeight="1" x14ac:dyDescent="0.2">
      <c r="B279" s="1793"/>
      <c r="C279" s="137" t="s">
        <v>29</v>
      </c>
      <c r="D279" s="134"/>
      <c r="E279" s="1180" t="s">
        <v>31</v>
      </c>
      <c r="F279" s="1180"/>
      <c r="G279" s="1192" t="s">
        <v>27</v>
      </c>
      <c r="H279" s="1215"/>
      <c r="I279" s="1699"/>
      <c r="J279" s="1045"/>
      <c r="K279" s="570" t="s">
        <v>26</v>
      </c>
      <c r="L279" s="571" t="s">
        <v>266</v>
      </c>
      <c r="M279" s="598"/>
      <c r="O279" s="183">
        <v>11</v>
      </c>
      <c r="P279" s="657" t="s">
        <v>265</v>
      </c>
    </row>
    <row r="280" spans="1:16" ht="30" customHeight="1" x14ac:dyDescent="0.2">
      <c r="B280" s="1794"/>
      <c r="C280" s="1194" t="s">
        <v>38</v>
      </c>
      <c r="D280" s="1177"/>
      <c r="E280" s="1213"/>
      <c r="F280" s="1213"/>
      <c r="G280" s="862"/>
      <c r="H280" s="863"/>
      <c r="I280" s="1700"/>
      <c r="J280" s="916"/>
      <c r="K280" s="570" t="s">
        <v>26</v>
      </c>
      <c r="L280" s="571" t="s">
        <v>266</v>
      </c>
      <c r="M280" s="598"/>
      <c r="O280" s="183">
        <v>11</v>
      </c>
      <c r="P280" s="657" t="s">
        <v>265</v>
      </c>
    </row>
    <row r="281" spans="1:16" ht="39.950000000000003" customHeight="1" x14ac:dyDescent="0.2">
      <c r="B281" s="1783" t="s">
        <v>40</v>
      </c>
      <c r="C281" s="1895" t="s">
        <v>42</v>
      </c>
      <c r="D281" s="1896"/>
      <c r="E281" s="1896" t="s">
        <v>45</v>
      </c>
      <c r="F281" s="1896"/>
      <c r="G281" s="1696" t="s">
        <v>56</v>
      </c>
      <c r="H281" s="1697"/>
      <c r="I281" s="1698" t="str">
        <f>+'[2]Datos CESANTES'!$F$18</f>
        <v>1 día de hab.</v>
      </c>
      <c r="J281" s="915">
        <f>+'[2]Datos CESANTES'!$G$18</f>
        <v>0.9</v>
      </c>
      <c r="K281" s="570" t="s">
        <v>40</v>
      </c>
      <c r="L281" s="571" t="s">
        <v>266</v>
      </c>
      <c r="M281" s="598"/>
      <c r="N281" s="182" t="s">
        <v>30</v>
      </c>
      <c r="O281" s="183">
        <v>11</v>
      </c>
      <c r="P281" s="657" t="s">
        <v>265</v>
      </c>
    </row>
    <row r="282" spans="1:16" ht="39.950000000000003" customHeight="1" x14ac:dyDescent="0.2">
      <c r="B282" s="1784"/>
      <c r="C282" s="1701" t="s">
        <v>44</v>
      </c>
      <c r="D282" s="1702"/>
      <c r="E282" s="1702" t="s">
        <v>48</v>
      </c>
      <c r="F282" s="1702"/>
      <c r="G282" s="1702" t="s">
        <v>46</v>
      </c>
      <c r="H282" s="1703"/>
      <c r="I282" s="1699"/>
      <c r="J282" s="1045"/>
      <c r="K282" s="570" t="s">
        <v>40</v>
      </c>
      <c r="L282" s="571" t="s">
        <v>266</v>
      </c>
      <c r="M282" s="598"/>
      <c r="O282" s="183">
        <v>11</v>
      </c>
      <c r="P282" s="657" t="s">
        <v>265</v>
      </c>
    </row>
    <row r="283" spans="1:16" ht="30" customHeight="1" x14ac:dyDescent="0.2">
      <c r="B283" s="1784"/>
      <c r="C283" s="1893" t="s">
        <v>47</v>
      </c>
      <c r="D283" s="1841"/>
      <c r="E283" s="1702" t="s">
        <v>267</v>
      </c>
      <c r="F283" s="1702"/>
      <c r="G283" s="1702" t="s">
        <v>49</v>
      </c>
      <c r="H283" s="1703"/>
      <c r="I283" s="1699"/>
      <c r="J283" s="1045"/>
      <c r="K283" s="570" t="s">
        <v>40</v>
      </c>
      <c r="L283" s="571" t="s">
        <v>266</v>
      </c>
      <c r="M283" s="598"/>
      <c r="O283" s="183">
        <v>11</v>
      </c>
      <c r="P283" s="657" t="s">
        <v>265</v>
      </c>
    </row>
    <row r="284" spans="1:16" ht="50.1" customHeight="1" x14ac:dyDescent="0.2">
      <c r="B284" s="1784"/>
      <c r="C284" s="1893" t="s">
        <v>62</v>
      </c>
      <c r="D284" s="1841"/>
      <c r="E284" s="1841" t="s">
        <v>54</v>
      </c>
      <c r="F284" s="1841"/>
      <c r="G284" s="1841" t="s">
        <v>68</v>
      </c>
      <c r="H284" s="1894"/>
      <c r="I284" s="1699"/>
      <c r="J284" s="1045"/>
      <c r="K284" s="570" t="s">
        <v>40</v>
      </c>
      <c r="L284" s="571" t="s">
        <v>266</v>
      </c>
      <c r="M284" s="598"/>
      <c r="O284" s="183">
        <v>11</v>
      </c>
      <c r="P284" s="657" t="s">
        <v>265</v>
      </c>
    </row>
    <row r="285" spans="1:16" ht="39.950000000000003" customHeight="1" x14ac:dyDescent="0.2">
      <c r="B285" s="1784"/>
      <c r="C285" s="1132" t="s">
        <v>64</v>
      </c>
      <c r="D285" s="1132"/>
      <c r="E285" s="1841" t="s">
        <v>58</v>
      </c>
      <c r="F285" s="1841"/>
      <c r="G285" s="1841" t="s">
        <v>55</v>
      </c>
      <c r="H285" s="1894"/>
      <c r="I285" s="1699"/>
      <c r="J285" s="1045"/>
      <c r="K285" s="570" t="s">
        <v>40</v>
      </c>
      <c r="L285" s="571" t="s">
        <v>266</v>
      </c>
      <c r="M285" s="598"/>
      <c r="O285" s="183">
        <v>11</v>
      </c>
      <c r="P285" s="657" t="s">
        <v>265</v>
      </c>
    </row>
    <row r="286" spans="1:16" ht="39.950000000000003" customHeight="1" x14ac:dyDescent="0.2">
      <c r="A286" s="572" t="s">
        <v>69</v>
      </c>
      <c r="B286" s="1785"/>
      <c r="C286" s="1704" t="s">
        <v>70</v>
      </c>
      <c r="D286" s="1685"/>
      <c r="E286" s="1685"/>
      <c r="F286" s="1685"/>
      <c r="G286" s="1685"/>
      <c r="H286" s="1686"/>
      <c r="I286" s="1700"/>
      <c r="J286" s="916"/>
      <c r="K286" s="570" t="s">
        <v>40</v>
      </c>
      <c r="L286" s="571" t="s">
        <v>266</v>
      </c>
      <c r="M286" s="598"/>
      <c r="O286" s="183">
        <v>11</v>
      </c>
      <c r="P286" s="657" t="s">
        <v>265</v>
      </c>
    </row>
    <row r="287" spans="1:16" ht="30" customHeight="1" x14ac:dyDescent="0.2">
      <c r="B287" s="1718" t="s">
        <v>71</v>
      </c>
      <c r="C287" s="1187" t="s">
        <v>72</v>
      </c>
      <c r="D287" s="1188"/>
      <c r="E287" s="1188" t="s">
        <v>74</v>
      </c>
      <c r="F287" s="1188"/>
      <c r="G287" s="1188" t="s">
        <v>80</v>
      </c>
      <c r="H287" s="1189"/>
      <c r="I287" s="1887" t="str">
        <f>+'[2]Datos CESANTES'!$F$19</f>
        <v>1 día de hab.</v>
      </c>
      <c r="J287" s="915">
        <f>+'[2]Datos CESANTES'!$G$19</f>
        <v>0.85</v>
      </c>
      <c r="K287" s="570" t="s">
        <v>71</v>
      </c>
      <c r="L287" s="571" t="s">
        <v>266</v>
      </c>
      <c r="M287" s="598"/>
      <c r="N287" s="182" t="s">
        <v>30</v>
      </c>
      <c r="O287" s="183">
        <v>11</v>
      </c>
      <c r="P287" s="657" t="s">
        <v>265</v>
      </c>
    </row>
    <row r="288" spans="1:16" ht="30" customHeight="1" x14ac:dyDescent="0.2">
      <c r="B288" s="1891"/>
      <c r="C288" s="158" t="s">
        <v>75</v>
      </c>
      <c r="D288" s="24"/>
      <c r="E288" s="969" t="s">
        <v>81</v>
      </c>
      <c r="F288" s="969"/>
      <c r="G288" s="969" t="s">
        <v>82</v>
      </c>
      <c r="H288" s="1193"/>
      <c r="I288" s="1892"/>
      <c r="J288" s="1045"/>
      <c r="K288" s="570" t="s">
        <v>71</v>
      </c>
      <c r="L288" s="571" t="s">
        <v>266</v>
      </c>
      <c r="M288" s="598"/>
      <c r="O288" s="183">
        <v>11</v>
      </c>
      <c r="P288" s="657" t="s">
        <v>265</v>
      </c>
    </row>
    <row r="289" spans="1:32" ht="30" customHeight="1" x14ac:dyDescent="0.2">
      <c r="B289" s="1719"/>
      <c r="C289" s="1144" t="s">
        <v>77</v>
      </c>
      <c r="D289" s="1145"/>
      <c r="E289" s="1145" t="s">
        <v>76</v>
      </c>
      <c r="F289" s="1145"/>
      <c r="G289" s="969" t="s">
        <v>78</v>
      </c>
      <c r="H289" s="1193"/>
      <c r="I289" s="1888"/>
      <c r="J289" s="916"/>
      <c r="K289" s="570" t="s">
        <v>71</v>
      </c>
      <c r="L289" s="571" t="s">
        <v>266</v>
      </c>
      <c r="M289" s="598"/>
      <c r="O289" s="183">
        <v>11</v>
      </c>
      <c r="P289" s="657" t="s">
        <v>265</v>
      </c>
    </row>
    <row r="290" spans="1:32" s="24" customFormat="1" ht="39.950000000000003" customHeight="1" x14ac:dyDescent="0.2">
      <c r="A290" s="18"/>
      <c r="B290" s="1004" t="s">
        <v>85</v>
      </c>
      <c r="C290" s="1214" t="s">
        <v>378</v>
      </c>
      <c r="D290" s="1195"/>
      <c r="E290" s="1195" t="s">
        <v>342</v>
      </c>
      <c r="F290" s="1195"/>
      <c r="G290" s="1195" t="s">
        <v>86</v>
      </c>
      <c r="H290" s="1226"/>
      <c r="I290" s="1042" t="str">
        <f>+'[2]Datos CESANTES'!$F$20</f>
        <v>1 día de hab.</v>
      </c>
      <c r="J290" s="915">
        <f>+'[2]Datos CESANTES'!$G$20</f>
        <v>0.85</v>
      </c>
      <c r="K290" s="43" t="s">
        <v>85</v>
      </c>
      <c r="L290" s="44" t="s">
        <v>266</v>
      </c>
      <c r="M290" s="79"/>
      <c r="N290" s="46" t="s">
        <v>30</v>
      </c>
      <c r="O290" s="37">
        <v>11</v>
      </c>
      <c r="P290" s="157" t="s">
        <v>265</v>
      </c>
    </row>
    <row r="291" spans="1:32" s="24" customFormat="1" ht="39.950000000000003" customHeight="1" x14ac:dyDescent="0.2">
      <c r="A291" s="18"/>
      <c r="B291" s="1039"/>
      <c r="C291" s="1211" t="s">
        <v>574</v>
      </c>
      <c r="D291" s="1190"/>
      <c r="E291" s="957" t="s">
        <v>402</v>
      </c>
      <c r="F291" s="957"/>
      <c r="G291" s="1190" t="s">
        <v>576</v>
      </c>
      <c r="H291" s="1212"/>
      <c r="I291" s="1043"/>
      <c r="J291" s="1045"/>
      <c r="K291" s="43" t="s">
        <v>85</v>
      </c>
      <c r="L291" s="44" t="s">
        <v>266</v>
      </c>
      <c r="M291" s="79"/>
      <c r="N291"/>
      <c r="O291" s="37">
        <v>11</v>
      </c>
      <c r="P291" s="157" t="s">
        <v>265</v>
      </c>
    </row>
    <row r="292" spans="1:32" s="24" customFormat="1" ht="39.950000000000003" customHeight="1" x14ac:dyDescent="0.2">
      <c r="A292" s="18"/>
      <c r="B292" s="1039"/>
      <c r="C292" s="1211" t="s">
        <v>577</v>
      </c>
      <c r="D292" s="1190"/>
      <c r="E292" s="1190" t="s">
        <v>624</v>
      </c>
      <c r="F292" s="1190"/>
      <c r="G292" s="1190" t="s">
        <v>578</v>
      </c>
      <c r="H292" s="1212"/>
      <c r="I292" s="1043"/>
      <c r="J292" s="1045"/>
      <c r="K292" s="43" t="s">
        <v>85</v>
      </c>
      <c r="L292" s="44" t="s">
        <v>266</v>
      </c>
      <c r="M292" s="79"/>
      <c r="N292" s="4"/>
      <c r="O292" s="37">
        <v>11</v>
      </c>
      <c r="P292" s="157" t="s">
        <v>265</v>
      </c>
    </row>
    <row r="293" spans="1:32" s="24" customFormat="1" ht="39.950000000000003" customHeight="1" x14ac:dyDescent="0.2">
      <c r="A293" s="18"/>
      <c r="B293" s="1039"/>
      <c r="C293" s="1211" t="s">
        <v>580</v>
      </c>
      <c r="D293" s="1190"/>
      <c r="E293" s="1190" t="s">
        <v>581</v>
      </c>
      <c r="F293" s="1190"/>
      <c r="G293" s="1190" t="s">
        <v>579</v>
      </c>
      <c r="H293" s="1212"/>
      <c r="I293" s="1043"/>
      <c r="J293" s="1045"/>
      <c r="K293" s="43" t="s">
        <v>85</v>
      </c>
      <c r="L293" s="44" t="s">
        <v>266</v>
      </c>
      <c r="M293" s="79"/>
      <c r="N293" s="4"/>
      <c r="O293" s="37">
        <v>11</v>
      </c>
      <c r="P293" s="157" t="s">
        <v>265</v>
      </c>
    </row>
    <row r="294" spans="1:32" s="24" customFormat="1" ht="39.950000000000003" customHeight="1" x14ac:dyDescent="0.2">
      <c r="A294" s="18"/>
      <c r="B294" s="1005"/>
      <c r="C294" s="1206" t="s">
        <v>573</v>
      </c>
      <c r="D294" s="1207"/>
      <c r="E294" s="344"/>
      <c r="F294" s="344"/>
      <c r="G294" s="344"/>
      <c r="H294" s="345"/>
      <c r="I294" s="1044"/>
      <c r="J294" s="916"/>
      <c r="K294" s="43"/>
      <c r="L294" s="44"/>
      <c r="M294" s="79"/>
      <c r="N294" s="4"/>
      <c r="O294" s="37"/>
      <c r="P294" s="157"/>
    </row>
    <row r="295" spans="1:32" ht="30" customHeight="1" x14ac:dyDescent="0.2">
      <c r="B295" s="1718" t="s">
        <v>87</v>
      </c>
      <c r="C295" s="1701" t="s">
        <v>88</v>
      </c>
      <c r="D295" s="1702"/>
      <c r="E295" s="1702" t="s">
        <v>89</v>
      </c>
      <c r="F295" s="1702"/>
      <c r="G295" s="1702" t="s">
        <v>90</v>
      </c>
      <c r="H295" s="1703"/>
      <c r="I295" s="1887" t="str">
        <f>+'[2]Datos CESANTES'!$F$21</f>
        <v>1 día de hab.</v>
      </c>
      <c r="J295" s="915">
        <f>+'[2]Datos CESANTES'!$G$21</f>
        <v>0.85</v>
      </c>
      <c r="K295" s="570" t="s">
        <v>87</v>
      </c>
      <c r="L295" s="571" t="s">
        <v>266</v>
      </c>
      <c r="M295" s="598"/>
      <c r="N295" s="182" t="s">
        <v>30</v>
      </c>
      <c r="O295" s="183">
        <v>11</v>
      </c>
      <c r="P295" s="657" t="s">
        <v>265</v>
      </c>
    </row>
    <row r="296" spans="1:32" ht="30" customHeight="1" x14ac:dyDescent="0.2">
      <c r="B296" s="1719"/>
      <c r="C296" s="1704" t="s">
        <v>92</v>
      </c>
      <c r="D296" s="1685"/>
      <c r="E296" s="1685" t="s">
        <v>93</v>
      </c>
      <c r="F296" s="1685"/>
      <c r="G296" s="1889" t="s">
        <v>39</v>
      </c>
      <c r="H296" s="1890"/>
      <c r="I296" s="1888"/>
      <c r="J296" s="916"/>
      <c r="K296" s="570" t="s">
        <v>87</v>
      </c>
      <c r="L296" s="571" t="s">
        <v>266</v>
      </c>
      <c r="M296" s="598"/>
      <c r="O296" s="183">
        <v>11</v>
      </c>
      <c r="P296" s="657" t="s">
        <v>265</v>
      </c>
    </row>
    <row r="297" spans="1:32" ht="30" customHeight="1" x14ac:dyDescent="0.2">
      <c r="B297" s="538" t="s">
        <v>567</v>
      </c>
      <c r="C297" s="1881" t="s">
        <v>134</v>
      </c>
      <c r="D297" s="1882"/>
      <c r="E297" s="1882" t="s">
        <v>95</v>
      </c>
      <c r="F297" s="1882"/>
      <c r="G297" s="658" t="s">
        <v>631</v>
      </c>
      <c r="H297" s="659"/>
      <c r="I297" s="409" t="str">
        <f>+'[2]Datos CESANTES'!$F$22</f>
        <v>1 día de hab.</v>
      </c>
      <c r="J297" s="42">
        <f>+'[2]Datos CESANTES'!$G$22</f>
        <v>0.8</v>
      </c>
      <c r="K297" s="570" t="s">
        <v>567</v>
      </c>
      <c r="L297" s="571" t="s">
        <v>266</v>
      </c>
      <c r="M297" s="598"/>
      <c r="N297" s="182" t="s">
        <v>30</v>
      </c>
      <c r="O297" s="183">
        <v>11</v>
      </c>
      <c r="P297" s="657" t="s">
        <v>265</v>
      </c>
    </row>
    <row r="298" spans="1:32" s="66" customFormat="1" ht="30" customHeight="1" x14ac:dyDescent="0.2">
      <c r="A298" s="67"/>
      <c r="B298" s="1883" t="s">
        <v>584</v>
      </c>
      <c r="C298" s="1476" t="s">
        <v>585</v>
      </c>
      <c r="D298" s="1477"/>
      <c r="E298" s="1477" t="s">
        <v>138</v>
      </c>
      <c r="F298" s="1477"/>
      <c r="G298" s="1885" t="s">
        <v>586</v>
      </c>
      <c r="H298" s="1886"/>
      <c r="I298" s="1874" t="str">
        <f>+'[2]Datos CESANTES'!$F$24</f>
        <v>1 día de hab.</v>
      </c>
      <c r="J298" s="1156">
        <f>+'[2]Datos CESANTES'!$G$24</f>
        <v>0.75</v>
      </c>
      <c r="K298" s="570" t="s">
        <v>584</v>
      </c>
      <c r="L298" s="571" t="s">
        <v>266</v>
      </c>
      <c r="M298" s="67"/>
      <c r="O298" s="183">
        <v>11</v>
      </c>
      <c r="P298" s="657" t="s">
        <v>265</v>
      </c>
    </row>
    <row r="299" spans="1:32" s="66" customFormat="1" ht="39.950000000000003" customHeight="1" x14ac:dyDescent="0.2">
      <c r="A299" s="67"/>
      <c r="B299" s="1884"/>
      <c r="C299" s="1609" t="s">
        <v>587</v>
      </c>
      <c r="D299" s="1610"/>
      <c r="E299" s="82"/>
      <c r="F299" s="82"/>
      <c r="G299" s="1876"/>
      <c r="H299" s="1877"/>
      <c r="I299" s="1875"/>
      <c r="J299" s="1158"/>
      <c r="K299" s="570" t="s">
        <v>584</v>
      </c>
      <c r="L299" s="571" t="s">
        <v>266</v>
      </c>
      <c r="M299" s="67"/>
      <c r="O299" s="183">
        <v>11</v>
      </c>
      <c r="P299" s="657" t="s">
        <v>265</v>
      </c>
    </row>
    <row r="300" spans="1:32" s="66" customFormat="1" ht="30" customHeight="1" x14ac:dyDescent="0.2">
      <c r="A300" s="67"/>
      <c r="B300" s="647" t="s">
        <v>571</v>
      </c>
      <c r="C300" s="1878" t="s">
        <v>596</v>
      </c>
      <c r="D300" s="1879"/>
      <c r="E300" s="1781" t="s">
        <v>598</v>
      </c>
      <c r="F300" s="1781"/>
      <c r="G300" s="1879" t="s">
        <v>599</v>
      </c>
      <c r="H300" s="1880"/>
      <c r="I300" s="360" t="str">
        <f>'[2]Datos CESANTES'!$F$23</f>
        <v>1 día de hab.</v>
      </c>
      <c r="J300" s="121">
        <f>'[2]Datos CESANTES'!$G$23</f>
        <v>0.8</v>
      </c>
      <c r="K300" s="570" t="s">
        <v>571</v>
      </c>
      <c r="L300" s="571" t="s">
        <v>266</v>
      </c>
      <c r="M300" s="67"/>
      <c r="N300" s="182" t="s">
        <v>30</v>
      </c>
      <c r="O300" s="183">
        <v>11</v>
      </c>
      <c r="P300" s="657" t="s">
        <v>265</v>
      </c>
    </row>
    <row r="301" spans="1:32" s="66" customFormat="1" ht="35.1" customHeight="1" x14ac:dyDescent="0.2">
      <c r="B301" s="1865" t="s">
        <v>591</v>
      </c>
      <c r="C301" s="1851" t="s">
        <v>592</v>
      </c>
      <c r="D301" s="1852"/>
      <c r="E301" s="1809" t="s">
        <v>176</v>
      </c>
      <c r="F301" s="1809"/>
      <c r="G301" s="1852" t="s">
        <v>895</v>
      </c>
      <c r="H301" s="1871"/>
      <c r="I301" s="1868" t="str">
        <f>+'[2]Datos CESANTES'!$F$25</f>
        <v>1 día de hab.</v>
      </c>
      <c r="J301" s="1449">
        <f>+'[2]Datos CESANTES'!$G$25</f>
        <v>0.7</v>
      </c>
      <c r="K301" s="570" t="s">
        <v>591</v>
      </c>
      <c r="L301" s="571" t="s">
        <v>266</v>
      </c>
      <c r="N301" s="182" t="s">
        <v>30</v>
      </c>
      <c r="O301" s="183">
        <v>11</v>
      </c>
      <c r="P301" s="657" t="s">
        <v>265</v>
      </c>
      <c r="Q301" s="45"/>
      <c r="R301" s="45"/>
      <c r="S301" s="45"/>
      <c r="T301" s="45"/>
      <c r="U301" s="45"/>
      <c r="V301" s="45"/>
      <c r="W301" s="45"/>
      <c r="X301" s="45"/>
      <c r="Y301" s="45"/>
      <c r="Z301" s="45"/>
      <c r="AA301" s="45"/>
      <c r="AB301" s="45"/>
      <c r="AC301" s="45"/>
      <c r="AD301" s="45"/>
      <c r="AE301" s="45"/>
      <c r="AF301" s="45"/>
    </row>
    <row r="302" spans="1:32" s="66" customFormat="1" ht="35.1" customHeight="1" x14ac:dyDescent="0.2">
      <c r="B302" s="1866"/>
      <c r="C302" s="1872" t="s">
        <v>594</v>
      </c>
      <c r="D302" s="1873"/>
      <c r="E302" s="785"/>
      <c r="F302" s="785"/>
      <c r="G302" s="796"/>
      <c r="H302" s="797"/>
      <c r="I302" s="1869"/>
      <c r="J302" s="1450"/>
      <c r="K302" s="570" t="s">
        <v>591</v>
      </c>
      <c r="L302" s="571" t="s">
        <v>266</v>
      </c>
      <c r="N302" s="67"/>
      <c r="O302" s="183">
        <v>11</v>
      </c>
      <c r="P302" s="657" t="s">
        <v>265</v>
      </c>
      <c r="Q302" s="45"/>
      <c r="R302" s="45"/>
      <c r="S302" s="45"/>
      <c r="T302" s="45"/>
      <c r="U302" s="45"/>
      <c r="V302" s="45"/>
      <c r="W302" s="45"/>
      <c r="X302" s="45"/>
      <c r="Y302" s="45"/>
      <c r="Z302" s="45"/>
      <c r="AA302" s="45"/>
      <c r="AB302" s="45"/>
      <c r="AC302" s="45"/>
      <c r="AD302" s="45"/>
      <c r="AE302" s="45"/>
      <c r="AF302" s="45"/>
    </row>
    <row r="303" spans="1:32" s="66" customFormat="1" ht="24.95" customHeight="1" x14ac:dyDescent="0.2">
      <c r="B303" s="1866"/>
      <c r="C303" s="364" t="s">
        <v>98</v>
      </c>
      <c r="D303" s="346"/>
      <c r="E303" s="346"/>
      <c r="F303" s="346"/>
      <c r="G303" s="346"/>
      <c r="H303" s="347"/>
      <c r="I303" s="1869"/>
      <c r="J303" s="1450"/>
      <c r="K303" s="570" t="s">
        <v>591</v>
      </c>
      <c r="L303" s="571" t="s">
        <v>266</v>
      </c>
      <c r="N303" s="67"/>
      <c r="O303" s="183">
        <v>11</v>
      </c>
      <c r="P303" s="657" t="s">
        <v>265</v>
      </c>
      <c r="Q303" s="45"/>
      <c r="R303" s="45"/>
      <c r="S303" s="45"/>
      <c r="T303" s="45"/>
      <c r="U303" s="45"/>
      <c r="V303" s="45"/>
      <c r="W303" s="45"/>
      <c r="X303" s="45"/>
      <c r="Y303" s="45"/>
      <c r="Z303" s="45"/>
      <c r="AA303" s="45"/>
      <c r="AB303" s="45"/>
      <c r="AC303" s="45"/>
      <c r="AD303" s="45"/>
      <c r="AE303" s="45"/>
      <c r="AF303" s="45"/>
    </row>
    <row r="304" spans="1:32" s="66" customFormat="1" ht="35.1" customHeight="1" x14ac:dyDescent="0.2">
      <c r="B304" s="1867"/>
      <c r="C304" s="1453" t="s">
        <v>643</v>
      </c>
      <c r="D304" s="1213"/>
      <c r="E304" s="1213"/>
      <c r="F304" s="1213"/>
      <c r="G304" s="1213"/>
      <c r="H304" s="1454"/>
      <c r="I304" s="1870"/>
      <c r="J304" s="1451"/>
      <c r="K304" s="570" t="s">
        <v>591</v>
      </c>
      <c r="L304" s="571" t="s">
        <v>266</v>
      </c>
      <c r="N304" s="67"/>
      <c r="O304" s="183">
        <v>11</v>
      </c>
      <c r="P304" s="657" t="s">
        <v>265</v>
      </c>
      <c r="Q304" s="45"/>
      <c r="R304" s="45"/>
      <c r="S304" s="45"/>
      <c r="T304" s="45"/>
      <c r="U304" s="45"/>
      <c r="V304" s="45"/>
      <c r="W304" s="45"/>
      <c r="X304" s="45"/>
      <c r="Y304" s="45"/>
      <c r="Z304" s="45"/>
      <c r="AA304" s="45"/>
      <c r="AB304" s="45"/>
      <c r="AC304" s="45"/>
      <c r="AD304" s="45"/>
      <c r="AE304" s="45"/>
      <c r="AF304" s="45"/>
    </row>
    <row r="305" spans="1:32" s="66" customFormat="1" ht="30" customHeight="1" x14ac:dyDescent="0.2">
      <c r="A305" s="595"/>
      <c r="B305" s="1865" t="s">
        <v>758</v>
      </c>
      <c r="C305" s="1461" t="s">
        <v>759</v>
      </c>
      <c r="D305" s="1462"/>
      <c r="E305" s="1462" t="s">
        <v>776</v>
      </c>
      <c r="F305" s="1462"/>
      <c r="G305" s="1462" t="s">
        <v>762</v>
      </c>
      <c r="H305" s="1463"/>
      <c r="I305" s="1868" t="str">
        <f>+'[2]Datos CESANTES'!$F$26</f>
        <v>1 día de hab.</v>
      </c>
      <c r="J305" s="1449">
        <f>+'[2]Datos CESANTES'!$G$26</f>
        <v>0.7</v>
      </c>
      <c r="K305" s="570" t="s">
        <v>758</v>
      </c>
      <c r="L305" s="571" t="s">
        <v>266</v>
      </c>
      <c r="N305" s="182" t="s">
        <v>30</v>
      </c>
      <c r="O305" s="183">
        <v>11</v>
      </c>
      <c r="P305" s="657" t="s">
        <v>265</v>
      </c>
      <c r="Q305" s="45"/>
      <c r="R305" s="45"/>
      <c r="S305" s="45"/>
      <c r="T305" s="45"/>
      <c r="U305" s="45"/>
      <c r="V305" s="45"/>
      <c r="W305" s="45"/>
      <c r="X305" s="45"/>
      <c r="Y305" s="45"/>
      <c r="Z305" s="45"/>
      <c r="AA305" s="45"/>
      <c r="AB305" s="45"/>
      <c r="AC305" s="45"/>
      <c r="AD305" s="45"/>
      <c r="AE305" s="45"/>
      <c r="AF305" s="45"/>
    </row>
    <row r="306" spans="1:32" s="66" customFormat="1" ht="30" customHeight="1" x14ac:dyDescent="0.2">
      <c r="A306" s="595"/>
      <c r="B306" s="1866"/>
      <c r="C306" s="1452" t="s">
        <v>215</v>
      </c>
      <c r="D306" s="1192"/>
      <c r="E306" s="621"/>
      <c r="F306" s="621"/>
      <c r="G306" s="346"/>
      <c r="H306" s="347"/>
      <c r="I306" s="1869"/>
      <c r="J306" s="1450"/>
      <c r="K306" s="570" t="s">
        <v>758</v>
      </c>
      <c r="L306" s="571" t="s">
        <v>266</v>
      </c>
      <c r="N306" s="67"/>
      <c r="O306" s="183">
        <v>11</v>
      </c>
      <c r="P306" s="657" t="s">
        <v>265</v>
      </c>
      <c r="Q306" s="45"/>
      <c r="R306" s="45"/>
      <c r="S306" s="45"/>
      <c r="T306" s="45"/>
      <c r="U306" s="45"/>
      <c r="V306" s="45"/>
      <c r="W306" s="45"/>
      <c r="X306" s="45"/>
      <c r="Y306" s="45"/>
      <c r="Z306" s="45"/>
      <c r="AA306" s="45"/>
      <c r="AB306" s="45"/>
      <c r="AC306" s="45"/>
      <c r="AD306" s="45"/>
      <c r="AE306" s="45"/>
      <c r="AF306" s="45"/>
    </row>
    <row r="307" spans="1:32" s="66" customFormat="1" ht="30" customHeight="1" x14ac:dyDescent="0.2">
      <c r="A307" s="572" t="s">
        <v>69</v>
      </c>
      <c r="B307" s="1867"/>
      <c r="C307" s="1453" t="s">
        <v>765</v>
      </c>
      <c r="D307" s="1213"/>
      <c r="E307" s="1213"/>
      <c r="F307" s="1213"/>
      <c r="G307" s="1213"/>
      <c r="H307" s="1454"/>
      <c r="I307" s="1870"/>
      <c r="J307" s="1451"/>
      <c r="K307" s="570" t="s">
        <v>758</v>
      </c>
      <c r="L307" s="571" t="s">
        <v>266</v>
      </c>
      <c r="N307" s="67"/>
      <c r="O307" s="183">
        <v>11</v>
      </c>
      <c r="P307" s="657" t="s">
        <v>265</v>
      </c>
      <c r="Q307" s="45"/>
      <c r="R307" s="45"/>
      <c r="S307" s="45"/>
      <c r="T307" s="45"/>
      <c r="U307" s="45"/>
      <c r="V307" s="45"/>
      <c r="W307" s="45"/>
      <c r="X307" s="45"/>
      <c r="Y307" s="45"/>
      <c r="Z307" s="45"/>
      <c r="AA307" s="45"/>
      <c r="AB307" s="45"/>
      <c r="AC307" s="45"/>
      <c r="AD307" s="45"/>
      <c r="AE307" s="45"/>
      <c r="AF307" s="45"/>
    </row>
    <row r="308" spans="1:32" s="66" customFormat="1" ht="39.950000000000003" customHeight="1" x14ac:dyDescent="0.2">
      <c r="A308" s="67"/>
      <c r="B308" s="541" t="s">
        <v>601</v>
      </c>
      <c r="C308" s="1861" t="s">
        <v>602</v>
      </c>
      <c r="D308" s="1861"/>
      <c r="E308" s="1861"/>
      <c r="F308" s="1861"/>
      <c r="G308" s="1861"/>
      <c r="H308" s="1861"/>
      <c r="I308" s="580" t="str">
        <f>+'[2]Datos CESANTES'!$F$27</f>
        <v>1 día de hab.</v>
      </c>
      <c r="J308" s="353">
        <f>+'[2]Datos CESANTES'!$G$27</f>
        <v>0.9</v>
      </c>
      <c r="K308" s="570" t="s">
        <v>601</v>
      </c>
      <c r="L308" s="571" t="s">
        <v>266</v>
      </c>
      <c r="M308" s="67"/>
      <c r="N308" s="182" t="s">
        <v>30</v>
      </c>
      <c r="O308" s="183">
        <v>11</v>
      </c>
      <c r="P308" s="657" t="s">
        <v>265</v>
      </c>
    </row>
    <row r="309" spans="1:32" s="66" customFormat="1" ht="39.950000000000003" customHeight="1" x14ac:dyDescent="0.2">
      <c r="A309" s="67"/>
      <c r="B309" s="541" t="s">
        <v>603</v>
      </c>
      <c r="C309" s="1252" t="s">
        <v>604</v>
      </c>
      <c r="D309" s="1252"/>
      <c r="E309" s="1252"/>
      <c r="F309" s="1252"/>
      <c r="G309" s="1252"/>
      <c r="H309" s="1252"/>
      <c r="I309" s="580" t="str">
        <f>+'[2]Datos CESANTES'!$F$28</f>
        <v>1 día de hab.</v>
      </c>
      <c r="J309" s="353">
        <f>+'[2]Datos CESANTES'!$G$28</f>
        <v>0.8</v>
      </c>
      <c r="K309" s="570" t="s">
        <v>603</v>
      </c>
      <c r="L309" s="571" t="s">
        <v>266</v>
      </c>
      <c r="M309" s="149"/>
      <c r="N309" s="182" t="s">
        <v>30</v>
      </c>
      <c r="O309" s="183">
        <v>11</v>
      </c>
      <c r="P309" s="657" t="s">
        <v>265</v>
      </c>
    </row>
    <row r="310" spans="1:32" s="66" customFormat="1" ht="39.950000000000003" customHeight="1" x14ac:dyDescent="0.2">
      <c r="B310" s="541" t="s">
        <v>769</v>
      </c>
      <c r="C310" s="1252" t="s">
        <v>770</v>
      </c>
      <c r="D310" s="1252"/>
      <c r="E310" s="1252"/>
      <c r="F310" s="1252"/>
      <c r="G310" s="1252"/>
      <c r="H310" s="1252"/>
      <c r="I310" s="580" t="str">
        <f>+'[2]Datos CESANTES'!$F$29</f>
        <v>1 día de hab.</v>
      </c>
      <c r="J310" s="353">
        <f>+'[2]Datos CESANTES'!$G$29</f>
        <v>0.65</v>
      </c>
      <c r="K310" s="570" t="s">
        <v>769</v>
      </c>
      <c r="L310" s="571" t="s">
        <v>266</v>
      </c>
      <c r="N310" s="182" t="s">
        <v>30</v>
      </c>
      <c r="O310" s="183">
        <v>11</v>
      </c>
      <c r="P310" s="657" t="s">
        <v>265</v>
      </c>
      <c r="Q310" s="45"/>
      <c r="R310" s="45"/>
      <c r="S310" s="45"/>
      <c r="T310" s="45"/>
      <c r="U310" s="45"/>
      <c r="V310" s="45"/>
      <c r="W310" s="45"/>
      <c r="X310" s="45"/>
      <c r="Y310" s="45"/>
      <c r="Z310" s="45"/>
      <c r="AA310" s="45"/>
      <c r="AB310" s="45"/>
      <c r="AC310" s="45"/>
      <c r="AD310" s="45"/>
      <c r="AE310" s="45"/>
      <c r="AF310" s="45"/>
    </row>
    <row r="311" spans="1:32" s="66" customFormat="1" ht="47.25" customHeight="1" x14ac:dyDescent="0.2">
      <c r="A311" s="572"/>
      <c r="B311" s="541" t="s">
        <v>767</v>
      </c>
      <c r="C311" s="1432" t="s">
        <v>768</v>
      </c>
      <c r="D311" s="1433"/>
      <c r="E311" s="432"/>
      <c r="F311" s="432"/>
      <c r="G311" s="432"/>
      <c r="H311" s="433"/>
      <c r="I311" s="580" t="s">
        <v>410</v>
      </c>
      <c r="J311" s="353">
        <v>0.6</v>
      </c>
      <c r="L311" s="661"/>
      <c r="N311" s="67"/>
      <c r="O311" s="67"/>
      <c r="P311" s="586"/>
      <c r="Q311" s="45"/>
      <c r="R311" s="45"/>
      <c r="S311" s="45"/>
      <c r="T311" s="45"/>
      <c r="U311" s="45"/>
      <c r="V311" s="45"/>
      <c r="W311" s="45"/>
      <c r="X311" s="45"/>
      <c r="Y311" s="45"/>
      <c r="Z311" s="45"/>
      <c r="AA311" s="45"/>
      <c r="AB311" s="45"/>
      <c r="AC311" s="45"/>
      <c r="AD311" s="45"/>
      <c r="AE311" s="45"/>
      <c r="AF311" s="45"/>
    </row>
    <row r="312" spans="1:32" ht="20.100000000000001" customHeight="1" x14ac:dyDescent="0.2">
      <c r="B312" s="642"/>
      <c r="C312" s="786"/>
      <c r="D312" s="787"/>
      <c r="E312" s="787"/>
      <c r="F312" s="787"/>
      <c r="G312" s="787"/>
      <c r="H312" s="787"/>
      <c r="I312" s="788"/>
      <c r="J312" s="488"/>
    </row>
    <row r="313" spans="1:32" ht="30" customHeight="1" x14ac:dyDescent="0.2">
      <c r="A313" s="45"/>
      <c r="B313" s="1713" t="s">
        <v>309</v>
      </c>
      <c r="C313" s="1713"/>
      <c r="D313" s="1713"/>
      <c r="E313" s="1713"/>
      <c r="F313" s="1713"/>
      <c r="G313" s="1713"/>
      <c r="H313" s="1713"/>
      <c r="I313" s="406" t="s">
        <v>17</v>
      </c>
      <c r="J313" s="35" t="s">
        <v>18</v>
      </c>
      <c r="K313" s="226" t="s">
        <v>310</v>
      </c>
      <c r="L313" s="183">
        <v>12</v>
      </c>
      <c r="N313" s="182" t="s">
        <v>30</v>
      </c>
      <c r="O313" s="183">
        <v>12</v>
      </c>
    </row>
    <row r="314" spans="1:32" ht="180.75" customHeight="1" x14ac:dyDescent="0.2">
      <c r="A314" s="45"/>
      <c r="B314" s="1862" t="s">
        <v>311</v>
      </c>
      <c r="C314" s="1863"/>
      <c r="D314" s="1863"/>
      <c r="E314" s="1863"/>
      <c r="F314" s="1863"/>
      <c r="G314" s="1863"/>
      <c r="H314" s="1863"/>
      <c r="I314" s="1863"/>
      <c r="J314" s="1864"/>
      <c r="K314" s="226" t="s">
        <v>310</v>
      </c>
      <c r="L314" s="183">
        <v>12</v>
      </c>
      <c r="M314" s="181"/>
      <c r="O314" s="183">
        <v>12</v>
      </c>
    </row>
    <row r="315" spans="1:32" ht="65.25" customHeight="1" x14ac:dyDescent="0.2">
      <c r="A315" s="45"/>
      <c r="B315" s="471" t="s">
        <v>312</v>
      </c>
      <c r="C315" s="1169" t="s">
        <v>313</v>
      </c>
      <c r="D315" s="1170"/>
      <c r="E315" s="1170"/>
      <c r="F315" s="1170"/>
      <c r="G315" s="1170"/>
      <c r="H315" s="1171"/>
      <c r="I315" s="539">
        <v>0</v>
      </c>
      <c r="J315" s="75">
        <v>1</v>
      </c>
      <c r="K315" s="226" t="s">
        <v>310</v>
      </c>
      <c r="L315" s="183">
        <v>12</v>
      </c>
      <c r="N315" s="182" t="s">
        <v>30</v>
      </c>
      <c r="O315" s="183">
        <v>12</v>
      </c>
    </row>
    <row r="316" spans="1:32" ht="402" customHeight="1" x14ac:dyDescent="0.2">
      <c r="A316" s="45"/>
      <c r="B316" s="581" t="s">
        <v>314</v>
      </c>
      <c r="C316" s="1695" t="s">
        <v>315</v>
      </c>
      <c r="D316" s="1696"/>
      <c r="E316" s="1696"/>
      <c r="F316" s="1696"/>
      <c r="G316" s="1696"/>
      <c r="H316" s="1697"/>
      <c r="I316" s="629">
        <v>0</v>
      </c>
      <c r="J316" s="121">
        <v>1</v>
      </c>
      <c r="K316" s="663" t="s">
        <v>310</v>
      </c>
      <c r="L316" s="183">
        <v>12</v>
      </c>
      <c r="N316" s="182" t="s">
        <v>30</v>
      </c>
      <c r="O316" s="183">
        <v>12</v>
      </c>
    </row>
    <row r="317" spans="1:32" ht="117.75" customHeight="1" x14ac:dyDescent="0.2">
      <c r="A317" s="45"/>
      <c r="B317" s="538" t="s">
        <v>316</v>
      </c>
      <c r="C317" s="1858" t="s">
        <v>317</v>
      </c>
      <c r="D317" s="1859"/>
      <c r="E317" s="1859"/>
      <c r="F317" s="1859"/>
      <c r="G317" s="1859"/>
      <c r="H317" s="1860"/>
      <c r="I317" s="409">
        <v>0</v>
      </c>
      <c r="J317" s="42">
        <v>1</v>
      </c>
      <c r="K317" s="663" t="s">
        <v>310</v>
      </c>
      <c r="L317" s="183">
        <v>12</v>
      </c>
      <c r="N317" s="182" t="s">
        <v>30</v>
      </c>
      <c r="O317" s="183">
        <v>12</v>
      </c>
    </row>
    <row r="318" spans="1:32" ht="20.100000000000001" customHeight="1" x14ac:dyDescent="0.2">
      <c r="A318" s="45"/>
      <c r="B318" s="664"/>
      <c r="C318" s="665"/>
      <c r="D318" s="665"/>
      <c r="E318" s="665"/>
      <c r="F318" s="665"/>
      <c r="G318" s="665"/>
      <c r="H318" s="665"/>
      <c r="I318" s="666"/>
      <c r="J318" s="180"/>
    </row>
    <row r="319" spans="1:32" ht="30" customHeight="1" x14ac:dyDescent="0.2">
      <c r="A319" s="45"/>
      <c r="B319" s="1159" t="s">
        <v>318</v>
      </c>
      <c r="C319" s="1160"/>
      <c r="D319" s="1160"/>
      <c r="E319" s="1160"/>
      <c r="F319" s="1160"/>
      <c r="G319" s="1160"/>
      <c r="H319" s="1160"/>
      <c r="I319" s="34" t="s">
        <v>130</v>
      </c>
      <c r="J319" s="89" t="s">
        <v>18</v>
      </c>
      <c r="K319" s="36" t="s">
        <v>319</v>
      </c>
      <c r="L319" s="36" t="s">
        <v>319</v>
      </c>
      <c r="M319" s="181"/>
      <c r="N319" s="182" t="s">
        <v>30</v>
      </c>
      <c r="O319" s="183">
        <v>13</v>
      </c>
      <c r="P319"/>
    </row>
    <row r="320" spans="1:32" ht="39.75" customHeight="1" x14ac:dyDescent="0.2">
      <c r="A320" s="45"/>
      <c r="B320" s="949" t="s">
        <v>320</v>
      </c>
      <c r="C320" s="950"/>
      <c r="D320" s="950"/>
      <c r="E320" s="950"/>
      <c r="F320" s="950"/>
      <c r="G320" s="950"/>
      <c r="H320" s="950"/>
      <c r="I320" s="950"/>
      <c r="J320" s="951"/>
      <c r="K320" s="36" t="s">
        <v>319</v>
      </c>
      <c r="L320" s="36" t="s">
        <v>319</v>
      </c>
      <c r="M320" s="181"/>
      <c r="O320" s="67"/>
      <c r="P320"/>
    </row>
    <row r="321" spans="1:25" ht="32.25" customHeight="1" x14ac:dyDescent="0.2">
      <c r="A321" s="45"/>
      <c r="B321" s="1172" t="s">
        <v>26</v>
      </c>
      <c r="C321" s="985" t="s">
        <v>32</v>
      </c>
      <c r="D321" s="986"/>
      <c r="E321" s="986" t="s">
        <v>200</v>
      </c>
      <c r="F321" s="986"/>
      <c r="G321" s="986" t="s">
        <v>29</v>
      </c>
      <c r="H321" s="987"/>
      <c r="I321" s="1138">
        <f>+'[2]Datos CESANTES'!$D$3</f>
        <v>35</v>
      </c>
      <c r="J321" s="1141">
        <f>+'[2]Datos CESANTES'!$E$3</f>
        <v>0.9</v>
      </c>
      <c r="K321" s="43" t="s">
        <v>26</v>
      </c>
      <c r="L321" s="36" t="s">
        <v>319</v>
      </c>
      <c r="M321" s="181"/>
      <c r="N321" s="182" t="s">
        <v>30</v>
      </c>
      <c r="O321" s="183">
        <v>13</v>
      </c>
      <c r="P321"/>
      <c r="U321" s="70"/>
      <c r="V321" s="184"/>
      <c r="W321" s="185"/>
      <c r="X321" s="186"/>
      <c r="Y321" s="69"/>
    </row>
    <row r="322" spans="1:25" ht="31.5" customHeight="1" x14ac:dyDescent="0.2">
      <c r="A322" s="45"/>
      <c r="B322" s="1174"/>
      <c r="C322" s="1147" t="s">
        <v>37</v>
      </c>
      <c r="D322" s="1148"/>
      <c r="E322" s="967" t="s">
        <v>27</v>
      </c>
      <c r="F322" s="967"/>
      <c r="G322" s="944" t="s">
        <v>36</v>
      </c>
      <c r="H322" s="945"/>
      <c r="I322" s="1140"/>
      <c r="J322" s="1143"/>
      <c r="K322" s="43" t="s">
        <v>26</v>
      </c>
      <c r="L322" s="36" t="s">
        <v>319</v>
      </c>
      <c r="M322" s="181"/>
      <c r="N322" s="4"/>
      <c r="O322" s="183">
        <v>13</v>
      </c>
      <c r="P322"/>
      <c r="U322" s="70"/>
      <c r="V322" s="70"/>
      <c r="W322" s="187"/>
      <c r="X322" s="69"/>
      <c r="Y322" s="69"/>
    </row>
    <row r="323" spans="1:25" ht="39.950000000000003" customHeight="1" x14ac:dyDescent="0.2">
      <c r="A323" s="45"/>
      <c r="B323" s="952" t="s">
        <v>40</v>
      </c>
      <c r="C323" s="985" t="s">
        <v>41</v>
      </c>
      <c r="D323" s="986"/>
      <c r="E323" s="1149" t="s">
        <v>42</v>
      </c>
      <c r="F323" s="1149"/>
      <c r="G323" s="986" t="s">
        <v>43</v>
      </c>
      <c r="H323" s="987"/>
      <c r="I323" s="1153">
        <f>+'[2]Datos CESANTES'!$D$4</f>
        <v>35</v>
      </c>
      <c r="J323" s="1156">
        <f>+'[2]Datos CESANTES'!$E$4</f>
        <v>0.9</v>
      </c>
      <c r="K323" s="43" t="s">
        <v>40</v>
      </c>
      <c r="L323" s="36" t="s">
        <v>319</v>
      </c>
      <c r="M323" s="181"/>
      <c r="N323" s="182" t="s">
        <v>30</v>
      </c>
      <c r="O323" s="183">
        <v>13</v>
      </c>
      <c r="P323"/>
      <c r="U323" s="70"/>
      <c r="V323" s="70"/>
      <c r="W323" s="187"/>
      <c r="X323" s="69"/>
      <c r="Y323" s="69"/>
    </row>
    <row r="324" spans="1:25" s="24" customFormat="1" ht="39.950000000000003" customHeight="1" x14ac:dyDescent="0.2">
      <c r="B324" s="953"/>
      <c r="C324" s="1144" t="s">
        <v>44</v>
      </c>
      <c r="D324" s="1145"/>
      <c r="E324" s="1145" t="s">
        <v>51</v>
      </c>
      <c r="F324" s="1145"/>
      <c r="G324" s="1145" t="s">
        <v>49</v>
      </c>
      <c r="H324" s="1146"/>
      <c r="I324" s="1154"/>
      <c r="J324" s="1157"/>
      <c r="K324" s="43" t="s">
        <v>40</v>
      </c>
      <c r="L324" s="36" t="s">
        <v>319</v>
      </c>
      <c r="M324" s="181"/>
      <c r="N324" s="4"/>
      <c r="O324" s="183">
        <v>13</v>
      </c>
      <c r="P324"/>
    </row>
    <row r="325" spans="1:25" s="24" customFormat="1" ht="39.950000000000003" customHeight="1" x14ac:dyDescent="0.2">
      <c r="B325" s="953"/>
      <c r="C325" s="965" t="s">
        <v>59</v>
      </c>
      <c r="D325" s="957"/>
      <c r="E325" s="1145" t="s">
        <v>48</v>
      </c>
      <c r="F325" s="1145"/>
      <c r="G325" s="957" t="s">
        <v>62</v>
      </c>
      <c r="H325" s="958"/>
      <c r="I325" s="1154"/>
      <c r="J325" s="1157"/>
      <c r="K325" s="43" t="s">
        <v>40</v>
      </c>
      <c r="L325" s="36" t="s">
        <v>319</v>
      </c>
      <c r="M325" s="181"/>
      <c r="N325" s="4"/>
      <c r="O325" s="183">
        <v>13</v>
      </c>
      <c r="P325"/>
    </row>
    <row r="326" spans="1:25" s="24" customFormat="1" ht="39.950000000000003" customHeight="1" x14ac:dyDescent="0.2">
      <c r="A326" s="18"/>
      <c r="B326" s="953"/>
      <c r="C326" s="965" t="s">
        <v>60</v>
      </c>
      <c r="D326" s="957"/>
      <c r="E326" s="1145" t="s">
        <v>54</v>
      </c>
      <c r="F326" s="1145"/>
      <c r="G326" s="957" t="s">
        <v>52</v>
      </c>
      <c r="H326" s="958"/>
      <c r="I326" s="1154"/>
      <c r="J326" s="1157"/>
      <c r="K326" s="43" t="s">
        <v>40</v>
      </c>
      <c r="L326" s="36" t="s">
        <v>319</v>
      </c>
      <c r="M326" s="181"/>
      <c r="N326" s="4"/>
      <c r="O326" s="183">
        <v>13</v>
      </c>
      <c r="P326"/>
    </row>
    <row r="327" spans="1:25" s="24" customFormat="1" ht="39.950000000000003" customHeight="1" x14ac:dyDescent="0.2">
      <c r="B327" s="953"/>
      <c r="C327" s="965" t="s">
        <v>45</v>
      </c>
      <c r="D327" s="957"/>
      <c r="E327" s="957" t="s">
        <v>248</v>
      </c>
      <c r="F327" s="957"/>
      <c r="G327" s="957" t="s">
        <v>321</v>
      </c>
      <c r="H327" s="958"/>
      <c r="I327" s="1154"/>
      <c r="J327" s="1157"/>
      <c r="K327" s="43" t="s">
        <v>40</v>
      </c>
      <c r="L327" s="36" t="s">
        <v>319</v>
      </c>
      <c r="M327" s="181"/>
      <c r="N327" s="4"/>
      <c r="O327" s="183">
        <v>13</v>
      </c>
      <c r="P327"/>
    </row>
    <row r="328" spans="1:25" s="24" customFormat="1" ht="39.950000000000003" customHeight="1" x14ac:dyDescent="0.2">
      <c r="B328" s="954"/>
      <c r="C328" s="1147" t="s">
        <v>322</v>
      </c>
      <c r="D328" s="1148"/>
      <c r="E328" s="1148"/>
      <c r="F328" s="1148"/>
      <c r="G328" s="1148"/>
      <c r="H328" s="1152"/>
      <c r="I328" s="1155"/>
      <c r="J328" s="1158"/>
      <c r="K328" s="43" t="s">
        <v>40</v>
      </c>
      <c r="L328" s="36" t="s">
        <v>319</v>
      </c>
      <c r="M328" s="181"/>
      <c r="N328" s="4"/>
      <c r="O328" s="183">
        <v>13</v>
      </c>
      <c r="P328"/>
    </row>
    <row r="329" spans="1:25" s="24" customFormat="1" ht="39.950000000000003" customHeight="1" x14ac:dyDescent="0.2">
      <c r="B329" s="952" t="s">
        <v>71</v>
      </c>
      <c r="C329" s="1150" t="s">
        <v>72</v>
      </c>
      <c r="D329" s="1149"/>
      <c r="E329" s="1149" t="s">
        <v>80</v>
      </c>
      <c r="F329" s="1149"/>
      <c r="G329" s="1149" t="s">
        <v>74</v>
      </c>
      <c r="H329" s="1151"/>
      <c r="I329" s="1138">
        <f>+'[2]Datos CESANTES'!$D$5</f>
        <v>40</v>
      </c>
      <c r="J329" s="1141">
        <f>+'[2]Datos CESANTES'!$E$5</f>
        <v>0.9</v>
      </c>
      <c r="K329" s="43" t="s">
        <v>71</v>
      </c>
      <c r="L329" s="36" t="s">
        <v>319</v>
      </c>
      <c r="M329" s="181"/>
      <c r="N329" s="182" t="s">
        <v>30</v>
      </c>
      <c r="O329" s="183">
        <v>13</v>
      </c>
      <c r="P329"/>
    </row>
    <row r="330" spans="1:25" s="24" customFormat="1" ht="39.950000000000003" customHeight="1" x14ac:dyDescent="0.2">
      <c r="B330" s="953"/>
      <c r="C330" s="1144" t="s">
        <v>75</v>
      </c>
      <c r="D330" s="1145"/>
      <c r="E330" s="1145" t="s">
        <v>82</v>
      </c>
      <c r="F330" s="1145"/>
      <c r="G330" s="1145" t="s">
        <v>73</v>
      </c>
      <c r="H330" s="1146"/>
      <c r="I330" s="1139"/>
      <c r="J330" s="1142"/>
      <c r="K330" s="43" t="s">
        <v>71</v>
      </c>
      <c r="L330" s="36" t="s">
        <v>319</v>
      </c>
      <c r="M330" s="181"/>
      <c r="N330" s="4"/>
      <c r="O330" s="183">
        <v>13</v>
      </c>
      <c r="P330"/>
    </row>
    <row r="331" spans="1:25" s="24" customFormat="1" ht="39.950000000000003" customHeight="1" x14ac:dyDescent="0.2">
      <c r="B331" s="953"/>
      <c r="C331" s="1144" t="s">
        <v>81</v>
      </c>
      <c r="D331" s="1145"/>
      <c r="E331" s="1145" t="s">
        <v>79</v>
      </c>
      <c r="F331" s="1145"/>
      <c r="G331" s="1145" t="s">
        <v>78</v>
      </c>
      <c r="H331" s="1146"/>
      <c r="I331" s="1139"/>
      <c r="J331" s="1142"/>
      <c r="K331" s="43" t="s">
        <v>71</v>
      </c>
      <c r="L331" s="36" t="s">
        <v>319</v>
      </c>
      <c r="M331" s="181"/>
      <c r="N331" s="4"/>
      <c r="O331" s="183">
        <v>13</v>
      </c>
      <c r="P331"/>
    </row>
    <row r="332" spans="1:25" s="24" customFormat="1" ht="39.950000000000003" customHeight="1" x14ac:dyDescent="0.2">
      <c r="B332" s="954"/>
      <c r="C332" s="971" t="s">
        <v>177</v>
      </c>
      <c r="D332" s="944"/>
      <c r="E332" s="944" t="s">
        <v>39</v>
      </c>
      <c r="F332" s="944"/>
      <c r="G332" s="944"/>
      <c r="H332" s="945"/>
      <c r="I332" s="1140"/>
      <c r="J332" s="1143"/>
      <c r="K332" s="43" t="s">
        <v>71</v>
      </c>
      <c r="L332" s="36" t="s">
        <v>319</v>
      </c>
      <c r="M332" s="181"/>
      <c r="N332" s="4"/>
      <c r="O332" s="183">
        <v>13</v>
      </c>
      <c r="P332"/>
    </row>
    <row r="333" spans="1:25" s="24" customFormat="1" ht="39.950000000000003" customHeight="1" x14ac:dyDescent="0.2">
      <c r="B333" s="952" t="s">
        <v>85</v>
      </c>
      <c r="C333" s="1150" t="s">
        <v>577</v>
      </c>
      <c r="D333" s="1149"/>
      <c r="E333" s="1149" t="s">
        <v>378</v>
      </c>
      <c r="F333" s="1149"/>
      <c r="G333" s="986" t="s">
        <v>342</v>
      </c>
      <c r="H333" s="987"/>
      <c r="I333" s="1138">
        <f>+'[2]Datos CESANTES'!$D$6</f>
        <v>40</v>
      </c>
      <c r="J333" s="1141">
        <f>+'[2]Datos CESANTES'!$E$6</f>
        <v>0.85</v>
      </c>
      <c r="K333" s="43" t="s">
        <v>85</v>
      </c>
      <c r="L333" s="36" t="s">
        <v>319</v>
      </c>
      <c r="M333" s="181"/>
      <c r="N333" s="182" t="s">
        <v>30</v>
      </c>
      <c r="O333" s="183">
        <v>13</v>
      </c>
      <c r="P333"/>
    </row>
    <row r="334" spans="1:25" s="24" customFormat="1" ht="30" customHeight="1" x14ac:dyDescent="0.2">
      <c r="B334" s="953"/>
      <c r="C334" s="1144" t="s">
        <v>86</v>
      </c>
      <c r="D334" s="1145"/>
      <c r="E334" s="1145" t="s">
        <v>574</v>
      </c>
      <c r="F334" s="1145"/>
      <c r="G334" s="1145" t="s">
        <v>580</v>
      </c>
      <c r="H334" s="1146"/>
      <c r="I334" s="1139"/>
      <c r="J334" s="1142"/>
      <c r="K334" s="43" t="s">
        <v>85</v>
      </c>
      <c r="L334" s="36" t="s">
        <v>319</v>
      </c>
      <c r="M334" s="181"/>
      <c r="N334" s="4"/>
      <c r="O334" s="183">
        <v>13</v>
      </c>
      <c r="P334"/>
    </row>
    <row r="335" spans="1:25" s="24" customFormat="1" ht="39.950000000000003" customHeight="1" x14ac:dyDescent="0.2">
      <c r="B335" s="953"/>
      <c r="C335" s="1144" t="s">
        <v>576</v>
      </c>
      <c r="D335" s="1145"/>
      <c r="E335" s="1145" t="s">
        <v>578</v>
      </c>
      <c r="F335" s="1145"/>
      <c r="G335" s="957" t="s">
        <v>657</v>
      </c>
      <c r="H335" s="958"/>
      <c r="I335" s="1139"/>
      <c r="J335" s="1142"/>
      <c r="K335" s="43" t="s">
        <v>85</v>
      </c>
      <c r="L335" s="36" t="s">
        <v>319</v>
      </c>
      <c r="M335" s="181"/>
      <c r="N335" s="4"/>
      <c r="O335" s="183">
        <v>13</v>
      </c>
      <c r="P335"/>
    </row>
    <row r="336" spans="1:25" s="24" customFormat="1" ht="30" customHeight="1" x14ac:dyDescent="0.2">
      <c r="B336" s="952" t="s">
        <v>87</v>
      </c>
      <c r="C336" s="1150" t="s">
        <v>92</v>
      </c>
      <c r="D336" s="1149"/>
      <c r="E336" s="1149" t="s">
        <v>89</v>
      </c>
      <c r="F336" s="1149"/>
      <c r="G336" s="1149" t="s">
        <v>90</v>
      </c>
      <c r="H336" s="1151"/>
      <c r="I336" s="1138">
        <f>+'[2]Datos CESANTES'!$D$7</f>
        <v>45</v>
      </c>
      <c r="J336" s="1141">
        <f>+'[2]Datos CESANTES'!$E$7</f>
        <v>0.85</v>
      </c>
      <c r="K336" s="43" t="s">
        <v>87</v>
      </c>
      <c r="L336" s="36" t="s">
        <v>319</v>
      </c>
      <c r="M336" s="181"/>
      <c r="N336" s="182" t="s">
        <v>30</v>
      </c>
      <c r="O336" s="183">
        <v>13</v>
      </c>
      <c r="P336"/>
    </row>
    <row r="337" spans="1:17" s="24" customFormat="1" ht="39.950000000000003" customHeight="1" x14ac:dyDescent="0.2">
      <c r="B337" s="953"/>
      <c r="C337" s="1144" t="s">
        <v>88</v>
      </c>
      <c r="D337" s="1145"/>
      <c r="E337" s="1145" t="s">
        <v>323</v>
      </c>
      <c r="F337" s="1145"/>
      <c r="G337" s="1145" t="s">
        <v>95</v>
      </c>
      <c r="H337" s="1146"/>
      <c r="I337" s="1139"/>
      <c r="J337" s="1142"/>
      <c r="K337" s="43" t="s">
        <v>87</v>
      </c>
      <c r="L337" s="36" t="s">
        <v>319</v>
      </c>
      <c r="M337" s="181"/>
      <c r="N337" s="4"/>
      <c r="O337" s="183">
        <v>13</v>
      </c>
      <c r="P337"/>
    </row>
    <row r="338" spans="1:17" s="24" customFormat="1" ht="39.950000000000003" customHeight="1" x14ac:dyDescent="0.2">
      <c r="B338" s="954"/>
      <c r="C338" s="1147" t="s">
        <v>94</v>
      </c>
      <c r="D338" s="1148"/>
      <c r="E338" s="159"/>
      <c r="F338" s="159"/>
      <c r="G338" s="159"/>
      <c r="H338" s="380"/>
      <c r="I338" s="1140"/>
      <c r="J338" s="1143"/>
      <c r="K338" s="43" t="s">
        <v>87</v>
      </c>
      <c r="L338" s="36" t="s">
        <v>319</v>
      </c>
      <c r="M338" s="181"/>
      <c r="N338" s="4"/>
      <c r="O338" s="183">
        <v>13</v>
      </c>
      <c r="P338"/>
    </row>
    <row r="339" spans="1:17" s="24" customFormat="1" ht="30" customHeight="1" x14ac:dyDescent="0.2">
      <c r="B339" s="982" t="s">
        <v>567</v>
      </c>
      <c r="C339" s="1853" t="s">
        <v>134</v>
      </c>
      <c r="D339" s="1854"/>
      <c r="E339" s="1855" t="s">
        <v>652</v>
      </c>
      <c r="F339" s="1855"/>
      <c r="G339" s="1149" t="s">
        <v>570</v>
      </c>
      <c r="H339" s="1151"/>
      <c r="I339" s="1138">
        <f>+'[2]Datos CESANTES'!$D$8</f>
        <v>45</v>
      </c>
      <c r="J339" s="1141">
        <f>+'[2]Datos CESANTES'!$E$8</f>
        <v>0.85</v>
      </c>
      <c r="K339" s="43" t="s">
        <v>567</v>
      </c>
      <c r="L339" s="36" t="s">
        <v>319</v>
      </c>
      <c r="M339" s="181"/>
      <c r="N339" s="182" t="s">
        <v>30</v>
      </c>
      <c r="O339" s="183">
        <v>13</v>
      </c>
      <c r="P339"/>
    </row>
    <row r="340" spans="1:17" s="24" customFormat="1" ht="39.950000000000003" customHeight="1" x14ac:dyDescent="0.2">
      <c r="B340" s="983"/>
      <c r="C340" s="1856" t="s">
        <v>653</v>
      </c>
      <c r="D340" s="1857"/>
      <c r="E340" s="798" t="s">
        <v>654</v>
      </c>
      <c r="F340" s="798" t="s">
        <v>655</v>
      </c>
      <c r="G340" s="1148" t="s">
        <v>656</v>
      </c>
      <c r="H340" s="1152"/>
      <c r="I340" s="1139"/>
      <c r="J340" s="1142"/>
      <c r="K340" s="43" t="s">
        <v>567</v>
      </c>
      <c r="L340" s="36" t="s">
        <v>319</v>
      </c>
      <c r="M340" s="181"/>
      <c r="N340" s="4"/>
      <c r="O340" s="183">
        <v>13</v>
      </c>
      <c r="P340"/>
    </row>
    <row r="341" spans="1:17" s="18" customFormat="1" ht="39.950000000000003" customHeight="1" x14ac:dyDescent="0.25">
      <c r="A341" s="23"/>
      <c r="B341" s="381" t="s">
        <v>584</v>
      </c>
      <c r="C341" s="1847" t="s">
        <v>587</v>
      </c>
      <c r="D341" s="1848"/>
      <c r="E341" s="1849" t="s">
        <v>658</v>
      </c>
      <c r="F341" s="1849"/>
      <c r="G341" s="1849"/>
      <c r="H341" s="1850"/>
      <c r="I341" s="382">
        <f>+'[2]Datos CESANTES'!$D$10</f>
        <v>50</v>
      </c>
      <c r="J341" s="53">
        <f>+'[2]Datos CESANTES'!$E$10</f>
        <v>0.85</v>
      </c>
      <c r="K341" s="43" t="s">
        <v>584</v>
      </c>
      <c r="L341" s="36" t="s">
        <v>319</v>
      </c>
      <c r="M341" s="181"/>
      <c r="N341" s="67"/>
      <c r="O341" s="183">
        <v>13</v>
      </c>
      <c r="P341"/>
      <c r="Q341" s="383"/>
    </row>
    <row r="342" spans="1:17" s="18" customFormat="1" ht="30" customHeight="1" x14ac:dyDescent="0.25">
      <c r="A342" s="23"/>
      <c r="B342" s="1408" t="s">
        <v>571</v>
      </c>
      <c r="C342" s="1851" t="s">
        <v>596</v>
      </c>
      <c r="D342" s="1852"/>
      <c r="E342" s="1195" t="s">
        <v>597</v>
      </c>
      <c r="F342" s="1195"/>
      <c r="G342" s="1412" t="s">
        <v>598</v>
      </c>
      <c r="H342" s="1413"/>
      <c r="I342" s="1397">
        <f>+'[2]Datos CESANTES'!$D$9</f>
        <v>40</v>
      </c>
      <c r="J342" s="915">
        <f>+'[2]Datos CESANTES'!$E$9</f>
        <v>0.85</v>
      </c>
      <c r="K342" s="43" t="s">
        <v>571</v>
      </c>
      <c r="L342" s="36" t="s">
        <v>319</v>
      </c>
      <c r="M342" s="181"/>
      <c r="N342" s="182" t="s">
        <v>30</v>
      </c>
      <c r="O342" s="183">
        <v>13</v>
      </c>
      <c r="P342"/>
      <c r="Q342" s="383"/>
    </row>
    <row r="343" spans="1:17" s="18" customFormat="1" ht="30" customHeight="1" x14ac:dyDescent="0.25">
      <c r="A343" s="23"/>
      <c r="B343" s="1409"/>
      <c r="C343" s="1845" t="s">
        <v>599</v>
      </c>
      <c r="D343" s="1846"/>
      <c r="E343" s="1846"/>
      <c r="F343" s="1846"/>
      <c r="G343" s="667"/>
      <c r="H343" s="668"/>
      <c r="I343" s="1398"/>
      <c r="J343" s="916"/>
      <c r="K343" s="43" t="s">
        <v>571</v>
      </c>
      <c r="L343" s="36" t="s">
        <v>319</v>
      </c>
      <c r="M343" s="181"/>
      <c r="N343" s="4"/>
      <c r="O343" s="183">
        <v>13</v>
      </c>
      <c r="P343"/>
      <c r="Q343" s="383"/>
    </row>
    <row r="344" spans="1:17" s="18" customFormat="1" ht="39.950000000000003" customHeight="1" x14ac:dyDescent="0.25">
      <c r="B344" s="327" t="s">
        <v>591</v>
      </c>
      <c r="C344" s="1401" t="s">
        <v>592</v>
      </c>
      <c r="D344" s="1402"/>
      <c r="E344" s="1402" t="s">
        <v>176</v>
      </c>
      <c r="F344" s="1402"/>
      <c r="G344" s="1402"/>
      <c r="H344" s="1403"/>
      <c r="I344" s="328">
        <f>+'[2]Datos CESANTES'!$D$11</f>
        <v>80</v>
      </c>
      <c r="J344" s="353">
        <f>+'[2]Datos CESANTES'!$E$11</f>
        <v>0.75</v>
      </c>
      <c r="K344" s="43" t="s">
        <v>591</v>
      </c>
      <c r="L344" s="36" t="s">
        <v>319</v>
      </c>
      <c r="M344" s="431"/>
      <c r="N344" s="383"/>
      <c r="O344" s="37">
        <v>13</v>
      </c>
      <c r="P344" s="383"/>
      <c r="Q344" s="383"/>
    </row>
    <row r="345" spans="1:17" s="18" customFormat="1" ht="39.950000000000003" customHeight="1" x14ac:dyDescent="0.25">
      <c r="B345" s="327" t="s">
        <v>758</v>
      </c>
      <c r="C345" s="1401" t="s">
        <v>765</v>
      </c>
      <c r="D345" s="1402"/>
      <c r="E345" s="1402"/>
      <c r="F345" s="1402"/>
      <c r="G345" s="1402"/>
      <c r="H345" s="1403"/>
      <c r="I345" s="328">
        <f>+'[2]Datos CESANTES'!$D$12</f>
        <v>90</v>
      </c>
      <c r="J345" s="353">
        <f>+'[2]Datos CESANTES'!$E$12</f>
        <v>0.7</v>
      </c>
      <c r="K345" s="43" t="s">
        <v>758</v>
      </c>
      <c r="L345" s="36" t="s">
        <v>319</v>
      </c>
      <c r="M345" s="431"/>
      <c r="N345" s="46" t="s">
        <v>30</v>
      </c>
      <c r="O345" s="37">
        <v>13</v>
      </c>
      <c r="P345" s="383"/>
      <c r="Q345" s="383"/>
    </row>
    <row r="346" spans="1:17" s="18" customFormat="1" ht="39.950000000000003" customHeight="1" x14ac:dyDescent="0.25">
      <c r="A346" s="24"/>
      <c r="B346" s="96" t="s">
        <v>767</v>
      </c>
      <c r="C346" s="1401" t="s">
        <v>779</v>
      </c>
      <c r="D346" s="1402"/>
      <c r="E346" s="1402" t="s">
        <v>783</v>
      </c>
      <c r="F346" s="1402"/>
      <c r="G346" s="1402" t="s">
        <v>768</v>
      </c>
      <c r="H346" s="1403"/>
      <c r="I346" s="74">
        <v>120</v>
      </c>
      <c r="J346" s="75">
        <v>0.6</v>
      </c>
      <c r="K346" s="383"/>
      <c r="L346" s="383"/>
      <c r="M346" s="431" t="s">
        <v>757</v>
      </c>
      <c r="N346" s="46" t="s">
        <v>30</v>
      </c>
      <c r="O346" s="383"/>
      <c r="P346" s="383"/>
      <c r="Q346" s="383"/>
    </row>
    <row r="347" spans="1:17" s="18" customFormat="1" ht="60" customHeight="1" x14ac:dyDescent="0.25">
      <c r="A347" s="24"/>
      <c r="B347" s="1279" t="s">
        <v>312</v>
      </c>
      <c r="C347" s="1519" t="s">
        <v>784</v>
      </c>
      <c r="D347" s="1520"/>
      <c r="E347" s="1520"/>
      <c r="F347" s="1520"/>
      <c r="G347" s="1520"/>
      <c r="H347" s="1521"/>
      <c r="I347" s="74">
        <v>0</v>
      </c>
      <c r="J347" s="75">
        <v>1</v>
      </c>
      <c r="K347" s="383"/>
      <c r="L347" s="383"/>
      <c r="M347" s="431" t="s">
        <v>757</v>
      </c>
      <c r="N347" s="46" t="s">
        <v>30</v>
      </c>
      <c r="O347" s="383"/>
      <c r="P347" s="383"/>
      <c r="Q347" s="383"/>
    </row>
    <row r="348" spans="1:17" s="18" customFormat="1" ht="39.950000000000003" customHeight="1" x14ac:dyDescent="0.25">
      <c r="A348" s="24"/>
      <c r="B348" s="1280"/>
      <c r="C348" s="1522" t="s">
        <v>779</v>
      </c>
      <c r="D348" s="1523"/>
      <c r="E348" s="1523" t="s">
        <v>783</v>
      </c>
      <c r="F348" s="1523"/>
      <c r="G348" s="1523" t="s">
        <v>768</v>
      </c>
      <c r="H348" s="1524"/>
      <c r="I348" s="74" t="s">
        <v>785</v>
      </c>
      <c r="J348" s="75" t="s">
        <v>785</v>
      </c>
      <c r="K348" s="383"/>
      <c r="L348" s="383"/>
      <c r="M348" s="431" t="s">
        <v>757</v>
      </c>
      <c r="N348" s="383"/>
      <c r="O348" s="383"/>
      <c r="P348" s="383"/>
      <c r="Q348" s="383"/>
    </row>
    <row r="349" spans="1:17" s="18" customFormat="1" ht="30" customHeight="1" x14ac:dyDescent="0.25">
      <c r="A349" s="24"/>
      <c r="B349" s="901" t="s">
        <v>325</v>
      </c>
      <c r="C349" s="902"/>
      <c r="D349" s="902"/>
      <c r="E349" s="902"/>
      <c r="F349" s="902"/>
      <c r="G349" s="902"/>
      <c r="H349" s="902"/>
      <c r="I349" s="902"/>
      <c r="J349" s="903"/>
      <c r="K349" s="383"/>
      <c r="L349" s="383"/>
      <c r="M349" s="431" t="s">
        <v>757</v>
      </c>
      <c r="N349" s="383"/>
      <c r="O349" s="383"/>
      <c r="P349" s="383"/>
      <c r="Q349" s="383"/>
    </row>
    <row r="350" spans="1:17" ht="20.100000000000001" customHeight="1" x14ac:dyDescent="0.2">
      <c r="A350" s="45"/>
      <c r="B350" s="591"/>
      <c r="C350" s="648"/>
      <c r="D350" s="648"/>
      <c r="E350" s="648"/>
      <c r="F350" s="648"/>
      <c r="G350" s="648"/>
      <c r="H350" s="648"/>
      <c r="I350" s="593"/>
      <c r="J350" s="65"/>
    </row>
    <row r="351" spans="1:17" ht="30" customHeight="1" x14ac:dyDescent="0.2">
      <c r="A351" s="45"/>
      <c r="B351" s="1675" t="s">
        <v>326</v>
      </c>
      <c r="C351" s="1676"/>
      <c r="D351" s="1676"/>
      <c r="E351" s="1676"/>
      <c r="F351" s="1676"/>
      <c r="G351" s="1676"/>
      <c r="H351" s="1677"/>
      <c r="I351" s="406" t="s">
        <v>17</v>
      </c>
      <c r="J351" s="193" t="s">
        <v>18</v>
      </c>
      <c r="K351" s="669" t="s">
        <v>327</v>
      </c>
      <c r="L351" s="238">
        <v>14</v>
      </c>
      <c r="M351" s="181"/>
      <c r="N351" s="182" t="s">
        <v>30</v>
      </c>
      <c r="O351" s="238">
        <v>14</v>
      </c>
    </row>
    <row r="352" spans="1:17" s="66" customFormat="1" ht="39.950000000000003" customHeight="1" x14ac:dyDescent="0.2">
      <c r="B352" s="471" t="s">
        <v>328</v>
      </c>
      <c r="C352" s="1169" t="s">
        <v>787</v>
      </c>
      <c r="D352" s="1162"/>
      <c r="E352" s="1162"/>
      <c r="F352" s="1162"/>
      <c r="G352" s="1162"/>
      <c r="H352" s="1163"/>
      <c r="I352" s="539">
        <v>0</v>
      </c>
      <c r="J352" s="75">
        <v>1</v>
      </c>
      <c r="K352" s="669" t="s">
        <v>327</v>
      </c>
      <c r="L352" s="238">
        <v>14</v>
      </c>
      <c r="M352" s="67"/>
      <c r="N352" s="67"/>
      <c r="O352" s="238">
        <v>14</v>
      </c>
    </row>
    <row r="353" spans="1:32" s="66" customFormat="1" ht="39" customHeight="1" x14ac:dyDescent="0.2">
      <c r="B353" s="471" t="s">
        <v>701</v>
      </c>
      <c r="C353" s="1252" t="s">
        <v>787</v>
      </c>
      <c r="D353" s="1844"/>
      <c r="E353" s="1844"/>
      <c r="F353" s="1844"/>
      <c r="G353" s="1844"/>
      <c r="H353" s="1844"/>
      <c r="I353" s="539">
        <v>0</v>
      </c>
      <c r="J353" s="75">
        <v>0.8</v>
      </c>
      <c r="K353" s="669" t="s">
        <v>327</v>
      </c>
      <c r="L353" s="238">
        <v>14</v>
      </c>
      <c r="M353" s="67"/>
      <c r="N353" s="67"/>
      <c r="O353" s="238">
        <v>14</v>
      </c>
    </row>
    <row r="354" spans="1:32" ht="20.100000000000001" customHeight="1" x14ac:dyDescent="0.2">
      <c r="A354" s="45"/>
      <c r="B354" s="591"/>
      <c r="C354" s="648"/>
      <c r="D354" s="648"/>
      <c r="E354" s="648"/>
      <c r="F354" s="648"/>
      <c r="G354" s="648"/>
      <c r="H354" s="648"/>
      <c r="I354" s="593"/>
      <c r="J354" s="65"/>
    </row>
    <row r="355" spans="1:32" s="66" customFormat="1" ht="30" customHeight="1" x14ac:dyDescent="0.2">
      <c r="A355" s="45"/>
      <c r="B355" s="1662" t="s">
        <v>330</v>
      </c>
      <c r="C355" s="1663"/>
      <c r="D355" s="1663"/>
      <c r="E355" s="1663"/>
      <c r="F355" s="1663"/>
      <c r="G355" s="1663"/>
      <c r="H355" s="1664"/>
      <c r="I355" s="406" t="s">
        <v>17</v>
      </c>
      <c r="J355" s="35" t="s">
        <v>18</v>
      </c>
      <c r="K355" s="237" t="s">
        <v>331</v>
      </c>
      <c r="L355" s="238">
        <v>15</v>
      </c>
      <c r="M355" s="68"/>
      <c r="N355" s="182" t="s">
        <v>30</v>
      </c>
      <c r="O355" s="238">
        <v>15</v>
      </c>
      <c r="Q355" s="45"/>
      <c r="R355" s="45"/>
      <c r="S355" s="45"/>
      <c r="T355" s="45"/>
      <c r="U355" s="45"/>
      <c r="V355" s="45"/>
      <c r="W355" s="45"/>
      <c r="X355" s="45"/>
      <c r="Y355" s="45"/>
      <c r="Z355" s="45"/>
      <c r="AA355" s="45"/>
      <c r="AB355" s="45"/>
      <c r="AC355" s="45"/>
      <c r="AD355" s="45"/>
      <c r="AE355" s="45"/>
      <c r="AF355" s="45"/>
    </row>
    <row r="356" spans="1:32" s="66" customFormat="1" ht="30" customHeight="1" x14ac:dyDescent="0.2">
      <c r="A356" s="45"/>
      <c r="B356" s="1725" t="s">
        <v>332</v>
      </c>
      <c r="C356" s="1726"/>
      <c r="D356" s="1726"/>
      <c r="E356" s="1726"/>
      <c r="F356" s="1726"/>
      <c r="G356" s="1726"/>
      <c r="H356" s="1726"/>
      <c r="I356" s="1726"/>
      <c r="J356" s="1727"/>
      <c r="K356" s="237" t="s">
        <v>331</v>
      </c>
      <c r="L356" s="238">
        <v>15</v>
      </c>
      <c r="M356" s="68"/>
      <c r="N356" s="67"/>
      <c r="O356" s="238">
        <v>15</v>
      </c>
      <c r="Q356" s="45"/>
      <c r="R356" s="45"/>
      <c r="S356" s="45"/>
      <c r="T356" s="45"/>
      <c r="U356" s="45"/>
      <c r="V356" s="45"/>
      <c r="W356" s="45"/>
      <c r="X356" s="45"/>
      <c r="Y356" s="45"/>
      <c r="Z356" s="45"/>
      <c r="AA356" s="45"/>
      <c r="AB356" s="45"/>
      <c r="AC356" s="45"/>
      <c r="AD356" s="45"/>
      <c r="AE356" s="45"/>
      <c r="AF356" s="45"/>
    </row>
    <row r="357" spans="1:32" s="66" customFormat="1" ht="91.5" customHeight="1" x14ac:dyDescent="0.2">
      <c r="A357" s="45"/>
      <c r="B357" s="538" t="s">
        <v>333</v>
      </c>
      <c r="C357" s="1706" t="s">
        <v>334</v>
      </c>
      <c r="D357" s="1706"/>
      <c r="E357" s="1706"/>
      <c r="F357" s="1706"/>
      <c r="G357" s="1706"/>
      <c r="H357" s="1706"/>
      <c r="I357" s="409">
        <v>0</v>
      </c>
      <c r="J357" s="42">
        <v>1</v>
      </c>
      <c r="K357" s="237" t="s">
        <v>331</v>
      </c>
      <c r="L357" s="238">
        <v>15</v>
      </c>
      <c r="M357" s="68"/>
      <c r="N357" s="67"/>
      <c r="O357" s="238">
        <v>15</v>
      </c>
      <c r="Q357" s="45"/>
      <c r="R357" s="45"/>
      <c r="S357" s="45"/>
      <c r="T357" s="45"/>
      <c r="U357" s="45"/>
      <c r="V357" s="45"/>
      <c r="W357" s="45"/>
      <c r="X357" s="45"/>
      <c r="Y357" s="45"/>
      <c r="Z357" s="45"/>
      <c r="AA357" s="45"/>
      <c r="AB357" s="45"/>
      <c r="AC357" s="45"/>
      <c r="AD357" s="45"/>
      <c r="AE357" s="45"/>
      <c r="AF357" s="45"/>
    </row>
    <row r="358" spans="1:32" s="66" customFormat="1" ht="39.950000000000003" customHeight="1" x14ac:dyDescent="0.2">
      <c r="A358" s="45"/>
      <c r="B358" s="1783" t="s">
        <v>335</v>
      </c>
      <c r="C358" s="1695" t="s">
        <v>336</v>
      </c>
      <c r="D358" s="1696"/>
      <c r="E358" s="1696"/>
      <c r="F358" s="1696"/>
      <c r="G358" s="1696"/>
      <c r="H358" s="1697"/>
      <c r="I358" s="1698">
        <v>0</v>
      </c>
      <c r="J358" s="915">
        <v>1</v>
      </c>
      <c r="K358" s="237" t="s">
        <v>331</v>
      </c>
      <c r="L358" s="238">
        <v>15</v>
      </c>
      <c r="M358" s="68"/>
      <c r="N358" s="182" t="s">
        <v>30</v>
      </c>
      <c r="O358" s="238">
        <v>15</v>
      </c>
      <c r="Q358" s="45"/>
      <c r="R358" s="45"/>
      <c r="S358" s="45"/>
      <c r="T358" s="45"/>
      <c r="U358" s="45"/>
      <c r="V358" s="45"/>
      <c r="W358" s="45"/>
      <c r="X358" s="45"/>
      <c r="Y358" s="45"/>
      <c r="Z358" s="45"/>
      <c r="AA358" s="45"/>
      <c r="AB358" s="45"/>
      <c r="AC358" s="45"/>
      <c r="AD358" s="45"/>
      <c r="AE358" s="45"/>
      <c r="AF358" s="45"/>
    </row>
    <row r="359" spans="1:32" s="66" customFormat="1" ht="30" customHeight="1" x14ac:dyDescent="0.2">
      <c r="A359" s="45"/>
      <c r="B359" s="1784"/>
      <c r="C359" s="1682" t="s">
        <v>337</v>
      </c>
      <c r="D359" s="1649"/>
      <c r="E359" s="1841" t="s">
        <v>338</v>
      </c>
      <c r="F359" s="1841"/>
      <c r="G359" s="1841" t="s">
        <v>239</v>
      </c>
      <c r="H359" s="1841"/>
      <c r="I359" s="1699"/>
      <c r="J359" s="1045"/>
      <c r="K359" s="237" t="s">
        <v>331</v>
      </c>
      <c r="L359" s="238">
        <v>15</v>
      </c>
      <c r="M359" s="68"/>
      <c r="N359" s="67"/>
      <c r="O359" s="238">
        <v>15</v>
      </c>
      <c r="Q359" s="45"/>
      <c r="R359" s="45"/>
      <c r="S359" s="45"/>
      <c r="T359" s="45"/>
      <c r="U359" s="45"/>
      <c r="V359" s="45"/>
      <c r="W359" s="45"/>
      <c r="X359" s="45"/>
      <c r="Y359" s="45"/>
      <c r="Z359" s="45"/>
      <c r="AA359" s="45"/>
      <c r="AB359" s="45"/>
      <c r="AC359" s="45"/>
      <c r="AD359" s="45"/>
      <c r="AE359" s="45"/>
      <c r="AF359" s="45"/>
    </row>
    <row r="360" spans="1:32" s="66" customFormat="1" ht="30" customHeight="1" x14ac:dyDescent="0.2">
      <c r="A360" s="45"/>
      <c r="B360" s="789"/>
      <c r="C360" s="903" t="s">
        <v>790</v>
      </c>
      <c r="D360" s="1063"/>
      <c r="E360" s="1063"/>
      <c r="F360" s="1063"/>
      <c r="G360" s="1063"/>
      <c r="H360" s="1063"/>
      <c r="I360" s="790"/>
      <c r="J360" s="146"/>
      <c r="K360" s="237" t="s">
        <v>331</v>
      </c>
      <c r="L360" s="238">
        <v>15</v>
      </c>
      <c r="M360" s="68"/>
      <c r="N360" s="67"/>
      <c r="O360" s="238">
        <v>15</v>
      </c>
      <c r="Q360" s="45"/>
      <c r="R360" s="45"/>
      <c r="S360" s="45"/>
      <c r="T360" s="45"/>
      <c r="U360" s="45"/>
      <c r="V360" s="45"/>
      <c r="W360" s="45"/>
      <c r="X360" s="45"/>
      <c r="Y360" s="45"/>
      <c r="Z360" s="45"/>
      <c r="AA360" s="45"/>
      <c r="AB360" s="45"/>
      <c r="AC360" s="45"/>
      <c r="AD360" s="45"/>
      <c r="AE360" s="45"/>
      <c r="AF360" s="45"/>
    </row>
    <row r="361" spans="1:32" s="66" customFormat="1" ht="33" customHeight="1" x14ac:dyDescent="0.2">
      <c r="A361" s="45"/>
      <c r="B361" s="1835" t="s">
        <v>340</v>
      </c>
      <c r="C361" s="1838" t="s">
        <v>341</v>
      </c>
      <c r="D361" s="1839"/>
      <c r="E361" s="1839"/>
      <c r="F361" s="1839"/>
      <c r="G361" s="1839"/>
      <c r="H361" s="1840"/>
      <c r="I361" s="1819">
        <v>0</v>
      </c>
      <c r="J361" s="962">
        <v>1</v>
      </c>
      <c r="K361" s="237" t="s">
        <v>331</v>
      </c>
      <c r="L361" s="238">
        <v>15</v>
      </c>
      <c r="M361" s="68"/>
      <c r="N361" s="182" t="s">
        <v>30</v>
      </c>
      <c r="O361" s="238">
        <v>15</v>
      </c>
      <c r="Q361" s="45"/>
      <c r="R361" s="45"/>
      <c r="S361" s="45"/>
      <c r="T361" s="45"/>
      <c r="U361" s="45"/>
      <c r="V361" s="45"/>
      <c r="W361" s="45"/>
      <c r="X361" s="45"/>
      <c r="Y361" s="45"/>
      <c r="Z361" s="45"/>
      <c r="AA361" s="45"/>
      <c r="AB361" s="45"/>
      <c r="AC361" s="45"/>
      <c r="AD361" s="45"/>
      <c r="AE361" s="45"/>
      <c r="AF361" s="45"/>
    </row>
    <row r="362" spans="1:32" s="66" customFormat="1" ht="39.950000000000003" customHeight="1" x14ac:dyDescent="0.2">
      <c r="A362" s="45"/>
      <c r="B362" s="1836"/>
      <c r="C362" s="1841" t="s">
        <v>342</v>
      </c>
      <c r="D362" s="1841"/>
      <c r="E362" s="1748" t="s">
        <v>42</v>
      </c>
      <c r="F362" s="1748"/>
      <c r="G362" s="1842" t="s">
        <v>92</v>
      </c>
      <c r="H362" s="1843"/>
      <c r="I362" s="1826"/>
      <c r="J362" s="963"/>
      <c r="K362" s="237" t="s">
        <v>331</v>
      </c>
      <c r="L362" s="238">
        <v>15</v>
      </c>
      <c r="M362" s="68"/>
      <c r="N362" s="182"/>
      <c r="O362" s="238">
        <v>15</v>
      </c>
      <c r="Q362" s="45"/>
      <c r="R362" s="45"/>
      <c r="S362" s="45"/>
      <c r="T362" s="45"/>
      <c r="U362" s="45"/>
      <c r="V362" s="45"/>
      <c r="W362" s="45"/>
      <c r="X362" s="45"/>
      <c r="Y362" s="45"/>
      <c r="Z362" s="45"/>
      <c r="AA362" s="45"/>
      <c r="AB362" s="45"/>
      <c r="AC362" s="45"/>
      <c r="AD362" s="45"/>
      <c r="AE362" s="45"/>
      <c r="AF362" s="45"/>
    </row>
    <row r="363" spans="1:32" s="66" customFormat="1" ht="39.950000000000003" customHeight="1" x14ac:dyDescent="0.2">
      <c r="A363" s="45"/>
      <c r="B363" s="1836"/>
      <c r="C363" s="1747" t="s">
        <v>134</v>
      </c>
      <c r="D363" s="1748"/>
      <c r="E363" s="1841"/>
      <c r="F363" s="1841"/>
      <c r="G363" s="1702"/>
      <c r="H363" s="1703"/>
      <c r="I363" s="1826"/>
      <c r="J363" s="963"/>
      <c r="K363" s="237" t="s">
        <v>331</v>
      </c>
      <c r="L363" s="238">
        <v>15</v>
      </c>
      <c r="M363" s="68"/>
      <c r="N363" s="182"/>
      <c r="O363" s="238">
        <v>15</v>
      </c>
      <c r="Q363" s="45"/>
      <c r="R363" s="45"/>
      <c r="S363" s="45"/>
      <c r="T363" s="45"/>
      <c r="U363" s="45"/>
      <c r="V363" s="45"/>
      <c r="W363" s="45"/>
      <c r="X363" s="45"/>
      <c r="Y363" s="45"/>
      <c r="Z363" s="45"/>
      <c r="AA363" s="45"/>
      <c r="AB363" s="45"/>
      <c r="AC363" s="45"/>
      <c r="AD363" s="45"/>
      <c r="AE363" s="45"/>
      <c r="AF363" s="45"/>
    </row>
    <row r="364" spans="1:32" s="66" customFormat="1" ht="30" customHeight="1" x14ac:dyDescent="0.2">
      <c r="A364" s="45"/>
      <c r="B364" s="1837"/>
      <c r="C364" s="903" t="s">
        <v>790</v>
      </c>
      <c r="D364" s="1063"/>
      <c r="E364" s="1063"/>
      <c r="F364" s="1063"/>
      <c r="G364" s="1063"/>
      <c r="H364" s="1063"/>
      <c r="I364" s="1820"/>
      <c r="J364" s="964"/>
      <c r="K364" s="237" t="s">
        <v>331</v>
      </c>
      <c r="L364" s="238">
        <v>15</v>
      </c>
      <c r="M364" s="68"/>
      <c r="N364" s="149"/>
      <c r="O364" s="238">
        <v>15</v>
      </c>
      <c r="Q364" s="45"/>
      <c r="R364" s="45"/>
      <c r="S364" s="45"/>
      <c r="T364" s="45"/>
      <c r="U364" s="45"/>
      <c r="V364" s="45"/>
      <c r="W364" s="45"/>
      <c r="X364" s="45"/>
      <c r="Y364" s="45"/>
      <c r="Z364" s="45"/>
      <c r="AA364" s="45"/>
      <c r="AB364" s="45"/>
      <c r="AC364" s="45"/>
      <c r="AD364" s="45"/>
      <c r="AE364" s="45"/>
      <c r="AF364" s="45"/>
    </row>
    <row r="365" spans="1:32" s="66" customFormat="1" ht="30" customHeight="1" x14ac:dyDescent="0.2">
      <c r="A365" s="45"/>
      <c r="B365" s="1827" t="s">
        <v>343</v>
      </c>
      <c r="C365" s="1830" t="s">
        <v>134</v>
      </c>
      <c r="D365" s="1831"/>
      <c r="E365" s="1831" t="s">
        <v>92</v>
      </c>
      <c r="F365" s="1831"/>
      <c r="G365" s="670" t="s">
        <v>146</v>
      </c>
      <c r="H365" s="671"/>
      <c r="I365" s="1832">
        <v>0</v>
      </c>
      <c r="J365" s="962">
        <v>1</v>
      </c>
      <c r="K365" s="237" t="s">
        <v>331</v>
      </c>
      <c r="L365" s="238">
        <v>15</v>
      </c>
      <c r="M365" s="68"/>
      <c r="N365" s="182" t="s">
        <v>30</v>
      </c>
      <c r="O365" s="238">
        <v>15</v>
      </c>
      <c r="Q365" s="45"/>
      <c r="R365" s="45"/>
      <c r="S365" s="45"/>
      <c r="T365" s="45"/>
      <c r="U365" s="45"/>
      <c r="V365" s="45"/>
      <c r="W365" s="45"/>
      <c r="X365" s="45"/>
      <c r="Y365" s="45"/>
      <c r="Z365" s="45"/>
      <c r="AA365" s="45"/>
      <c r="AB365" s="45"/>
      <c r="AC365" s="45"/>
      <c r="AD365" s="45"/>
      <c r="AE365" s="45"/>
      <c r="AF365" s="45"/>
    </row>
    <row r="366" spans="1:32" s="66" customFormat="1" ht="30" customHeight="1" x14ac:dyDescent="0.2">
      <c r="A366" s="45"/>
      <c r="B366" s="1828"/>
      <c r="C366" s="1774" t="s">
        <v>344</v>
      </c>
      <c r="D366" s="1775"/>
      <c r="E366" s="1775" t="s">
        <v>149</v>
      </c>
      <c r="F366" s="1775"/>
      <c r="G366" s="1775" t="s">
        <v>345</v>
      </c>
      <c r="H366" s="1776"/>
      <c r="I366" s="1833"/>
      <c r="J366" s="963"/>
      <c r="K366" s="237" t="s">
        <v>331</v>
      </c>
      <c r="L366" s="238">
        <v>15</v>
      </c>
      <c r="M366" s="68"/>
      <c r="N366" s="67"/>
      <c r="O366" s="238">
        <v>15</v>
      </c>
      <c r="Q366" s="45"/>
      <c r="R366" s="45"/>
      <c r="S366" s="45"/>
      <c r="T366" s="45"/>
      <c r="U366" s="45"/>
      <c r="V366" s="45"/>
      <c r="W366" s="45"/>
      <c r="X366" s="45"/>
      <c r="Y366" s="45"/>
      <c r="Z366" s="45"/>
      <c r="AA366" s="45"/>
      <c r="AB366" s="45"/>
      <c r="AC366" s="45"/>
      <c r="AD366" s="45"/>
      <c r="AE366" s="45"/>
      <c r="AF366" s="45"/>
    </row>
    <row r="367" spans="1:32" s="66" customFormat="1" ht="30" customHeight="1" x14ac:dyDescent="0.2">
      <c r="A367" s="45"/>
      <c r="B367" s="1828"/>
      <c r="C367" s="1777" t="s">
        <v>148</v>
      </c>
      <c r="D367" s="1283"/>
      <c r="E367" s="1283" t="s">
        <v>150</v>
      </c>
      <c r="F367" s="1283"/>
      <c r="G367" s="82"/>
      <c r="H367" s="83"/>
      <c r="I367" s="1833"/>
      <c r="J367" s="963"/>
      <c r="K367" s="237" t="s">
        <v>331</v>
      </c>
      <c r="L367" s="238">
        <v>15</v>
      </c>
      <c r="M367" s="68"/>
      <c r="N367" s="67"/>
      <c r="O367" s="238">
        <v>15</v>
      </c>
      <c r="Q367" s="45"/>
      <c r="R367" s="45"/>
      <c r="S367" s="45"/>
      <c r="T367" s="45"/>
      <c r="U367" s="45"/>
      <c r="V367" s="45"/>
      <c r="W367" s="45"/>
      <c r="X367" s="45"/>
      <c r="Y367" s="45"/>
      <c r="Z367" s="45"/>
      <c r="AA367" s="45"/>
      <c r="AB367" s="45"/>
      <c r="AC367" s="45"/>
      <c r="AD367" s="45"/>
      <c r="AE367" s="45"/>
      <c r="AF367" s="45"/>
    </row>
    <row r="368" spans="1:32" s="66" customFormat="1" ht="30" customHeight="1" x14ac:dyDescent="0.2">
      <c r="A368" s="45"/>
      <c r="B368" s="1829"/>
      <c r="C368" s="1063" t="s">
        <v>790</v>
      </c>
      <c r="D368" s="1063"/>
      <c r="E368" s="1063"/>
      <c r="F368" s="1063"/>
      <c r="G368" s="1063"/>
      <c r="H368" s="1063"/>
      <c r="I368" s="1834"/>
      <c r="J368" s="964"/>
      <c r="K368" s="237" t="s">
        <v>331</v>
      </c>
      <c r="L368" s="238">
        <v>15</v>
      </c>
      <c r="M368" s="68"/>
      <c r="N368" s="67"/>
      <c r="O368" s="238">
        <v>15</v>
      </c>
      <c r="Q368" s="45"/>
      <c r="R368" s="45"/>
      <c r="S368" s="45"/>
      <c r="T368" s="45"/>
      <c r="U368" s="45"/>
      <c r="V368" s="45"/>
      <c r="W368" s="45"/>
      <c r="X368" s="45"/>
      <c r="Y368" s="45"/>
      <c r="Z368" s="45"/>
      <c r="AA368" s="45"/>
      <c r="AB368" s="45"/>
      <c r="AC368" s="45"/>
      <c r="AD368" s="45"/>
      <c r="AE368" s="45"/>
      <c r="AF368" s="45"/>
    </row>
    <row r="369" spans="1:32" s="66" customFormat="1" ht="30" customHeight="1" x14ac:dyDescent="0.2">
      <c r="A369" s="45"/>
      <c r="B369" s="620" t="s">
        <v>346</v>
      </c>
      <c r="C369" s="1777" t="s">
        <v>347</v>
      </c>
      <c r="D369" s="1283"/>
      <c r="E369" s="1283"/>
      <c r="F369" s="1283"/>
      <c r="G369" s="1283"/>
      <c r="H369" s="1813"/>
      <c r="I369" s="539">
        <v>0</v>
      </c>
      <c r="J369" s="75">
        <v>1</v>
      </c>
      <c r="K369" s="237" t="s">
        <v>331</v>
      </c>
      <c r="L369" s="238">
        <v>15</v>
      </c>
      <c r="M369" s="68"/>
      <c r="N369" s="182" t="s">
        <v>30</v>
      </c>
      <c r="O369" s="238">
        <v>15</v>
      </c>
      <c r="Q369" s="45"/>
      <c r="R369" s="45"/>
      <c r="S369" s="45"/>
      <c r="T369" s="45"/>
      <c r="U369" s="45"/>
      <c r="V369" s="45"/>
      <c r="W369" s="45"/>
      <c r="X369" s="45"/>
      <c r="Y369" s="45"/>
      <c r="Z369" s="45"/>
      <c r="AA369" s="45"/>
      <c r="AB369" s="45"/>
      <c r="AC369" s="45"/>
      <c r="AD369" s="45"/>
      <c r="AE369" s="45"/>
      <c r="AF369" s="45"/>
    </row>
    <row r="370" spans="1:32" s="225" customFormat="1" ht="39.950000000000003" customHeight="1" x14ac:dyDescent="0.2">
      <c r="A370" s="672"/>
      <c r="B370" s="1821" t="s">
        <v>348</v>
      </c>
      <c r="C370" s="1823" t="s">
        <v>349</v>
      </c>
      <c r="D370" s="1824"/>
      <c r="E370" s="1824" t="s">
        <v>793</v>
      </c>
      <c r="F370" s="1824"/>
      <c r="G370" s="1824" t="s">
        <v>239</v>
      </c>
      <c r="H370" s="1825"/>
      <c r="I370" s="1819">
        <v>0</v>
      </c>
      <c r="J370" s="962">
        <v>1</v>
      </c>
      <c r="K370" s="237" t="s">
        <v>331</v>
      </c>
      <c r="L370" s="238">
        <v>15</v>
      </c>
      <c r="N370" s="673" t="s">
        <v>30</v>
      </c>
      <c r="O370" s="674">
        <v>15</v>
      </c>
    </row>
    <row r="371" spans="1:32" s="225" customFormat="1" ht="30" customHeight="1" x14ac:dyDescent="0.2">
      <c r="A371" s="672"/>
      <c r="B371" s="1822"/>
      <c r="C371" s="1814" t="s">
        <v>792</v>
      </c>
      <c r="D371" s="1815"/>
      <c r="E371" s="1816"/>
      <c r="F371" s="1816"/>
      <c r="G371" s="1815"/>
      <c r="H371" s="1817"/>
      <c r="I371" s="1826"/>
      <c r="J371" s="963"/>
      <c r="K371" s="237" t="s">
        <v>331</v>
      </c>
      <c r="L371" s="238">
        <v>15</v>
      </c>
      <c r="M371" s="675"/>
      <c r="N371" s="676"/>
      <c r="O371" s="674">
        <v>15</v>
      </c>
    </row>
    <row r="372" spans="1:32" s="66" customFormat="1" ht="30" customHeight="1" x14ac:dyDescent="0.2">
      <c r="A372" s="45"/>
      <c r="B372" s="1818" t="s">
        <v>794</v>
      </c>
      <c r="C372" s="1517" t="s">
        <v>795</v>
      </c>
      <c r="D372" s="1515"/>
      <c r="E372" s="1515" t="s">
        <v>793</v>
      </c>
      <c r="F372" s="1515"/>
      <c r="G372" s="1515"/>
      <c r="H372" s="1516"/>
      <c r="I372" s="1819">
        <v>0</v>
      </c>
      <c r="J372" s="962">
        <v>1</v>
      </c>
      <c r="K372" s="237" t="s">
        <v>331</v>
      </c>
      <c r="L372" s="238">
        <v>15</v>
      </c>
      <c r="M372" s="67"/>
      <c r="N372" s="182" t="s">
        <v>30</v>
      </c>
      <c r="O372" s="238">
        <v>15</v>
      </c>
    </row>
    <row r="373" spans="1:32" s="66" customFormat="1" ht="30" customHeight="1" x14ac:dyDescent="0.2">
      <c r="A373" s="45"/>
      <c r="B373" s="1793"/>
      <c r="C373" s="1063" t="s">
        <v>790</v>
      </c>
      <c r="D373" s="1063"/>
      <c r="E373" s="1063"/>
      <c r="F373" s="1063"/>
      <c r="G373" s="1063"/>
      <c r="H373" s="1063"/>
      <c r="I373" s="1820"/>
      <c r="J373" s="964"/>
      <c r="K373" s="237" t="s">
        <v>331</v>
      </c>
      <c r="L373" s="238">
        <v>15</v>
      </c>
      <c r="M373" s="67"/>
      <c r="N373" s="537"/>
      <c r="O373" s="238">
        <v>15</v>
      </c>
    </row>
    <row r="374" spans="1:32" s="66" customFormat="1" ht="60" customHeight="1" x14ac:dyDescent="0.2">
      <c r="A374" s="45"/>
      <c r="B374" s="1783" t="s">
        <v>350</v>
      </c>
      <c r="C374" s="1635" t="s">
        <v>351</v>
      </c>
      <c r="D374" s="1636"/>
      <c r="E374" s="1636"/>
      <c r="F374" s="1636"/>
      <c r="G374" s="1636"/>
      <c r="H374" s="1636"/>
      <c r="I374" s="1636"/>
      <c r="J374" s="1637"/>
      <c r="K374" s="237" t="s">
        <v>331</v>
      </c>
      <c r="L374" s="238">
        <v>15</v>
      </c>
      <c r="M374" s="68"/>
      <c r="N374" s="182" t="s">
        <v>30</v>
      </c>
      <c r="O374" s="238">
        <v>15</v>
      </c>
    </row>
    <row r="375" spans="1:32" s="66" customFormat="1" ht="30" customHeight="1" x14ac:dyDescent="0.2">
      <c r="A375" s="45"/>
      <c r="B375" s="1785"/>
      <c r="C375" s="1777" t="s">
        <v>790</v>
      </c>
      <c r="D375" s="1283"/>
      <c r="E375" s="1283"/>
      <c r="F375" s="1283"/>
      <c r="G375" s="1283"/>
      <c r="H375" s="1813"/>
      <c r="I375" s="539">
        <v>0</v>
      </c>
      <c r="J375" s="75">
        <v>1</v>
      </c>
      <c r="K375" s="237" t="s">
        <v>331</v>
      </c>
      <c r="L375" s="238">
        <v>15</v>
      </c>
      <c r="M375" s="68"/>
      <c r="N375" s="677"/>
      <c r="O375" s="238">
        <v>15</v>
      </c>
    </row>
    <row r="376" spans="1:32" s="66" customFormat="1" ht="57" customHeight="1" x14ac:dyDescent="0.2">
      <c r="A376" s="45"/>
      <c r="B376" s="1783" t="s">
        <v>352</v>
      </c>
      <c r="C376" s="1635" t="s">
        <v>796</v>
      </c>
      <c r="D376" s="1636"/>
      <c r="E376" s="1636"/>
      <c r="F376" s="1636"/>
      <c r="G376" s="1636"/>
      <c r="H376" s="1636"/>
      <c r="I376" s="1698">
        <v>0</v>
      </c>
      <c r="J376" s="915">
        <v>1</v>
      </c>
      <c r="K376" s="237" t="s">
        <v>331</v>
      </c>
      <c r="L376" s="238">
        <v>15</v>
      </c>
      <c r="M376" s="67"/>
      <c r="N376" s="182" t="s">
        <v>30</v>
      </c>
      <c r="O376" s="238">
        <v>15</v>
      </c>
    </row>
    <row r="377" spans="1:32" s="66" customFormat="1" ht="70.5" customHeight="1" x14ac:dyDescent="0.2">
      <c r="A377" s="45"/>
      <c r="B377" s="1784"/>
      <c r="C377" s="1635" t="s">
        <v>797</v>
      </c>
      <c r="D377" s="1636"/>
      <c r="E377" s="1636"/>
      <c r="F377" s="1636"/>
      <c r="G377" s="1636"/>
      <c r="H377" s="1636"/>
      <c r="I377" s="1699"/>
      <c r="J377" s="1045"/>
      <c r="K377" s="237" t="s">
        <v>331</v>
      </c>
      <c r="L377" s="238">
        <v>15</v>
      </c>
      <c r="M377" s="67"/>
      <c r="N377" s="67"/>
      <c r="O377" s="238">
        <v>15</v>
      </c>
    </row>
    <row r="378" spans="1:32" s="66" customFormat="1" ht="62.25" customHeight="1" x14ac:dyDescent="0.2">
      <c r="A378" s="45"/>
      <c r="B378" s="1784"/>
      <c r="C378" s="1635" t="s">
        <v>798</v>
      </c>
      <c r="D378" s="1636"/>
      <c r="E378" s="1636"/>
      <c r="F378" s="1636"/>
      <c r="G378" s="1636"/>
      <c r="H378" s="1636"/>
      <c r="I378" s="1699"/>
      <c r="J378" s="1045"/>
      <c r="K378" s="237" t="s">
        <v>331</v>
      </c>
      <c r="L378" s="238">
        <v>15</v>
      </c>
      <c r="M378" s="67"/>
      <c r="N378" s="67"/>
      <c r="O378" s="238">
        <v>15</v>
      </c>
    </row>
    <row r="379" spans="1:32" s="66" customFormat="1" ht="34.5" customHeight="1" x14ac:dyDescent="0.2">
      <c r="A379" s="45"/>
      <c r="B379" s="1784"/>
      <c r="C379" s="1811" t="s">
        <v>799</v>
      </c>
      <c r="D379" s="1812"/>
      <c r="E379" s="1812"/>
      <c r="F379" s="1812"/>
      <c r="G379" s="1812"/>
      <c r="H379" s="1812"/>
      <c r="I379" s="1699"/>
      <c r="J379" s="1045"/>
      <c r="K379" s="237" t="s">
        <v>331</v>
      </c>
      <c r="L379" s="238">
        <v>15</v>
      </c>
      <c r="M379" s="67"/>
      <c r="N379" s="67"/>
      <c r="O379" s="238">
        <v>15</v>
      </c>
    </row>
    <row r="380" spans="1:32" s="66" customFormat="1" ht="34.5" customHeight="1" x14ac:dyDescent="0.2">
      <c r="A380" s="45"/>
      <c r="B380" s="1784"/>
      <c r="C380" s="1635" t="s">
        <v>800</v>
      </c>
      <c r="D380" s="1636"/>
      <c r="E380" s="1636"/>
      <c r="F380" s="1636"/>
      <c r="G380" s="1636"/>
      <c r="H380" s="1636"/>
      <c r="I380" s="1700"/>
      <c r="J380" s="916"/>
      <c r="K380" s="237" t="s">
        <v>331</v>
      </c>
      <c r="L380" s="238">
        <v>15</v>
      </c>
      <c r="M380" s="67"/>
      <c r="N380" s="67"/>
      <c r="O380" s="238">
        <v>15</v>
      </c>
    </row>
    <row r="381" spans="1:32" s="66" customFormat="1" ht="45" customHeight="1" x14ac:dyDescent="0.2">
      <c r="A381" s="45"/>
      <c r="B381" s="1785"/>
      <c r="C381" s="867" t="s">
        <v>801</v>
      </c>
      <c r="D381" s="868"/>
      <c r="E381" s="868"/>
      <c r="F381" s="868"/>
      <c r="G381" s="868"/>
      <c r="H381" s="869"/>
      <c r="I381" s="678" t="s">
        <v>256</v>
      </c>
      <c r="J381" s="199" t="s">
        <v>256</v>
      </c>
      <c r="K381" s="237" t="s">
        <v>331</v>
      </c>
      <c r="L381" s="238">
        <v>15</v>
      </c>
      <c r="M381" s="67"/>
      <c r="N381" s="67"/>
      <c r="O381" s="238">
        <v>15</v>
      </c>
    </row>
    <row r="382" spans="1:32" s="66" customFormat="1" ht="39.950000000000003" customHeight="1" x14ac:dyDescent="0.2">
      <c r="A382" s="45"/>
      <c r="B382" s="1783" t="s">
        <v>359</v>
      </c>
      <c r="C382" s="1169" t="s">
        <v>360</v>
      </c>
      <c r="D382" s="1170"/>
      <c r="E382" s="1170"/>
      <c r="F382" s="1170"/>
      <c r="G382" s="1170"/>
      <c r="H382" s="1170"/>
      <c r="I382" s="1170"/>
      <c r="J382" s="1171"/>
      <c r="K382" s="237" t="s">
        <v>331</v>
      </c>
      <c r="L382" s="238">
        <v>15</v>
      </c>
      <c r="M382" s="67"/>
      <c r="N382" s="182" t="s">
        <v>30</v>
      </c>
      <c r="O382" s="238">
        <v>15</v>
      </c>
    </row>
    <row r="383" spans="1:32" s="66" customFormat="1" ht="30" customHeight="1" x14ac:dyDescent="0.2">
      <c r="A383" s="45"/>
      <c r="B383" s="1784"/>
      <c r="C383" s="1777" t="s">
        <v>790</v>
      </c>
      <c r="D383" s="1283"/>
      <c r="E383" s="1283"/>
      <c r="F383" s="1283"/>
      <c r="G383" s="1283"/>
      <c r="H383" s="1813"/>
      <c r="I383" s="539">
        <v>0</v>
      </c>
      <c r="J383" s="75">
        <v>1</v>
      </c>
      <c r="K383" s="237" t="s">
        <v>331</v>
      </c>
      <c r="L383" s="238">
        <v>15</v>
      </c>
      <c r="M383" s="67"/>
      <c r="N383" s="537"/>
      <c r="O383" s="238">
        <v>15</v>
      </c>
    </row>
    <row r="384" spans="1:32" s="66" customFormat="1" ht="30" customHeight="1" x14ac:dyDescent="0.2">
      <c r="B384" s="471" t="s">
        <v>701</v>
      </c>
      <c r="C384" s="1169" t="s">
        <v>802</v>
      </c>
      <c r="D384" s="1170"/>
      <c r="E384" s="1170"/>
      <c r="F384" s="1170"/>
      <c r="G384" s="1170"/>
      <c r="H384" s="1171"/>
      <c r="I384" s="539">
        <v>0</v>
      </c>
      <c r="J384" s="75">
        <v>0.75</v>
      </c>
      <c r="K384" s="237" t="s">
        <v>331</v>
      </c>
      <c r="L384" s="238">
        <v>15</v>
      </c>
      <c r="M384" s="67"/>
      <c r="N384" s="182" t="s">
        <v>30</v>
      </c>
      <c r="O384" s="238">
        <v>15</v>
      </c>
    </row>
    <row r="385" spans="1:32" s="66" customFormat="1" ht="42" customHeight="1" x14ac:dyDescent="0.2">
      <c r="A385" s="45"/>
      <c r="B385" s="1706" t="s">
        <v>361</v>
      </c>
      <c r="C385" s="1706"/>
      <c r="D385" s="1706"/>
      <c r="E385" s="1706"/>
      <c r="F385" s="1706"/>
      <c r="G385" s="1706"/>
      <c r="H385" s="1706"/>
      <c r="I385" s="1706"/>
      <c r="J385" s="1706"/>
      <c r="K385" s="237" t="s">
        <v>331</v>
      </c>
      <c r="L385" s="238">
        <v>15</v>
      </c>
      <c r="M385" s="68"/>
      <c r="N385" s="182" t="s">
        <v>30</v>
      </c>
      <c r="O385" s="238">
        <v>15</v>
      </c>
      <c r="Q385" s="45"/>
      <c r="R385" s="45"/>
      <c r="S385" s="45"/>
      <c r="T385" s="45"/>
      <c r="U385" s="45"/>
      <c r="V385" s="45"/>
      <c r="W385" s="45"/>
      <c r="X385" s="45"/>
      <c r="Y385" s="45"/>
      <c r="Z385" s="45"/>
      <c r="AA385" s="45"/>
      <c r="AB385" s="45"/>
      <c r="AC385" s="45"/>
      <c r="AD385" s="45"/>
      <c r="AE385" s="45"/>
      <c r="AF385" s="45"/>
    </row>
    <row r="386" spans="1:32" ht="20.100000000000001" customHeight="1" x14ac:dyDescent="0.2">
      <c r="A386" s="45"/>
      <c r="B386" s="648"/>
      <c r="C386" s="648"/>
      <c r="D386" s="648"/>
      <c r="E386" s="648"/>
      <c r="F386" s="648"/>
      <c r="G386" s="648"/>
      <c r="H386" s="648"/>
      <c r="I386" s="648"/>
      <c r="J386" s="200"/>
      <c r="K386" s="237"/>
      <c r="L386" s="238"/>
      <c r="N386" s="182"/>
      <c r="O386" s="238"/>
    </row>
    <row r="387" spans="1:32" ht="30" customHeight="1" x14ac:dyDescent="0.2">
      <c r="A387" s="45"/>
      <c r="B387" s="1807" t="s">
        <v>362</v>
      </c>
      <c r="C387" s="1807"/>
      <c r="D387" s="1807"/>
      <c r="E387" s="1807"/>
      <c r="F387" s="1807"/>
      <c r="G387" s="1807"/>
      <c r="H387" s="1807"/>
      <c r="I387" s="679" t="s">
        <v>130</v>
      </c>
      <c r="J387" s="35" t="s">
        <v>18</v>
      </c>
      <c r="K387" s="237" t="s">
        <v>331</v>
      </c>
      <c r="L387" s="238">
        <v>15</v>
      </c>
      <c r="M387" s="181"/>
      <c r="N387" s="182" t="s">
        <v>30</v>
      </c>
      <c r="O387" s="238">
        <v>15</v>
      </c>
      <c r="P387" s="45"/>
    </row>
    <row r="388" spans="1:32" ht="70.5" customHeight="1" x14ac:dyDescent="0.2">
      <c r="A388" s="45"/>
      <c r="B388" s="1706" t="s">
        <v>363</v>
      </c>
      <c r="C388" s="1706"/>
      <c r="D388" s="1706"/>
      <c r="E388" s="1706"/>
      <c r="F388" s="1706"/>
      <c r="G388" s="1706"/>
      <c r="H388" s="1706"/>
      <c r="I388" s="1706"/>
      <c r="J388" s="1706"/>
      <c r="K388" s="237" t="s">
        <v>331</v>
      </c>
      <c r="L388" s="238">
        <v>15</v>
      </c>
      <c r="M388" s="181"/>
      <c r="O388" s="238">
        <v>15</v>
      </c>
      <c r="P388" s="45"/>
    </row>
    <row r="389" spans="1:32" ht="39.75" customHeight="1" x14ac:dyDescent="0.2">
      <c r="A389" s="45"/>
      <c r="B389" s="1783" t="s">
        <v>364</v>
      </c>
      <c r="C389" s="1706" t="s">
        <v>365</v>
      </c>
      <c r="D389" s="1706"/>
      <c r="E389" s="1706"/>
      <c r="F389" s="1706"/>
      <c r="G389" s="1706"/>
      <c r="H389" s="1706"/>
      <c r="I389" s="1698">
        <v>0</v>
      </c>
      <c r="J389" s="915">
        <v>1</v>
      </c>
      <c r="K389" s="237" t="s">
        <v>331</v>
      </c>
      <c r="L389" s="238">
        <v>15</v>
      </c>
      <c r="M389" s="181"/>
      <c r="O389" s="238">
        <v>15</v>
      </c>
      <c r="P389" s="45"/>
    </row>
    <row r="390" spans="1:32" ht="39.75" customHeight="1" x14ac:dyDescent="0.2">
      <c r="A390" s="45"/>
      <c r="B390" s="1784"/>
      <c r="C390" s="1706" t="s">
        <v>366</v>
      </c>
      <c r="D390" s="1706"/>
      <c r="E390" s="1706"/>
      <c r="F390" s="1706"/>
      <c r="G390" s="1706"/>
      <c r="H390" s="1706"/>
      <c r="I390" s="1699"/>
      <c r="J390" s="1045"/>
      <c r="K390" s="237" t="s">
        <v>331</v>
      </c>
      <c r="L390" s="238">
        <v>15</v>
      </c>
      <c r="M390" s="181"/>
      <c r="O390" s="238">
        <v>15</v>
      </c>
      <c r="P390" s="45"/>
    </row>
    <row r="391" spans="1:32" ht="39.75" customHeight="1" x14ac:dyDescent="0.2">
      <c r="A391" s="45"/>
      <c r="B391" s="1785"/>
      <c r="C391" s="1706" t="s">
        <v>367</v>
      </c>
      <c r="D391" s="1706"/>
      <c r="E391" s="1706"/>
      <c r="F391" s="1706"/>
      <c r="G391" s="1706"/>
      <c r="H391" s="1706"/>
      <c r="I391" s="1700"/>
      <c r="J391" s="916"/>
      <c r="K391" s="237" t="s">
        <v>331</v>
      </c>
      <c r="L391" s="238">
        <v>15</v>
      </c>
      <c r="M391" s="181"/>
      <c r="O391" s="238">
        <v>15</v>
      </c>
      <c r="P391" s="45"/>
    </row>
    <row r="392" spans="1:32" ht="84" customHeight="1" x14ac:dyDescent="0.2">
      <c r="A392" s="45"/>
      <c r="B392" s="1635" t="s">
        <v>368</v>
      </c>
      <c r="C392" s="1636"/>
      <c r="D392" s="1636"/>
      <c r="E392" s="1636"/>
      <c r="F392" s="1636"/>
      <c r="G392" s="1636"/>
      <c r="H392" s="1636"/>
      <c r="I392" s="1636"/>
      <c r="J392" s="1637"/>
      <c r="K392" s="237" t="s">
        <v>331</v>
      </c>
      <c r="L392" s="238">
        <v>15</v>
      </c>
      <c r="M392" s="181"/>
      <c r="O392" s="238">
        <v>15</v>
      </c>
      <c r="P392" s="45"/>
    </row>
    <row r="393" spans="1:32" ht="20.100000000000001" customHeight="1" x14ac:dyDescent="0.2">
      <c r="A393" s="45"/>
      <c r="B393" s="648"/>
      <c r="C393" s="648"/>
      <c r="D393" s="648"/>
      <c r="E393" s="648"/>
      <c r="F393" s="648"/>
      <c r="G393" s="648"/>
      <c r="H393" s="648"/>
      <c r="I393" s="648"/>
      <c r="J393" s="200"/>
      <c r="L393" s="561"/>
      <c r="M393" s="181"/>
      <c r="O393" s="561"/>
      <c r="P393" s="45"/>
    </row>
    <row r="394" spans="1:32" ht="30" customHeight="1" x14ac:dyDescent="0.2">
      <c r="A394" s="45"/>
      <c r="B394" s="1087" t="s">
        <v>369</v>
      </c>
      <c r="C394" s="1088"/>
      <c r="D394" s="1088"/>
      <c r="E394" s="1088"/>
      <c r="F394" s="1088"/>
      <c r="G394" s="1088"/>
      <c r="H394" s="1088"/>
      <c r="I394" s="201" t="s">
        <v>130</v>
      </c>
      <c r="J394" s="35" t="s">
        <v>18</v>
      </c>
      <c r="K394" s="226" t="s">
        <v>370</v>
      </c>
      <c r="L394" s="183">
        <v>44</v>
      </c>
      <c r="N394" s="182" t="s">
        <v>30</v>
      </c>
      <c r="O394" s="183">
        <v>44</v>
      </c>
      <c r="P394" s="45"/>
    </row>
    <row r="395" spans="1:32" ht="59.25" customHeight="1" x14ac:dyDescent="0.2">
      <c r="A395" s="45"/>
      <c r="B395" s="1105" t="s">
        <v>833</v>
      </c>
      <c r="C395" s="1106"/>
      <c r="D395" s="1106"/>
      <c r="E395" s="1106"/>
      <c r="F395" s="1106"/>
      <c r="G395" s="1106"/>
      <c r="H395" s="1106"/>
      <c r="I395" s="1106"/>
      <c r="J395" s="1107"/>
      <c r="K395" s="226" t="s">
        <v>370</v>
      </c>
      <c r="L395" s="183">
        <v>44</v>
      </c>
      <c r="M395" s="181"/>
      <c r="O395" s="183">
        <v>44</v>
      </c>
      <c r="P395" s="45"/>
    </row>
    <row r="396" spans="1:32" ht="30" customHeight="1" x14ac:dyDescent="0.2">
      <c r="A396" s="45"/>
      <c r="B396" s="976" t="s">
        <v>372</v>
      </c>
      <c r="C396" s="977"/>
      <c r="D396" s="977"/>
      <c r="E396" s="977"/>
      <c r="F396" s="977"/>
      <c r="G396" s="977"/>
      <c r="H396" s="977"/>
      <c r="I396" s="977"/>
      <c r="J396" s="978"/>
      <c r="K396" s="226" t="s">
        <v>370</v>
      </c>
      <c r="L396" s="183">
        <v>44</v>
      </c>
      <c r="M396" s="181"/>
      <c r="O396" s="183">
        <v>44</v>
      </c>
      <c r="P396" s="45"/>
    </row>
    <row r="397" spans="1:32" ht="30" customHeight="1" x14ac:dyDescent="0.2">
      <c r="A397" s="45"/>
      <c r="B397" s="202" t="s">
        <v>373</v>
      </c>
      <c r="C397" s="1103" t="s">
        <v>374</v>
      </c>
      <c r="D397" s="1104"/>
      <c r="E397" s="1177" t="s">
        <v>34</v>
      </c>
      <c r="F397" s="1177"/>
      <c r="G397" s="203"/>
      <c r="H397" s="204"/>
      <c r="I397" s="205">
        <v>30</v>
      </c>
      <c r="J397" s="75">
        <v>0.9</v>
      </c>
      <c r="K397" s="226" t="s">
        <v>370</v>
      </c>
      <c r="L397" s="183">
        <v>44</v>
      </c>
      <c r="M397" s="181"/>
      <c r="O397" s="183">
        <v>44</v>
      </c>
      <c r="P397" s="45"/>
    </row>
    <row r="398" spans="1:32" ht="30" customHeight="1" x14ac:dyDescent="0.2">
      <c r="A398" s="45"/>
      <c r="B398" s="202" t="s">
        <v>375</v>
      </c>
      <c r="C398" s="1103" t="s">
        <v>376</v>
      </c>
      <c r="D398" s="1104"/>
      <c r="E398" s="1104" t="s">
        <v>29</v>
      </c>
      <c r="F398" s="1104"/>
      <c r="G398" s="203"/>
      <c r="H398" s="204"/>
      <c r="I398" s="205">
        <v>50</v>
      </c>
      <c r="J398" s="75">
        <v>0.6</v>
      </c>
      <c r="K398" s="226" t="s">
        <v>370</v>
      </c>
      <c r="L398" s="183">
        <v>44</v>
      </c>
      <c r="M398" s="181"/>
      <c r="O398" s="183">
        <v>44</v>
      </c>
      <c r="P398" s="45"/>
    </row>
    <row r="399" spans="1:32" s="66" customFormat="1" ht="30" customHeight="1" x14ac:dyDescent="0.2">
      <c r="A399" s="149"/>
      <c r="B399" s="680" t="s">
        <v>512</v>
      </c>
      <c r="C399" s="1086" t="s">
        <v>383</v>
      </c>
      <c r="D399" s="1086"/>
      <c r="E399" s="1086"/>
      <c r="F399" s="1086"/>
      <c r="G399" s="1086"/>
      <c r="H399" s="1086"/>
      <c r="I399" s="681">
        <v>80</v>
      </c>
      <c r="J399" s="199">
        <v>0.5</v>
      </c>
      <c r="K399" s="226" t="s">
        <v>370</v>
      </c>
      <c r="L399" s="183">
        <v>44</v>
      </c>
      <c r="M399" s="181"/>
      <c r="N399" s="67"/>
      <c r="O399" s="183">
        <v>44</v>
      </c>
    </row>
    <row r="400" spans="1:32" s="66" customFormat="1" ht="30" customHeight="1" x14ac:dyDescent="0.2">
      <c r="B400" s="680" t="s">
        <v>788</v>
      </c>
      <c r="C400" s="1086" t="s">
        <v>383</v>
      </c>
      <c r="D400" s="1086"/>
      <c r="E400" s="1086"/>
      <c r="F400" s="1086"/>
      <c r="G400" s="1086"/>
      <c r="H400" s="1086"/>
      <c r="I400" s="682">
        <v>120</v>
      </c>
      <c r="J400" s="199">
        <v>0.5</v>
      </c>
      <c r="K400" s="226" t="s">
        <v>370</v>
      </c>
      <c r="L400" s="183">
        <v>44</v>
      </c>
      <c r="M400" s="181"/>
      <c r="N400" s="182"/>
      <c r="O400" s="183">
        <v>44</v>
      </c>
    </row>
    <row r="401" spans="1:16" ht="30" customHeight="1" x14ac:dyDescent="0.2">
      <c r="A401" s="45"/>
      <c r="B401" s="1164" t="s">
        <v>377</v>
      </c>
      <c r="C401" s="1728" t="s">
        <v>378</v>
      </c>
      <c r="D401" s="1729"/>
      <c r="E401" s="933" t="s">
        <v>42</v>
      </c>
      <c r="F401" s="933"/>
      <c r="G401" s="933" t="s">
        <v>63</v>
      </c>
      <c r="H401" s="934"/>
      <c r="I401" s="1083">
        <v>50</v>
      </c>
      <c r="J401" s="962">
        <v>0.6</v>
      </c>
      <c r="K401" s="226" t="s">
        <v>370</v>
      </c>
      <c r="L401" s="183">
        <v>44</v>
      </c>
      <c r="M401" s="181"/>
      <c r="O401" s="183">
        <v>44</v>
      </c>
      <c r="P401" s="45"/>
    </row>
    <row r="402" spans="1:16" ht="30" customHeight="1" x14ac:dyDescent="0.2">
      <c r="A402" s="45"/>
      <c r="B402" s="1753"/>
      <c r="C402" s="1747" t="s">
        <v>379</v>
      </c>
      <c r="D402" s="1748"/>
      <c r="E402" s="1748" t="s">
        <v>380</v>
      </c>
      <c r="F402" s="1748"/>
      <c r="G402" s="1748" t="s">
        <v>56</v>
      </c>
      <c r="H402" s="1749"/>
      <c r="I402" s="1084"/>
      <c r="J402" s="963"/>
      <c r="K402" s="226" t="s">
        <v>370</v>
      </c>
      <c r="L402" s="183">
        <v>44</v>
      </c>
      <c r="M402" s="181"/>
      <c r="O402" s="183">
        <v>44</v>
      </c>
      <c r="P402" s="45"/>
    </row>
    <row r="403" spans="1:16" ht="30" customHeight="1" x14ac:dyDescent="0.2">
      <c r="A403" s="45"/>
      <c r="B403" s="1753"/>
      <c r="C403" s="683" t="s">
        <v>43</v>
      </c>
      <c r="D403" s="684"/>
      <c r="E403" s="1748" t="s">
        <v>381</v>
      </c>
      <c r="F403" s="1748"/>
      <c r="G403" s="1748" t="s">
        <v>287</v>
      </c>
      <c r="H403" s="1749"/>
      <c r="I403" s="1084"/>
      <c r="J403" s="963"/>
      <c r="K403" s="226" t="s">
        <v>370</v>
      </c>
      <c r="L403" s="183">
        <v>44</v>
      </c>
      <c r="M403" s="181"/>
      <c r="O403" s="183">
        <v>44</v>
      </c>
      <c r="P403" s="45"/>
    </row>
    <row r="404" spans="1:16" ht="30" customHeight="1" x14ac:dyDescent="0.2">
      <c r="A404" s="45"/>
      <c r="B404" s="163" t="s">
        <v>382</v>
      </c>
      <c r="C404" s="1086" t="s">
        <v>383</v>
      </c>
      <c r="D404" s="1086"/>
      <c r="E404" s="1086"/>
      <c r="F404" s="1086"/>
      <c r="G404" s="1086"/>
      <c r="H404" s="1086"/>
      <c r="I404" s="208">
        <v>60</v>
      </c>
      <c r="J404" s="75">
        <v>0.6</v>
      </c>
      <c r="K404" s="226" t="s">
        <v>370</v>
      </c>
      <c r="L404" s="183">
        <v>44</v>
      </c>
      <c r="M404" s="181"/>
      <c r="O404" s="183">
        <v>44</v>
      </c>
      <c r="P404" s="45"/>
    </row>
    <row r="405" spans="1:16" s="66" customFormat="1" ht="30" customHeight="1" x14ac:dyDescent="0.2">
      <c r="A405" s="149"/>
      <c r="B405" s="163" t="s">
        <v>670</v>
      </c>
      <c r="C405" s="1086" t="s">
        <v>383</v>
      </c>
      <c r="D405" s="1086"/>
      <c r="E405" s="1086"/>
      <c r="F405" s="1086"/>
      <c r="G405" s="1086"/>
      <c r="H405" s="1086"/>
      <c r="I405" s="685">
        <v>80</v>
      </c>
      <c r="J405" s="393">
        <v>0.5</v>
      </c>
      <c r="K405" s="226" t="s">
        <v>370</v>
      </c>
      <c r="L405" s="183">
        <v>44</v>
      </c>
      <c r="M405" s="181"/>
      <c r="N405" s="67"/>
      <c r="O405" s="183">
        <v>44</v>
      </c>
    </row>
    <row r="406" spans="1:16" s="66" customFormat="1" ht="30" customHeight="1" x14ac:dyDescent="0.2">
      <c r="B406" s="202" t="s">
        <v>789</v>
      </c>
      <c r="C406" s="1086" t="s">
        <v>383</v>
      </c>
      <c r="D406" s="1086"/>
      <c r="E406" s="1086"/>
      <c r="F406" s="1086"/>
      <c r="G406" s="1086"/>
      <c r="H406" s="1086"/>
      <c r="I406" s="682">
        <v>120</v>
      </c>
      <c r="J406" s="199">
        <v>0.5</v>
      </c>
      <c r="K406" s="226" t="s">
        <v>370</v>
      </c>
      <c r="L406" s="183">
        <v>44</v>
      </c>
      <c r="M406" s="181"/>
      <c r="N406" s="182"/>
      <c r="O406" s="183">
        <v>44</v>
      </c>
    </row>
    <row r="407" spans="1:16" ht="30" customHeight="1" x14ac:dyDescent="0.2">
      <c r="A407" s="45"/>
      <c r="B407" s="976" t="s">
        <v>384</v>
      </c>
      <c r="C407" s="977"/>
      <c r="D407" s="977"/>
      <c r="E407" s="977"/>
      <c r="F407" s="977"/>
      <c r="G407" s="977"/>
      <c r="H407" s="977"/>
      <c r="I407" s="977"/>
      <c r="J407" s="978"/>
      <c r="K407" s="226" t="s">
        <v>370</v>
      </c>
      <c r="L407" s="183">
        <v>44</v>
      </c>
      <c r="M407" s="181"/>
      <c r="N407" s="182" t="s">
        <v>30</v>
      </c>
      <c r="O407" s="183">
        <v>44</v>
      </c>
      <c r="P407" s="45"/>
    </row>
    <row r="408" spans="1:16" ht="30" customHeight="1" x14ac:dyDescent="0.2">
      <c r="A408" s="45"/>
      <c r="B408" s="1081" t="s">
        <v>373</v>
      </c>
      <c r="C408" s="1067" t="s">
        <v>385</v>
      </c>
      <c r="D408" s="1068"/>
      <c r="E408" s="1068"/>
      <c r="F408" s="1068"/>
      <c r="G408" s="1068"/>
      <c r="H408" s="1069"/>
      <c r="I408" s="205">
        <v>0</v>
      </c>
      <c r="J408" s="75">
        <v>1</v>
      </c>
      <c r="K408" s="226" t="s">
        <v>370</v>
      </c>
      <c r="L408" s="183">
        <v>44</v>
      </c>
      <c r="M408" s="181"/>
      <c r="O408" s="183">
        <v>44</v>
      </c>
      <c r="P408" s="45"/>
    </row>
    <row r="409" spans="1:16" ht="30" customHeight="1" x14ac:dyDescent="0.2">
      <c r="A409" s="45"/>
      <c r="B409" s="1099"/>
      <c r="C409" s="1100" t="s">
        <v>386</v>
      </c>
      <c r="D409" s="1101"/>
      <c r="E409" s="1101"/>
      <c r="F409" s="1101"/>
      <c r="G409" s="1101"/>
      <c r="H409" s="1102"/>
      <c r="I409" s="205">
        <v>0</v>
      </c>
      <c r="J409" s="75">
        <v>0.7</v>
      </c>
      <c r="K409" s="226" t="s">
        <v>370</v>
      </c>
      <c r="L409" s="183">
        <v>44</v>
      </c>
      <c r="M409" s="181"/>
      <c r="O409" s="183">
        <v>44</v>
      </c>
      <c r="P409" s="45"/>
    </row>
    <row r="410" spans="1:16" ht="30" customHeight="1" x14ac:dyDescent="0.2">
      <c r="A410" s="45"/>
      <c r="B410" s="209" t="s">
        <v>375</v>
      </c>
      <c r="C410" s="1103" t="s">
        <v>376</v>
      </c>
      <c r="D410" s="1104"/>
      <c r="E410" s="1104" t="s">
        <v>29</v>
      </c>
      <c r="F410" s="1104"/>
      <c r="G410" s="210"/>
      <c r="H410" s="211"/>
      <c r="I410" s="212">
        <v>0</v>
      </c>
      <c r="J410" s="75">
        <v>0.5</v>
      </c>
      <c r="K410" s="226" t="s">
        <v>370</v>
      </c>
      <c r="L410" s="183">
        <v>44</v>
      </c>
      <c r="M410" s="181"/>
      <c r="O410" s="183">
        <v>44</v>
      </c>
      <c r="P410" s="45"/>
    </row>
    <row r="411" spans="1:16" s="66" customFormat="1" ht="30" customHeight="1" x14ac:dyDescent="0.2">
      <c r="A411" s="149"/>
      <c r="B411" s="202" t="s">
        <v>512</v>
      </c>
      <c r="C411" s="1086" t="s">
        <v>383</v>
      </c>
      <c r="D411" s="1086"/>
      <c r="E411" s="1086"/>
      <c r="F411" s="1086"/>
      <c r="G411" s="1086"/>
      <c r="H411" s="1086"/>
      <c r="I411" s="205">
        <v>0</v>
      </c>
      <c r="J411" s="75">
        <v>0.5</v>
      </c>
      <c r="K411" s="226" t="s">
        <v>370</v>
      </c>
      <c r="L411" s="183">
        <v>44</v>
      </c>
      <c r="M411" s="181"/>
      <c r="N411" s="67"/>
      <c r="O411" s="183">
        <v>44</v>
      </c>
    </row>
    <row r="412" spans="1:16" s="66" customFormat="1" ht="30" customHeight="1" x14ac:dyDescent="0.2">
      <c r="B412" s="202" t="s">
        <v>788</v>
      </c>
      <c r="C412" s="1086" t="s">
        <v>383</v>
      </c>
      <c r="D412" s="1086"/>
      <c r="E412" s="1086"/>
      <c r="F412" s="1086"/>
      <c r="G412" s="1086"/>
      <c r="H412" s="1086"/>
      <c r="I412" s="205">
        <v>0</v>
      </c>
      <c r="J412" s="75">
        <v>0.5</v>
      </c>
      <c r="K412" s="226" t="s">
        <v>370</v>
      </c>
      <c r="L412" s="183">
        <v>44</v>
      </c>
      <c r="M412" s="181"/>
      <c r="N412" s="182"/>
      <c r="O412" s="183">
        <v>44</v>
      </c>
    </row>
    <row r="413" spans="1:16" ht="30" customHeight="1" x14ac:dyDescent="0.2">
      <c r="A413" s="45"/>
      <c r="B413" s="202" t="s">
        <v>387</v>
      </c>
      <c r="C413" s="1094" t="s">
        <v>388</v>
      </c>
      <c r="D413" s="1095"/>
      <c r="E413" s="1095"/>
      <c r="F413" s="1095"/>
      <c r="G413" s="1095"/>
      <c r="H413" s="1096"/>
      <c r="I413" s="205">
        <v>0</v>
      </c>
      <c r="J413" s="75">
        <v>0.7</v>
      </c>
      <c r="K413" s="226" t="s">
        <v>370</v>
      </c>
      <c r="L413" s="183">
        <v>44</v>
      </c>
      <c r="M413" s="181"/>
      <c r="O413" s="183">
        <v>44</v>
      </c>
      <c r="P413" s="45"/>
    </row>
    <row r="414" spans="1:16" ht="30" customHeight="1" x14ac:dyDescent="0.2">
      <c r="A414" s="45"/>
      <c r="B414" s="202" t="s">
        <v>382</v>
      </c>
      <c r="C414" s="1086" t="s">
        <v>383</v>
      </c>
      <c r="D414" s="1086"/>
      <c r="E414" s="1086"/>
      <c r="F414" s="1086"/>
      <c r="G414" s="1086"/>
      <c r="H414" s="1086"/>
      <c r="I414" s="205">
        <v>0</v>
      </c>
      <c r="J414" s="75">
        <v>0.5</v>
      </c>
      <c r="K414" s="226" t="s">
        <v>370</v>
      </c>
      <c r="L414" s="183">
        <v>44</v>
      </c>
      <c r="M414" s="181"/>
      <c r="O414" s="183">
        <v>44</v>
      </c>
      <c r="P414" s="45"/>
    </row>
    <row r="415" spans="1:16" s="66" customFormat="1" ht="30" customHeight="1" x14ac:dyDescent="0.2">
      <c r="A415" s="149"/>
      <c r="B415" s="202" t="s">
        <v>670</v>
      </c>
      <c r="C415" s="1086" t="s">
        <v>383</v>
      </c>
      <c r="D415" s="1086"/>
      <c r="E415" s="1086"/>
      <c r="F415" s="1086"/>
      <c r="G415" s="1086"/>
      <c r="H415" s="1086"/>
      <c r="I415" s="205">
        <v>0</v>
      </c>
      <c r="J415" s="75">
        <v>0.5</v>
      </c>
      <c r="K415" s="226" t="s">
        <v>370</v>
      </c>
      <c r="L415" s="183">
        <v>44</v>
      </c>
      <c r="M415" s="181"/>
      <c r="N415" s="67"/>
      <c r="O415" s="183">
        <v>44</v>
      </c>
    </row>
    <row r="416" spans="1:16" s="66" customFormat="1" ht="30" customHeight="1" x14ac:dyDescent="0.2">
      <c r="B416" s="202" t="s">
        <v>789</v>
      </c>
      <c r="C416" s="1086" t="s">
        <v>383</v>
      </c>
      <c r="D416" s="1086"/>
      <c r="E416" s="1086"/>
      <c r="F416" s="1086"/>
      <c r="G416" s="1086"/>
      <c r="H416" s="1086"/>
      <c r="I416" s="205">
        <v>0</v>
      </c>
      <c r="J416" s="75">
        <v>0.5</v>
      </c>
      <c r="K416" s="226" t="s">
        <v>370</v>
      </c>
      <c r="L416" s="183">
        <v>44</v>
      </c>
      <c r="M416" s="181"/>
      <c r="N416" s="182"/>
      <c r="O416" s="183">
        <v>44</v>
      </c>
    </row>
    <row r="417" spans="1:16" ht="39.950000000000003" customHeight="1" x14ac:dyDescent="0.2">
      <c r="A417" s="45"/>
      <c r="B417" s="1089" t="s">
        <v>389</v>
      </c>
      <c r="C417" s="1090"/>
      <c r="D417" s="1090"/>
      <c r="E417" s="1090"/>
      <c r="F417" s="1090"/>
      <c r="G417" s="1090"/>
      <c r="H417" s="1091"/>
      <c r="I417" s="205">
        <v>0</v>
      </c>
      <c r="J417" s="75">
        <v>0.5</v>
      </c>
      <c r="K417" s="226" t="s">
        <v>370</v>
      </c>
      <c r="L417" s="183">
        <v>44</v>
      </c>
      <c r="M417" s="181"/>
      <c r="O417" s="183">
        <v>44</v>
      </c>
      <c r="P417" s="45"/>
    </row>
    <row r="418" spans="1:16" ht="30" customHeight="1" x14ac:dyDescent="0.2">
      <c r="A418" s="45"/>
      <c r="B418" s="1161" t="s">
        <v>390</v>
      </c>
      <c r="C418" s="1162"/>
      <c r="D418" s="1162"/>
      <c r="E418" s="1162"/>
      <c r="F418" s="1162"/>
      <c r="G418" s="1162"/>
      <c r="H418" s="1162"/>
      <c r="I418" s="1162"/>
      <c r="J418" s="1163"/>
      <c r="K418" s="226" t="s">
        <v>370</v>
      </c>
      <c r="L418" s="183">
        <v>44</v>
      </c>
      <c r="M418" s="181"/>
      <c r="N418" s="182" t="s">
        <v>30</v>
      </c>
      <c r="O418" s="183">
        <v>44</v>
      </c>
      <c r="P418" s="45"/>
    </row>
    <row r="419" spans="1:16" ht="30" customHeight="1" x14ac:dyDescent="0.2">
      <c r="A419" s="45"/>
      <c r="B419" s="202" t="s">
        <v>373</v>
      </c>
      <c r="C419" s="1097" t="s">
        <v>376</v>
      </c>
      <c r="D419" s="1098"/>
      <c r="E419" s="1098"/>
      <c r="F419" s="1098" t="s">
        <v>29</v>
      </c>
      <c r="G419" s="1098"/>
      <c r="H419" s="1098"/>
      <c r="I419" s="205">
        <v>400</v>
      </c>
      <c r="J419" s="75">
        <v>0.6</v>
      </c>
      <c r="K419" s="226" t="s">
        <v>370</v>
      </c>
      <c r="L419" s="183">
        <v>44</v>
      </c>
      <c r="M419" s="181"/>
      <c r="O419" s="183">
        <v>44</v>
      </c>
      <c r="P419" s="45"/>
    </row>
    <row r="420" spans="1:16" ht="30" customHeight="1" x14ac:dyDescent="0.2">
      <c r="A420" s="45"/>
      <c r="B420" s="202" t="s">
        <v>375</v>
      </c>
      <c r="C420" s="1086" t="s">
        <v>383</v>
      </c>
      <c r="D420" s="1086"/>
      <c r="E420" s="1086"/>
      <c r="F420" s="1086"/>
      <c r="G420" s="1086"/>
      <c r="H420" s="1086"/>
      <c r="I420" s="205">
        <v>500</v>
      </c>
      <c r="J420" s="75">
        <v>0.5</v>
      </c>
      <c r="K420" s="226" t="s">
        <v>370</v>
      </c>
      <c r="L420" s="183">
        <v>44</v>
      </c>
      <c r="M420" s="181"/>
      <c r="O420" s="183">
        <v>44</v>
      </c>
      <c r="P420" s="45"/>
    </row>
    <row r="421" spans="1:16" s="66" customFormat="1" ht="30" customHeight="1" x14ac:dyDescent="0.2">
      <c r="A421" s="149"/>
      <c r="B421" s="680" t="s">
        <v>512</v>
      </c>
      <c r="C421" s="1086" t="s">
        <v>383</v>
      </c>
      <c r="D421" s="1086"/>
      <c r="E421" s="1086"/>
      <c r="F421" s="1086"/>
      <c r="G421" s="1086"/>
      <c r="H421" s="1086"/>
      <c r="I421" s="681">
        <v>600</v>
      </c>
      <c r="J421" s="451">
        <v>0.5</v>
      </c>
      <c r="K421" s="226" t="s">
        <v>370</v>
      </c>
      <c r="L421" s="183">
        <v>44</v>
      </c>
      <c r="M421" s="181"/>
      <c r="N421" s="67"/>
      <c r="O421" s="183">
        <v>44</v>
      </c>
    </row>
    <row r="422" spans="1:16" s="66" customFormat="1" ht="30" customHeight="1" x14ac:dyDescent="0.2">
      <c r="B422" s="163" t="s">
        <v>788</v>
      </c>
      <c r="C422" s="1086" t="s">
        <v>383</v>
      </c>
      <c r="D422" s="1086"/>
      <c r="E422" s="1086"/>
      <c r="F422" s="1086"/>
      <c r="G422" s="1086"/>
      <c r="H422" s="1086"/>
      <c r="I422" s="681">
        <v>800</v>
      </c>
      <c r="J422" s="199">
        <v>0.5</v>
      </c>
      <c r="K422" s="226" t="s">
        <v>370</v>
      </c>
      <c r="L422" s="183">
        <v>44</v>
      </c>
      <c r="M422" s="181"/>
      <c r="N422" s="182"/>
      <c r="O422" s="183">
        <v>44</v>
      </c>
    </row>
    <row r="423" spans="1:16" ht="30" customHeight="1" x14ac:dyDescent="0.2">
      <c r="A423" s="45"/>
      <c r="B423" s="1760" t="s">
        <v>387</v>
      </c>
      <c r="C423" s="1728" t="s">
        <v>378</v>
      </c>
      <c r="D423" s="1729"/>
      <c r="E423" s="933" t="s">
        <v>42</v>
      </c>
      <c r="F423" s="933"/>
      <c r="G423" s="933" t="s">
        <v>63</v>
      </c>
      <c r="H423" s="934"/>
      <c r="I423" s="1093">
        <v>400</v>
      </c>
      <c r="J423" s="1092">
        <v>0.6</v>
      </c>
      <c r="K423" s="226" t="s">
        <v>370</v>
      </c>
      <c r="L423" s="183">
        <v>44</v>
      </c>
      <c r="M423" s="181"/>
      <c r="O423" s="183">
        <v>44</v>
      </c>
      <c r="P423" s="45"/>
    </row>
    <row r="424" spans="1:16" ht="30" customHeight="1" x14ac:dyDescent="0.2">
      <c r="A424" s="45"/>
      <c r="B424" s="1761"/>
      <c r="C424" s="1747" t="s">
        <v>379</v>
      </c>
      <c r="D424" s="1748"/>
      <c r="E424" s="1748" t="s">
        <v>380</v>
      </c>
      <c r="F424" s="1748"/>
      <c r="G424" s="1748" t="s">
        <v>56</v>
      </c>
      <c r="H424" s="1749"/>
      <c r="I424" s="1093"/>
      <c r="J424" s="1092"/>
      <c r="K424" s="226" t="s">
        <v>370</v>
      </c>
      <c r="L424" s="183">
        <v>44</v>
      </c>
      <c r="M424" s="181"/>
      <c r="O424" s="183">
        <v>44</v>
      </c>
      <c r="P424" s="45"/>
    </row>
    <row r="425" spans="1:16" ht="30" customHeight="1" x14ac:dyDescent="0.2">
      <c r="A425" s="45"/>
      <c r="B425" s="1761"/>
      <c r="C425" s="1752" t="s">
        <v>287</v>
      </c>
      <c r="D425" s="1750"/>
      <c r="E425" s="1750" t="s">
        <v>381</v>
      </c>
      <c r="F425" s="1750"/>
      <c r="G425" s="1750"/>
      <c r="H425" s="1751"/>
      <c r="I425" s="1093"/>
      <c r="J425" s="1092"/>
      <c r="K425" s="226" t="s">
        <v>370</v>
      </c>
      <c r="L425" s="183">
        <v>44</v>
      </c>
      <c r="M425" s="181"/>
      <c r="O425" s="183">
        <v>44</v>
      </c>
      <c r="P425" s="45"/>
    </row>
    <row r="426" spans="1:16" ht="30" customHeight="1" x14ac:dyDescent="0.2">
      <c r="A426" s="45"/>
      <c r="B426" s="202" t="s">
        <v>382</v>
      </c>
      <c r="C426" s="1086" t="s">
        <v>383</v>
      </c>
      <c r="D426" s="1086"/>
      <c r="E426" s="1086"/>
      <c r="F426" s="1086"/>
      <c r="G426" s="1086"/>
      <c r="H426" s="1086"/>
      <c r="I426" s="205">
        <v>500</v>
      </c>
      <c r="J426" s="75">
        <v>0.5</v>
      </c>
      <c r="K426" s="226" t="s">
        <v>370</v>
      </c>
      <c r="L426" s="183">
        <v>44</v>
      </c>
      <c r="M426" s="181"/>
      <c r="O426" s="183">
        <v>44</v>
      </c>
      <c r="P426" s="45"/>
    </row>
    <row r="427" spans="1:16" s="66" customFormat="1" ht="30" customHeight="1" x14ac:dyDescent="0.2">
      <c r="A427" s="149"/>
      <c r="B427" s="163" t="s">
        <v>670</v>
      </c>
      <c r="C427" s="1086" t="s">
        <v>383</v>
      </c>
      <c r="D427" s="1086"/>
      <c r="E427" s="1086"/>
      <c r="F427" s="1086"/>
      <c r="G427" s="1086"/>
      <c r="H427" s="1086"/>
      <c r="I427" s="685">
        <v>600</v>
      </c>
      <c r="J427" s="393">
        <v>0.5</v>
      </c>
      <c r="K427" s="226" t="s">
        <v>370</v>
      </c>
      <c r="L427" s="183">
        <v>44</v>
      </c>
      <c r="M427" s="181"/>
      <c r="N427" s="67"/>
      <c r="O427" s="183">
        <v>44</v>
      </c>
    </row>
    <row r="428" spans="1:16" s="66" customFormat="1" ht="30" customHeight="1" x14ac:dyDescent="0.2">
      <c r="B428" s="163" t="s">
        <v>789</v>
      </c>
      <c r="C428" s="1086" t="s">
        <v>383</v>
      </c>
      <c r="D428" s="1086"/>
      <c r="E428" s="1086"/>
      <c r="F428" s="1086"/>
      <c r="G428" s="1086"/>
      <c r="H428" s="1086"/>
      <c r="I428" s="682">
        <v>800</v>
      </c>
      <c r="J428" s="199">
        <v>0.5</v>
      </c>
      <c r="K428" s="226" t="s">
        <v>370</v>
      </c>
      <c r="L428" s="183">
        <v>44</v>
      </c>
      <c r="M428" s="181"/>
      <c r="N428" s="182"/>
      <c r="O428" s="183">
        <v>44</v>
      </c>
    </row>
    <row r="429" spans="1:16" ht="20.100000000000001" customHeight="1" x14ac:dyDescent="0.2">
      <c r="A429" s="45"/>
      <c r="B429" s="648"/>
      <c r="C429" s="648"/>
      <c r="D429" s="648"/>
      <c r="E429" s="648"/>
      <c r="F429" s="648"/>
      <c r="G429" s="648"/>
      <c r="H429" s="648"/>
      <c r="I429" s="648"/>
      <c r="J429" s="200"/>
      <c r="L429" s="561"/>
      <c r="M429" s="181"/>
      <c r="O429" s="561"/>
      <c r="P429" s="45"/>
    </row>
    <row r="430" spans="1:16" ht="30" customHeight="1" x14ac:dyDescent="0.2">
      <c r="A430" s="45"/>
      <c r="B430" s="1087" t="s">
        <v>391</v>
      </c>
      <c r="C430" s="1088"/>
      <c r="D430" s="1088"/>
      <c r="E430" s="1088"/>
      <c r="F430" s="1088"/>
      <c r="G430" s="1088"/>
      <c r="H430" s="1088"/>
      <c r="I430" s="201" t="s">
        <v>130</v>
      </c>
      <c r="J430" s="35" t="s">
        <v>18</v>
      </c>
      <c r="K430" s="686" t="s">
        <v>392</v>
      </c>
      <c r="L430" s="183">
        <v>46</v>
      </c>
      <c r="N430" s="182" t="s">
        <v>30</v>
      </c>
      <c r="O430" s="183">
        <v>46</v>
      </c>
      <c r="P430" s="45"/>
    </row>
    <row r="431" spans="1:16" ht="60" customHeight="1" x14ac:dyDescent="0.2">
      <c r="A431" s="45"/>
      <c r="B431" s="1089" t="s">
        <v>886</v>
      </c>
      <c r="C431" s="1090"/>
      <c r="D431" s="1090"/>
      <c r="E431" s="1090"/>
      <c r="F431" s="1090"/>
      <c r="G431" s="1090"/>
      <c r="H431" s="1090"/>
      <c r="I431" s="1090"/>
      <c r="J431" s="1091"/>
      <c r="K431" s="686" t="s">
        <v>392</v>
      </c>
      <c r="L431" s="183">
        <v>46</v>
      </c>
      <c r="N431" s="182"/>
      <c r="O431" s="183">
        <v>46</v>
      </c>
      <c r="P431" s="45"/>
    </row>
    <row r="432" spans="1:16" ht="30" customHeight="1" x14ac:dyDescent="0.2">
      <c r="A432" s="45"/>
      <c r="B432" s="1073" t="s">
        <v>394</v>
      </c>
      <c r="C432" s="1074"/>
      <c r="D432" s="1074"/>
      <c r="E432" s="1074"/>
      <c r="F432" s="1074"/>
      <c r="G432" s="1074"/>
      <c r="H432" s="1074"/>
      <c r="I432" s="1074"/>
      <c r="J432" s="1075"/>
      <c r="K432" s="686" t="s">
        <v>392</v>
      </c>
      <c r="L432" s="183">
        <v>46</v>
      </c>
      <c r="N432" s="182"/>
      <c r="O432" s="183">
        <v>46</v>
      </c>
      <c r="P432" s="45"/>
    </row>
    <row r="433" spans="1:25" ht="30" customHeight="1" x14ac:dyDescent="0.2">
      <c r="A433" s="45"/>
      <c r="B433" s="209" t="s">
        <v>395</v>
      </c>
      <c r="C433" s="1076" t="s">
        <v>74</v>
      </c>
      <c r="D433" s="1077"/>
      <c r="E433" s="1077" t="s">
        <v>399</v>
      </c>
      <c r="F433" s="1077"/>
      <c r="G433" s="1077"/>
      <c r="H433" s="1078"/>
      <c r="I433" s="214">
        <v>60</v>
      </c>
      <c r="J433" s="109">
        <v>0.6</v>
      </c>
      <c r="K433" s="686" t="s">
        <v>392</v>
      </c>
      <c r="L433" s="183">
        <v>46</v>
      </c>
      <c r="N433" s="182"/>
      <c r="O433" s="183">
        <v>46</v>
      </c>
      <c r="P433" s="45"/>
    </row>
    <row r="434" spans="1:25" ht="30" customHeight="1" x14ac:dyDescent="0.2">
      <c r="A434" s="45"/>
      <c r="B434" s="1760" t="s">
        <v>396</v>
      </c>
      <c r="C434" s="1728" t="s">
        <v>378</v>
      </c>
      <c r="D434" s="1729"/>
      <c r="E434" s="933" t="s">
        <v>42</v>
      </c>
      <c r="F434" s="933"/>
      <c r="G434" s="933" t="s">
        <v>63</v>
      </c>
      <c r="H434" s="934"/>
      <c r="I434" s="1083">
        <v>60</v>
      </c>
      <c r="J434" s="962">
        <v>0.6</v>
      </c>
      <c r="K434" s="686" t="s">
        <v>392</v>
      </c>
      <c r="L434" s="183">
        <v>46</v>
      </c>
      <c r="N434" s="182"/>
      <c r="O434" s="183">
        <v>46</v>
      </c>
      <c r="P434" s="45"/>
    </row>
    <row r="435" spans="1:25" ht="30" customHeight="1" x14ac:dyDescent="0.2">
      <c r="A435" s="45"/>
      <c r="B435" s="1761"/>
      <c r="C435" s="1747" t="s">
        <v>379</v>
      </c>
      <c r="D435" s="1748"/>
      <c r="E435" s="1748" t="s">
        <v>380</v>
      </c>
      <c r="F435" s="1748"/>
      <c r="G435" s="1748" t="s">
        <v>287</v>
      </c>
      <c r="H435" s="1749"/>
      <c r="I435" s="1084"/>
      <c r="J435" s="963"/>
      <c r="K435" s="686" t="s">
        <v>392</v>
      </c>
      <c r="L435" s="183">
        <v>46</v>
      </c>
      <c r="N435" s="182"/>
      <c r="O435" s="183">
        <v>46</v>
      </c>
      <c r="P435" s="45"/>
    </row>
    <row r="436" spans="1:25" ht="30" customHeight="1" x14ac:dyDescent="0.2">
      <c r="A436" s="45"/>
      <c r="B436" s="1762"/>
      <c r="C436" s="687" t="s">
        <v>43</v>
      </c>
      <c r="D436" s="688"/>
      <c r="E436" s="1750" t="s">
        <v>381</v>
      </c>
      <c r="F436" s="1750"/>
      <c r="G436" s="1750"/>
      <c r="H436" s="1751"/>
      <c r="I436" s="1085"/>
      <c r="J436" s="964"/>
      <c r="K436" s="686" t="s">
        <v>392</v>
      </c>
      <c r="L436" s="183">
        <v>46</v>
      </c>
      <c r="N436" s="182"/>
      <c r="O436" s="183">
        <v>46</v>
      </c>
      <c r="P436" s="45"/>
    </row>
    <row r="437" spans="1:25" ht="30" customHeight="1" x14ac:dyDescent="0.2">
      <c r="A437" s="45"/>
      <c r="B437" s="1073" t="s">
        <v>397</v>
      </c>
      <c r="C437" s="1074"/>
      <c r="D437" s="1074"/>
      <c r="E437" s="1074"/>
      <c r="F437" s="1074"/>
      <c r="G437" s="1074"/>
      <c r="H437" s="1074"/>
      <c r="I437" s="1074"/>
      <c r="J437" s="1075"/>
      <c r="K437" s="686" t="s">
        <v>392</v>
      </c>
      <c r="L437" s="183">
        <v>46</v>
      </c>
      <c r="N437" s="182" t="s">
        <v>30</v>
      </c>
      <c r="O437" s="183">
        <v>46</v>
      </c>
      <c r="P437" s="45"/>
    </row>
    <row r="438" spans="1:25" ht="45" customHeight="1" x14ac:dyDescent="0.2">
      <c r="A438" s="45"/>
      <c r="B438" s="202" t="s">
        <v>398</v>
      </c>
      <c r="C438" s="1076" t="s">
        <v>74</v>
      </c>
      <c r="D438" s="1077"/>
      <c r="E438" s="1077" t="s">
        <v>399</v>
      </c>
      <c r="F438" s="1077"/>
      <c r="G438" s="1077"/>
      <c r="H438" s="1078"/>
      <c r="I438" s="217">
        <v>75</v>
      </c>
      <c r="J438" s="75">
        <v>1</v>
      </c>
      <c r="K438" s="686" t="s">
        <v>392</v>
      </c>
      <c r="L438" s="183">
        <v>46</v>
      </c>
      <c r="N438" s="182"/>
      <c r="O438" s="183">
        <v>46</v>
      </c>
      <c r="P438" s="45"/>
    </row>
    <row r="439" spans="1:25" ht="30" customHeight="1" x14ac:dyDescent="0.2">
      <c r="A439" s="45"/>
      <c r="B439" s="1081" t="s">
        <v>400</v>
      </c>
      <c r="C439" s="928" t="s">
        <v>378</v>
      </c>
      <c r="D439" s="928"/>
      <c r="E439" s="986" t="s">
        <v>42</v>
      </c>
      <c r="F439" s="986"/>
      <c r="G439" s="986" t="s">
        <v>63</v>
      </c>
      <c r="H439" s="986"/>
      <c r="I439" s="1083">
        <v>75</v>
      </c>
      <c r="J439" s="962">
        <v>1</v>
      </c>
      <c r="K439" s="213" t="s">
        <v>392</v>
      </c>
      <c r="L439" s="37">
        <v>46</v>
      </c>
      <c r="N439" s="182"/>
      <c r="O439" s="37">
        <v>46</v>
      </c>
      <c r="U439" s="70"/>
      <c r="V439" s="70"/>
      <c r="W439" s="187"/>
      <c r="X439" s="69"/>
      <c r="Y439" s="69"/>
    </row>
    <row r="440" spans="1:25" ht="30" customHeight="1" x14ac:dyDescent="0.2">
      <c r="A440" s="45"/>
      <c r="B440" s="1082"/>
      <c r="C440" s="957" t="s">
        <v>379</v>
      </c>
      <c r="D440" s="957"/>
      <c r="E440" s="957" t="s">
        <v>380</v>
      </c>
      <c r="F440" s="957"/>
      <c r="G440" s="957" t="s">
        <v>401</v>
      </c>
      <c r="H440" s="957"/>
      <c r="I440" s="1084"/>
      <c r="J440" s="963"/>
      <c r="K440" s="213" t="s">
        <v>392</v>
      </c>
      <c r="L440" s="37">
        <v>46</v>
      </c>
      <c r="N440" s="182"/>
      <c r="O440" s="37">
        <v>46</v>
      </c>
      <c r="U440" s="70"/>
      <c r="V440" s="70"/>
      <c r="W440" s="187"/>
      <c r="X440" s="69"/>
      <c r="Y440" s="69"/>
    </row>
    <row r="441" spans="1:25" ht="30" customHeight="1" x14ac:dyDescent="0.2">
      <c r="B441" s="1082"/>
      <c r="C441" s="207" t="s">
        <v>43</v>
      </c>
      <c r="D441" s="207"/>
      <c r="E441" s="957" t="s">
        <v>381</v>
      </c>
      <c r="F441" s="957"/>
      <c r="G441" s="957" t="s">
        <v>287</v>
      </c>
      <c r="H441" s="957"/>
      <c r="I441" s="1084"/>
      <c r="J441" s="963"/>
      <c r="K441" s="213" t="s">
        <v>392</v>
      </c>
      <c r="L441" s="37">
        <v>46</v>
      </c>
      <c r="N441" s="182"/>
      <c r="O441" s="37">
        <v>46</v>
      </c>
      <c r="U441" s="70"/>
      <c r="V441" s="70"/>
      <c r="W441" s="187"/>
      <c r="X441" s="69"/>
      <c r="Y441" s="69"/>
    </row>
    <row r="442" spans="1:25" ht="30" customHeight="1" x14ac:dyDescent="0.2">
      <c r="B442" s="1082"/>
      <c r="C442" s="957" t="s">
        <v>402</v>
      </c>
      <c r="D442" s="957"/>
      <c r="E442" s="957" t="s">
        <v>403</v>
      </c>
      <c r="F442" s="957"/>
      <c r="G442" s="957" t="s">
        <v>66</v>
      </c>
      <c r="H442" s="958"/>
      <c r="I442" s="1084"/>
      <c r="J442" s="963"/>
      <c r="K442" s="213" t="s">
        <v>392</v>
      </c>
      <c r="L442" s="37">
        <v>46</v>
      </c>
      <c r="N442" s="182"/>
      <c r="O442" s="37">
        <v>46</v>
      </c>
      <c r="U442" s="70"/>
      <c r="V442" s="70"/>
      <c r="W442" s="187"/>
      <c r="X442" s="69"/>
      <c r="Y442" s="69"/>
    </row>
    <row r="443" spans="1:25" ht="30" customHeight="1" x14ac:dyDescent="0.2">
      <c r="A443" s="45"/>
      <c r="B443" s="976" t="s">
        <v>404</v>
      </c>
      <c r="C443" s="977"/>
      <c r="D443" s="977"/>
      <c r="E443" s="977"/>
      <c r="F443" s="977"/>
      <c r="G443" s="977"/>
      <c r="H443" s="977"/>
      <c r="I443" s="977"/>
      <c r="J443" s="978"/>
      <c r="K443" s="686" t="s">
        <v>392</v>
      </c>
      <c r="L443" s="183">
        <v>46</v>
      </c>
      <c r="N443" s="182" t="s">
        <v>30</v>
      </c>
      <c r="O443" s="183">
        <v>46</v>
      </c>
      <c r="P443" s="45"/>
    </row>
    <row r="444" spans="1:25" ht="30" customHeight="1" x14ac:dyDescent="0.2">
      <c r="A444" s="45"/>
      <c r="B444" s="538" t="s">
        <v>405</v>
      </c>
      <c r="C444" s="689" t="s">
        <v>406</v>
      </c>
      <c r="D444" s="690"/>
      <c r="E444" s="690" t="s">
        <v>407</v>
      </c>
      <c r="F444" s="691"/>
      <c r="G444" s="690"/>
      <c r="H444" s="692"/>
      <c r="I444" s="539">
        <v>0</v>
      </c>
      <c r="J444" s="75">
        <v>0.7</v>
      </c>
      <c r="K444" s="686" t="s">
        <v>392</v>
      </c>
      <c r="L444" s="183">
        <v>46</v>
      </c>
      <c r="N444" s="182"/>
      <c r="O444" s="183">
        <v>46</v>
      </c>
      <c r="P444" s="45"/>
    </row>
    <row r="445" spans="1:25" ht="30" customHeight="1" x14ac:dyDescent="0.2">
      <c r="A445" s="45"/>
      <c r="B445" s="1073" t="s">
        <v>408</v>
      </c>
      <c r="C445" s="1074"/>
      <c r="D445" s="1074"/>
      <c r="E445" s="1074"/>
      <c r="F445" s="1074"/>
      <c r="G445" s="1074"/>
      <c r="H445" s="1074"/>
      <c r="I445" s="1074"/>
      <c r="J445" s="1075"/>
      <c r="K445" s="686" t="s">
        <v>392</v>
      </c>
      <c r="L445" s="183">
        <v>46</v>
      </c>
      <c r="N445" s="182" t="s">
        <v>30</v>
      </c>
      <c r="O445" s="183">
        <v>46</v>
      </c>
      <c r="P445" s="45"/>
    </row>
    <row r="446" spans="1:25" ht="48.75" customHeight="1" x14ac:dyDescent="0.2">
      <c r="A446" s="45"/>
      <c r="B446" s="222" t="s">
        <v>395</v>
      </c>
      <c r="C446" s="1076" t="s">
        <v>74</v>
      </c>
      <c r="D446" s="1077"/>
      <c r="E446" s="1077" t="s">
        <v>399</v>
      </c>
      <c r="F446" s="1077"/>
      <c r="G446" s="1077"/>
      <c r="H446" s="1078"/>
      <c r="I446" s="223" t="s">
        <v>410</v>
      </c>
      <c r="J446" s="224">
        <v>0.6</v>
      </c>
      <c r="K446" s="686" t="s">
        <v>392</v>
      </c>
      <c r="L446" s="183">
        <v>46</v>
      </c>
      <c r="N446" s="182"/>
      <c r="O446" s="183">
        <v>46</v>
      </c>
      <c r="P446" s="45"/>
    </row>
    <row r="447" spans="1:25" ht="30" customHeight="1" x14ac:dyDescent="0.2">
      <c r="A447" s="45"/>
      <c r="B447" s="1164" t="s">
        <v>396</v>
      </c>
      <c r="C447" s="1729" t="s">
        <v>378</v>
      </c>
      <c r="D447" s="1729"/>
      <c r="E447" s="933" t="s">
        <v>42</v>
      </c>
      <c r="F447" s="933"/>
      <c r="G447" s="933" t="s">
        <v>63</v>
      </c>
      <c r="H447" s="933"/>
      <c r="I447" s="1079" t="s">
        <v>410</v>
      </c>
      <c r="J447" s="1071">
        <v>0.6</v>
      </c>
      <c r="K447" s="686" t="s">
        <v>392</v>
      </c>
      <c r="L447" s="183">
        <v>46</v>
      </c>
      <c r="N447" s="182"/>
      <c r="O447" s="183">
        <v>46</v>
      </c>
      <c r="P447" s="45"/>
    </row>
    <row r="448" spans="1:25" ht="30" customHeight="1" x14ac:dyDescent="0.2">
      <c r="A448" s="45"/>
      <c r="B448" s="1753"/>
      <c r="C448" s="1748" t="s">
        <v>379</v>
      </c>
      <c r="D448" s="1748"/>
      <c r="E448" s="1748" t="s">
        <v>380</v>
      </c>
      <c r="F448" s="1748"/>
      <c r="G448" s="1748" t="s">
        <v>403</v>
      </c>
      <c r="H448" s="1748"/>
      <c r="I448" s="1080"/>
      <c r="J448" s="1072"/>
      <c r="K448" s="686" t="s">
        <v>392</v>
      </c>
      <c r="L448" s="183">
        <v>46</v>
      </c>
      <c r="N448" s="182"/>
      <c r="O448" s="183">
        <v>46</v>
      </c>
      <c r="P448" s="45"/>
    </row>
    <row r="449" spans="1:25" ht="30" customHeight="1" x14ac:dyDescent="0.2">
      <c r="A449" s="45"/>
      <c r="B449" s="1753"/>
      <c r="C449" s="1747" t="s">
        <v>402</v>
      </c>
      <c r="D449" s="1748"/>
      <c r="E449" s="1748" t="s">
        <v>381</v>
      </c>
      <c r="F449" s="1748"/>
      <c r="G449" s="1748" t="s">
        <v>287</v>
      </c>
      <c r="H449" s="1748"/>
      <c r="I449" s="1080"/>
      <c r="J449" s="1072"/>
      <c r="K449" s="686" t="s">
        <v>392</v>
      </c>
      <c r="L449" s="183">
        <v>46</v>
      </c>
      <c r="N449" s="182"/>
      <c r="O449" s="183">
        <v>46</v>
      </c>
      <c r="P449" s="45"/>
    </row>
    <row r="450" spans="1:25" ht="30" customHeight="1" x14ac:dyDescent="0.2">
      <c r="A450" s="45"/>
      <c r="B450" s="1067" t="s">
        <v>411</v>
      </c>
      <c r="C450" s="1068"/>
      <c r="D450" s="1068"/>
      <c r="E450" s="1068"/>
      <c r="F450" s="1068"/>
      <c r="G450" s="1068"/>
      <c r="H450" s="1068"/>
      <c r="I450" s="1068"/>
      <c r="J450" s="1069"/>
      <c r="K450" s="686" t="s">
        <v>392</v>
      </c>
      <c r="L450" s="183">
        <v>46</v>
      </c>
      <c r="N450" s="182"/>
      <c r="O450" s="183">
        <v>46</v>
      </c>
      <c r="P450" s="45"/>
    </row>
    <row r="451" spans="1:25" ht="20.100000000000001" customHeight="1" x14ac:dyDescent="0.2">
      <c r="A451" s="45"/>
      <c r="B451" s="648"/>
      <c r="C451" s="648"/>
      <c r="D451" s="648"/>
      <c r="E451" s="648"/>
      <c r="F451" s="648"/>
      <c r="G451" s="648"/>
      <c r="H451" s="648"/>
      <c r="I451" s="648"/>
      <c r="J451" s="200"/>
      <c r="L451" s="561"/>
      <c r="M451" s="181"/>
      <c r="O451" s="561"/>
      <c r="P451" s="45"/>
    </row>
    <row r="452" spans="1:25" ht="30" customHeight="1" x14ac:dyDescent="0.2">
      <c r="A452" s="45"/>
      <c r="B452" s="1807" t="s">
        <v>412</v>
      </c>
      <c r="C452" s="1807"/>
      <c r="D452" s="1807"/>
      <c r="E452" s="1807"/>
      <c r="F452" s="1807"/>
      <c r="G452" s="1807"/>
      <c r="H452" s="1807"/>
      <c r="I452" s="679" t="s">
        <v>152</v>
      </c>
      <c r="J452" s="35" t="s">
        <v>18</v>
      </c>
      <c r="K452" s="226" t="s">
        <v>413</v>
      </c>
      <c r="L452" s="183">
        <v>16</v>
      </c>
      <c r="M452" s="225"/>
      <c r="N452" s="182" t="s">
        <v>30</v>
      </c>
      <c r="O452" s="183">
        <v>16</v>
      </c>
    </row>
    <row r="453" spans="1:25" ht="30" customHeight="1" x14ac:dyDescent="0.2">
      <c r="A453" s="45"/>
      <c r="B453" s="1725" t="s">
        <v>414</v>
      </c>
      <c r="C453" s="1726"/>
      <c r="D453" s="1726"/>
      <c r="E453" s="1726"/>
      <c r="F453" s="1726"/>
      <c r="G453" s="1726"/>
      <c r="H453" s="1726"/>
      <c r="I453" s="1726"/>
      <c r="J453" s="1727"/>
      <c r="K453" s="226" t="s">
        <v>413</v>
      </c>
      <c r="L453" s="183">
        <v>16</v>
      </c>
      <c r="O453" s="183">
        <v>16</v>
      </c>
      <c r="U453" s="70"/>
      <c r="V453" s="184"/>
      <c r="W453" s="693"/>
      <c r="X453" s="694"/>
      <c r="Y453" s="69"/>
    </row>
    <row r="454" spans="1:25" ht="30" customHeight="1" x14ac:dyDescent="0.2">
      <c r="B454" s="581" t="s">
        <v>415</v>
      </c>
      <c r="C454" s="1808" t="s">
        <v>416</v>
      </c>
      <c r="D454" s="1809"/>
      <c r="E454" s="1809"/>
      <c r="F454" s="1809"/>
      <c r="G454" s="1809"/>
      <c r="H454" s="1810"/>
      <c r="I454" s="582">
        <v>50</v>
      </c>
      <c r="J454" s="121">
        <v>1</v>
      </c>
      <c r="K454" s="226" t="s">
        <v>413</v>
      </c>
      <c r="L454" s="183">
        <v>16</v>
      </c>
      <c r="O454" s="183">
        <v>16</v>
      </c>
      <c r="U454" s="70"/>
      <c r="V454" s="70"/>
      <c r="W454" s="187"/>
      <c r="X454" s="69"/>
      <c r="Y454" s="69"/>
    </row>
    <row r="455" spans="1:25" ht="30" customHeight="1" x14ac:dyDescent="0.2">
      <c r="A455" s="45"/>
      <c r="B455" s="1725" t="s">
        <v>417</v>
      </c>
      <c r="C455" s="1726"/>
      <c r="D455" s="1726"/>
      <c r="E455" s="1726"/>
      <c r="F455" s="1726"/>
      <c r="G455" s="1726"/>
      <c r="H455" s="1726"/>
      <c r="I455" s="1726"/>
      <c r="J455" s="1727"/>
      <c r="K455" s="226" t="s">
        <v>413</v>
      </c>
      <c r="L455" s="183">
        <v>16</v>
      </c>
      <c r="N455" s="182" t="s">
        <v>30</v>
      </c>
      <c r="O455" s="183">
        <v>16</v>
      </c>
      <c r="U455" s="70"/>
      <c r="V455" s="70"/>
      <c r="W455" s="187"/>
      <c r="X455" s="69"/>
      <c r="Y455" s="69"/>
    </row>
    <row r="456" spans="1:25" ht="30" customHeight="1" x14ac:dyDescent="0.2">
      <c r="A456" s="45"/>
      <c r="B456" s="695" t="s">
        <v>418</v>
      </c>
      <c r="C456" s="696" t="s">
        <v>419</v>
      </c>
      <c r="D456" s="697"/>
      <c r="E456" s="697"/>
      <c r="F456" s="697"/>
      <c r="G456" s="697"/>
      <c r="H456" s="698"/>
      <c r="I456" s="409">
        <v>50</v>
      </c>
      <c r="J456" s="42">
        <v>1</v>
      </c>
      <c r="K456" s="226" t="s">
        <v>413</v>
      </c>
      <c r="L456" s="183">
        <v>16</v>
      </c>
      <c r="N456" s="182"/>
      <c r="O456" s="183">
        <v>16</v>
      </c>
      <c r="U456" s="70"/>
      <c r="V456" s="70"/>
      <c r="W456" s="187"/>
      <c r="X456" s="69"/>
      <c r="Y456" s="69"/>
    </row>
    <row r="457" spans="1:25" ht="30" customHeight="1" x14ac:dyDescent="0.2">
      <c r="A457" s="45"/>
      <c r="B457" s="699" t="s">
        <v>420</v>
      </c>
      <c r="C457" s="1798" t="s">
        <v>416</v>
      </c>
      <c r="D457" s="1781"/>
      <c r="E457" s="1781"/>
      <c r="F457" s="1781"/>
      <c r="G457" s="1781"/>
      <c r="H457" s="1782"/>
      <c r="I457" s="409">
        <v>75</v>
      </c>
      <c r="J457" s="42">
        <v>1</v>
      </c>
      <c r="K457" s="226" t="s">
        <v>413</v>
      </c>
      <c r="L457" s="183">
        <v>16</v>
      </c>
      <c r="N457" s="182"/>
      <c r="O457" s="183">
        <v>16</v>
      </c>
      <c r="U457" s="70"/>
      <c r="V457" s="70"/>
      <c r="W457" s="187"/>
      <c r="X457" s="69"/>
      <c r="Y457" s="69"/>
    </row>
    <row r="458" spans="1:25" ht="30" customHeight="1" x14ac:dyDescent="0.2">
      <c r="A458" s="45"/>
      <c r="B458" s="699" t="s">
        <v>421</v>
      </c>
      <c r="C458" s="1805" t="s">
        <v>422</v>
      </c>
      <c r="D458" s="1806"/>
      <c r="E458" s="1806"/>
      <c r="F458" s="1806"/>
      <c r="G458" s="1806"/>
      <c r="H458" s="1806"/>
      <c r="I458" s="164">
        <v>40</v>
      </c>
      <c r="J458" s="42">
        <v>1</v>
      </c>
      <c r="K458" s="226" t="s">
        <v>413</v>
      </c>
      <c r="L458" s="183">
        <v>16</v>
      </c>
      <c r="N458" s="182"/>
      <c r="O458" s="183">
        <v>16</v>
      </c>
      <c r="U458" s="70"/>
      <c r="V458" s="70"/>
      <c r="W458" s="187"/>
      <c r="X458" s="69"/>
      <c r="Y458" s="69"/>
    </row>
    <row r="459" spans="1:25" ht="30" customHeight="1" x14ac:dyDescent="0.2">
      <c r="A459" s="45"/>
      <c r="B459" s="1725" t="s">
        <v>423</v>
      </c>
      <c r="C459" s="1726"/>
      <c r="D459" s="1726"/>
      <c r="E459" s="1726"/>
      <c r="F459" s="1726"/>
      <c r="G459" s="1726"/>
      <c r="H459" s="1726"/>
      <c r="I459" s="1726"/>
      <c r="J459" s="1727"/>
      <c r="K459" s="226" t="s">
        <v>413</v>
      </c>
      <c r="L459" s="183">
        <v>16</v>
      </c>
      <c r="N459" s="182" t="s">
        <v>30</v>
      </c>
      <c r="O459" s="183">
        <v>16</v>
      </c>
      <c r="U459" s="70"/>
      <c r="V459" s="70"/>
      <c r="W459" s="187"/>
      <c r="X459" s="69"/>
      <c r="Y459" s="69"/>
    </row>
    <row r="460" spans="1:25" ht="30" customHeight="1" x14ac:dyDescent="0.2">
      <c r="A460" s="45"/>
      <c r="B460" s="695" t="s">
        <v>418</v>
      </c>
      <c r="C460" s="1798" t="s">
        <v>419</v>
      </c>
      <c r="D460" s="1781"/>
      <c r="E460" s="1781"/>
      <c r="F460" s="1781"/>
      <c r="G460" s="1781"/>
      <c r="H460" s="1782"/>
      <c r="I460" s="409">
        <v>70</v>
      </c>
      <c r="J460" s="199">
        <v>1</v>
      </c>
      <c r="K460" s="226" t="s">
        <v>413</v>
      </c>
      <c r="L460" s="183">
        <v>16</v>
      </c>
      <c r="N460" s="182"/>
      <c r="O460" s="183">
        <v>16</v>
      </c>
      <c r="U460" s="70"/>
      <c r="V460" s="70"/>
      <c r="W460" s="187"/>
      <c r="X460" s="69"/>
      <c r="Y460" s="69"/>
    </row>
    <row r="461" spans="1:25" ht="30" customHeight="1" x14ac:dyDescent="0.2">
      <c r="A461" s="45"/>
      <c r="B461" s="540" t="s">
        <v>420</v>
      </c>
      <c r="C461" s="1798" t="s">
        <v>416</v>
      </c>
      <c r="D461" s="1781"/>
      <c r="E461" s="1781"/>
      <c r="F461" s="1781"/>
      <c r="G461" s="1781"/>
      <c r="H461" s="1782"/>
      <c r="I461" s="409">
        <v>75</v>
      </c>
      <c r="J461" s="199">
        <v>1</v>
      </c>
      <c r="K461" s="226" t="s">
        <v>413</v>
      </c>
      <c r="L461" s="183">
        <v>16</v>
      </c>
      <c r="N461" s="182"/>
      <c r="O461" s="183">
        <v>16</v>
      </c>
      <c r="U461" s="70"/>
      <c r="V461" s="70"/>
      <c r="W461" s="187"/>
      <c r="X461" s="69"/>
      <c r="Y461" s="69"/>
    </row>
    <row r="462" spans="1:25" ht="30" customHeight="1" x14ac:dyDescent="0.2">
      <c r="A462" s="45"/>
      <c r="B462" s="1795" t="s">
        <v>424</v>
      </c>
      <c r="C462" s="1796"/>
      <c r="D462" s="1796"/>
      <c r="E462" s="1796"/>
      <c r="F462" s="1796"/>
      <c r="G462" s="1796"/>
      <c r="H462" s="1796"/>
      <c r="I462" s="1796"/>
      <c r="J462" s="1797"/>
      <c r="K462" s="226" t="s">
        <v>413</v>
      </c>
      <c r="L462" s="183">
        <v>16</v>
      </c>
      <c r="N462" s="182" t="s">
        <v>30</v>
      </c>
      <c r="O462" s="183">
        <v>16</v>
      </c>
      <c r="U462" s="70"/>
      <c r="V462" s="70"/>
      <c r="W462" s="187"/>
      <c r="X462" s="69"/>
      <c r="Y462" s="69"/>
    </row>
    <row r="463" spans="1:25" ht="30" customHeight="1" x14ac:dyDescent="0.2">
      <c r="A463" s="45"/>
      <c r="B463" s="695" t="s">
        <v>418</v>
      </c>
      <c r="C463" s="1798" t="s">
        <v>419</v>
      </c>
      <c r="D463" s="1781"/>
      <c r="E463" s="1781"/>
      <c r="F463" s="1781"/>
      <c r="G463" s="1781"/>
      <c r="H463" s="1782"/>
      <c r="I463" s="164">
        <v>50</v>
      </c>
      <c r="J463" s="199">
        <v>1</v>
      </c>
      <c r="K463" s="226" t="s">
        <v>413</v>
      </c>
      <c r="L463" s="183">
        <v>16</v>
      </c>
      <c r="N463" s="182"/>
      <c r="O463" s="183">
        <v>16</v>
      </c>
      <c r="U463" s="70"/>
      <c r="V463" s="70"/>
      <c r="W463" s="187"/>
      <c r="X463" s="69"/>
      <c r="Y463" s="69"/>
    </row>
    <row r="464" spans="1:25" ht="30" customHeight="1" x14ac:dyDescent="0.2">
      <c r="A464" s="45"/>
      <c r="B464" s="540" t="s">
        <v>425</v>
      </c>
      <c r="C464" s="1798" t="s">
        <v>416</v>
      </c>
      <c r="D464" s="1781"/>
      <c r="E464" s="1781"/>
      <c r="F464" s="1781"/>
      <c r="G464" s="1781"/>
      <c r="H464" s="1782"/>
      <c r="I464" s="409">
        <v>75</v>
      </c>
      <c r="J464" s="199">
        <v>1</v>
      </c>
      <c r="K464" s="226" t="s">
        <v>413</v>
      </c>
      <c r="L464" s="183">
        <v>16</v>
      </c>
      <c r="N464" s="182"/>
      <c r="O464" s="183">
        <v>16</v>
      </c>
      <c r="U464" s="70"/>
      <c r="V464" s="70"/>
      <c r="W464" s="187"/>
      <c r="X464" s="69"/>
      <c r="Y464" s="69"/>
    </row>
    <row r="465" spans="2:25" ht="30" customHeight="1" x14ac:dyDescent="0.2">
      <c r="B465" s="540" t="s">
        <v>426</v>
      </c>
      <c r="C465" s="1706" t="s">
        <v>427</v>
      </c>
      <c r="D465" s="1792"/>
      <c r="E465" s="1792"/>
      <c r="F465" s="1792"/>
      <c r="G465" s="1792"/>
      <c r="H465" s="1792"/>
      <c r="I465" s="164">
        <v>70</v>
      </c>
      <c r="J465" s="199">
        <v>1</v>
      </c>
      <c r="K465" s="226" t="s">
        <v>413</v>
      </c>
      <c r="L465" s="183">
        <v>16</v>
      </c>
      <c r="N465" s="182"/>
      <c r="O465" s="183">
        <v>16</v>
      </c>
      <c r="U465" s="70"/>
      <c r="V465" s="70"/>
      <c r="W465" s="187"/>
      <c r="X465" s="69"/>
      <c r="Y465" s="69"/>
    </row>
    <row r="466" spans="2:25" ht="30" customHeight="1" x14ac:dyDescent="0.2">
      <c r="B466" s="1801" t="s">
        <v>428</v>
      </c>
      <c r="C466" s="1802"/>
      <c r="D466" s="1802"/>
      <c r="E466" s="1802"/>
      <c r="F466" s="1802"/>
      <c r="G466" s="1802"/>
      <c r="H466" s="1802"/>
      <c r="I466" s="1802"/>
      <c r="J466" s="1803"/>
      <c r="K466" s="226" t="s">
        <v>413</v>
      </c>
      <c r="L466" s="183">
        <v>16</v>
      </c>
      <c r="N466" s="182" t="s">
        <v>30</v>
      </c>
      <c r="O466" s="183">
        <v>16</v>
      </c>
      <c r="U466" s="70"/>
      <c r="V466" s="70"/>
      <c r="W466" s="187"/>
      <c r="X466" s="69"/>
      <c r="Y466" s="69"/>
    </row>
    <row r="467" spans="2:25" ht="30" customHeight="1" x14ac:dyDescent="0.2">
      <c r="B467" s="695" t="s">
        <v>418</v>
      </c>
      <c r="C467" s="1798" t="s">
        <v>419</v>
      </c>
      <c r="D467" s="1781"/>
      <c r="E467" s="1781"/>
      <c r="F467" s="1781"/>
      <c r="G467" s="1781"/>
      <c r="H467" s="1782"/>
      <c r="I467" s="409">
        <v>40</v>
      </c>
      <c r="J467" s="199">
        <v>1</v>
      </c>
      <c r="K467" s="226" t="s">
        <v>413</v>
      </c>
      <c r="L467" s="183">
        <v>16</v>
      </c>
      <c r="N467" s="182"/>
      <c r="O467" s="183">
        <v>16</v>
      </c>
      <c r="U467" s="70"/>
      <c r="V467" s="70"/>
      <c r="W467" s="187"/>
      <c r="X467" s="69"/>
      <c r="Y467" s="69"/>
    </row>
    <row r="468" spans="2:25" ht="30" customHeight="1" x14ac:dyDescent="0.2">
      <c r="B468" s="540" t="s">
        <v>420</v>
      </c>
      <c r="C468" s="1798" t="s">
        <v>416</v>
      </c>
      <c r="D468" s="1781"/>
      <c r="E468" s="1781"/>
      <c r="F468" s="1781"/>
      <c r="G468" s="1781"/>
      <c r="H468" s="1782"/>
      <c r="I468" s="409">
        <v>150</v>
      </c>
      <c r="J468" s="199">
        <v>1</v>
      </c>
      <c r="K468" s="226" t="s">
        <v>413</v>
      </c>
      <c r="L468" s="183">
        <v>16</v>
      </c>
      <c r="N468" s="182"/>
      <c r="O468" s="183">
        <v>16</v>
      </c>
      <c r="U468" s="70"/>
      <c r="V468" s="70"/>
      <c r="W468" s="187"/>
      <c r="X468" s="69"/>
      <c r="Y468" s="69"/>
    </row>
    <row r="469" spans="2:25" ht="30" customHeight="1" x14ac:dyDescent="0.2">
      <c r="B469" s="620" t="s">
        <v>429</v>
      </c>
      <c r="C469" s="1252" t="s">
        <v>422</v>
      </c>
      <c r="D469" s="1804"/>
      <c r="E469" s="1804"/>
      <c r="F469" s="1804"/>
      <c r="G469" s="1804"/>
      <c r="H469" s="1804"/>
      <c r="I469" s="539">
        <v>40</v>
      </c>
      <c r="J469" s="199">
        <v>1</v>
      </c>
      <c r="K469" s="226" t="s">
        <v>413</v>
      </c>
      <c r="L469" s="183">
        <v>16</v>
      </c>
      <c r="N469" s="182"/>
      <c r="O469" s="183">
        <v>16</v>
      </c>
      <c r="U469" s="70"/>
      <c r="V469" s="70"/>
      <c r="W469" s="187"/>
      <c r="X469" s="69"/>
      <c r="Y469" s="69"/>
    </row>
    <row r="470" spans="2:25" ht="30" customHeight="1" x14ac:dyDescent="0.2">
      <c r="B470" s="1795" t="s">
        <v>430</v>
      </c>
      <c r="C470" s="1796"/>
      <c r="D470" s="1796"/>
      <c r="E470" s="1796"/>
      <c r="F470" s="1796"/>
      <c r="G470" s="1796"/>
      <c r="H470" s="1796"/>
      <c r="I470" s="1796"/>
      <c r="J470" s="1797"/>
      <c r="K470" s="226" t="s">
        <v>413</v>
      </c>
      <c r="L470" s="183">
        <v>16</v>
      </c>
      <c r="N470" s="182" t="s">
        <v>30</v>
      </c>
      <c r="O470" s="183">
        <v>16</v>
      </c>
      <c r="U470" s="70"/>
      <c r="V470" s="70"/>
      <c r="W470" s="187"/>
      <c r="X470" s="69"/>
      <c r="Y470" s="69"/>
    </row>
    <row r="471" spans="2:25" ht="30" customHeight="1" x14ac:dyDescent="0.2">
      <c r="B471" s="695" t="s">
        <v>418</v>
      </c>
      <c r="C471" s="1798" t="s">
        <v>419</v>
      </c>
      <c r="D471" s="1781"/>
      <c r="E471" s="1781"/>
      <c r="F471" s="1781"/>
      <c r="G471" s="1781"/>
      <c r="H471" s="1782"/>
      <c r="I471" s="409">
        <v>50</v>
      </c>
      <c r="J471" s="42">
        <v>1</v>
      </c>
      <c r="K471" s="226" t="s">
        <v>413</v>
      </c>
      <c r="L471" s="183">
        <v>16</v>
      </c>
      <c r="N471" s="182"/>
      <c r="O471" s="183">
        <v>16</v>
      </c>
      <c r="U471" s="70"/>
      <c r="V471" s="70"/>
      <c r="W471" s="187"/>
      <c r="X471" s="69"/>
      <c r="Y471" s="69"/>
    </row>
    <row r="472" spans="2:25" ht="30" customHeight="1" x14ac:dyDescent="0.2">
      <c r="B472" s="540" t="s">
        <v>420</v>
      </c>
      <c r="C472" s="1798" t="s">
        <v>416</v>
      </c>
      <c r="D472" s="1781"/>
      <c r="E472" s="1781"/>
      <c r="F472" s="1781"/>
      <c r="G472" s="1781"/>
      <c r="H472" s="1782"/>
      <c r="I472" s="409">
        <v>100</v>
      </c>
      <c r="J472" s="42">
        <v>1</v>
      </c>
      <c r="K472" s="226" t="s">
        <v>413</v>
      </c>
      <c r="L472" s="183">
        <v>16</v>
      </c>
      <c r="N472" s="182"/>
      <c r="O472" s="183">
        <v>16</v>
      </c>
      <c r="U472" s="70"/>
      <c r="V472" s="70"/>
      <c r="W472" s="187"/>
      <c r="X472" s="69"/>
      <c r="Y472" s="69"/>
    </row>
    <row r="473" spans="2:25" ht="30" customHeight="1" x14ac:dyDescent="0.2">
      <c r="B473" s="1788" t="s">
        <v>431</v>
      </c>
      <c r="C473" s="1799"/>
      <c r="D473" s="1799"/>
      <c r="E473" s="1799"/>
      <c r="F473" s="1799"/>
      <c r="G473" s="1799"/>
      <c r="H473" s="1799"/>
      <c r="I473" s="1799"/>
      <c r="J473" s="1800"/>
      <c r="K473" s="226" t="s">
        <v>413</v>
      </c>
      <c r="L473" s="183">
        <v>16</v>
      </c>
      <c r="N473" s="182" t="s">
        <v>30</v>
      </c>
      <c r="O473" s="183">
        <v>16</v>
      </c>
      <c r="U473" s="70"/>
      <c r="V473" s="70"/>
      <c r="W473" s="187"/>
      <c r="X473" s="69"/>
      <c r="Y473" s="69"/>
    </row>
    <row r="474" spans="2:25" ht="30" customHeight="1" x14ac:dyDescent="0.2">
      <c r="B474" s="1791" t="s">
        <v>432</v>
      </c>
      <c r="C474" s="1706" t="s">
        <v>433</v>
      </c>
      <c r="D474" s="1706"/>
      <c r="E474" s="1706"/>
      <c r="F474" s="1706"/>
      <c r="G474" s="1706"/>
      <c r="H474" s="1706"/>
      <c r="I474" s="409">
        <v>50</v>
      </c>
      <c r="J474" s="42">
        <v>1</v>
      </c>
      <c r="K474" s="226" t="s">
        <v>413</v>
      </c>
      <c r="L474" s="183">
        <v>16</v>
      </c>
      <c r="N474" s="182"/>
      <c r="O474" s="183">
        <v>16</v>
      </c>
      <c r="U474" s="70"/>
      <c r="V474" s="70"/>
      <c r="W474" s="187"/>
      <c r="X474" s="69"/>
      <c r="Y474" s="69"/>
    </row>
    <row r="475" spans="2:25" ht="30" customHeight="1" x14ac:dyDescent="0.2">
      <c r="B475" s="1644"/>
      <c r="C475" s="1706" t="s">
        <v>434</v>
      </c>
      <c r="D475" s="1706"/>
      <c r="E475" s="1706"/>
      <c r="F475" s="1706"/>
      <c r="G475" s="1706"/>
      <c r="H475" s="1706"/>
      <c r="I475" s="409">
        <v>50</v>
      </c>
      <c r="J475" s="42">
        <v>1</v>
      </c>
      <c r="K475" s="226" t="s">
        <v>413</v>
      </c>
      <c r="L475" s="183">
        <v>16</v>
      </c>
      <c r="N475" s="182"/>
      <c r="O475" s="183">
        <v>16</v>
      </c>
      <c r="U475" s="70"/>
      <c r="V475" s="70"/>
      <c r="W475" s="187"/>
      <c r="X475" s="69"/>
      <c r="Y475" s="69"/>
    </row>
    <row r="476" spans="2:25" ht="30" customHeight="1" x14ac:dyDescent="0.2">
      <c r="B476" s="1644"/>
      <c r="C476" s="1706" t="s">
        <v>435</v>
      </c>
      <c r="D476" s="1706"/>
      <c r="E476" s="1706"/>
      <c r="F476" s="1706"/>
      <c r="G476" s="1706"/>
      <c r="H476" s="1706"/>
      <c r="I476" s="409">
        <v>50</v>
      </c>
      <c r="J476" s="42">
        <v>1</v>
      </c>
      <c r="K476" s="226" t="s">
        <v>413</v>
      </c>
      <c r="L476" s="183">
        <v>16</v>
      </c>
      <c r="N476" s="182"/>
      <c r="O476" s="183">
        <v>16</v>
      </c>
      <c r="U476" s="70"/>
      <c r="V476" s="70"/>
      <c r="W476" s="187"/>
      <c r="X476" s="69"/>
      <c r="Y476" s="69"/>
    </row>
    <row r="477" spans="2:25" ht="30" customHeight="1" x14ac:dyDescent="0.2">
      <c r="B477" s="1644"/>
      <c r="C477" s="1706" t="s">
        <v>436</v>
      </c>
      <c r="D477" s="1706"/>
      <c r="E477" s="1706"/>
      <c r="F477" s="1706"/>
      <c r="G477" s="1706"/>
      <c r="H477" s="1706"/>
      <c r="I477" s="409">
        <v>50</v>
      </c>
      <c r="J477" s="42">
        <v>1</v>
      </c>
      <c r="K477" s="226" t="s">
        <v>413</v>
      </c>
      <c r="L477" s="183">
        <v>16</v>
      </c>
      <c r="N477" s="182"/>
      <c r="O477" s="183">
        <v>16</v>
      </c>
      <c r="U477" s="70"/>
      <c r="V477" s="70"/>
      <c r="W477" s="187"/>
      <c r="X477" s="69"/>
      <c r="Y477" s="69"/>
    </row>
    <row r="478" spans="2:25" ht="30" customHeight="1" x14ac:dyDescent="0.2">
      <c r="B478" s="1644"/>
      <c r="C478" s="1706" t="s">
        <v>437</v>
      </c>
      <c r="D478" s="1706"/>
      <c r="E478" s="1706"/>
      <c r="F478" s="1706"/>
      <c r="G478" s="1706"/>
      <c r="H478" s="1706"/>
      <c r="I478" s="409">
        <v>50</v>
      </c>
      <c r="J478" s="42">
        <v>1</v>
      </c>
      <c r="K478" s="226" t="s">
        <v>413</v>
      </c>
      <c r="L478" s="183">
        <v>16</v>
      </c>
      <c r="N478" s="182"/>
      <c r="O478" s="183">
        <v>16</v>
      </c>
      <c r="U478" s="70"/>
      <c r="V478" s="70"/>
      <c r="W478" s="187"/>
      <c r="X478" s="69"/>
      <c r="Y478" s="69"/>
    </row>
    <row r="479" spans="2:25" ht="30" customHeight="1" x14ac:dyDescent="0.2">
      <c r="B479" s="1644"/>
      <c r="C479" s="1706" t="s">
        <v>438</v>
      </c>
      <c r="D479" s="1706"/>
      <c r="E479" s="1706"/>
      <c r="F479" s="1706"/>
      <c r="G479" s="1706"/>
      <c r="H479" s="1706"/>
      <c r="I479" s="409">
        <v>50</v>
      </c>
      <c r="J479" s="42">
        <v>1</v>
      </c>
      <c r="K479" s="226" t="s">
        <v>413</v>
      </c>
      <c r="L479" s="183">
        <v>16</v>
      </c>
      <c r="N479" s="182"/>
      <c r="O479" s="183">
        <v>16</v>
      </c>
      <c r="U479" s="70"/>
      <c r="V479" s="70"/>
      <c r="W479" s="187"/>
      <c r="X479" s="69"/>
      <c r="Y479" s="69"/>
    </row>
    <row r="480" spans="2:25" ht="30" customHeight="1" x14ac:dyDescent="0.2">
      <c r="B480" s="1644"/>
      <c r="C480" s="1706" t="s">
        <v>439</v>
      </c>
      <c r="D480" s="1706"/>
      <c r="E480" s="1706"/>
      <c r="F480" s="1706"/>
      <c r="G480" s="1706"/>
      <c r="H480" s="1706"/>
      <c r="I480" s="409">
        <v>50</v>
      </c>
      <c r="J480" s="42">
        <v>1</v>
      </c>
      <c r="K480" s="226" t="s">
        <v>413</v>
      </c>
      <c r="L480" s="183">
        <v>16</v>
      </c>
      <c r="N480" s="182"/>
      <c r="O480" s="183">
        <v>16</v>
      </c>
      <c r="U480" s="70"/>
      <c r="V480" s="70"/>
      <c r="W480" s="187"/>
      <c r="X480" s="69"/>
      <c r="Y480" s="69"/>
    </row>
    <row r="481" spans="1:25" ht="30" customHeight="1" x14ac:dyDescent="0.2">
      <c r="B481" s="1783" t="s">
        <v>440</v>
      </c>
      <c r="C481" s="1635" t="s">
        <v>441</v>
      </c>
      <c r="D481" s="1636"/>
      <c r="E481" s="1636"/>
      <c r="F481" s="1636"/>
      <c r="G481" s="1636"/>
      <c r="H481" s="1637"/>
      <c r="I481" s="409">
        <v>500</v>
      </c>
      <c r="J481" s="42">
        <v>1</v>
      </c>
      <c r="K481" s="226" t="s">
        <v>413</v>
      </c>
      <c r="L481" s="183">
        <v>16</v>
      </c>
      <c r="N481" s="182" t="s">
        <v>30</v>
      </c>
      <c r="O481" s="183">
        <v>16</v>
      </c>
      <c r="U481" s="70"/>
      <c r="V481" s="70"/>
      <c r="W481" s="187"/>
      <c r="X481" s="69"/>
      <c r="Y481" s="69"/>
    </row>
    <row r="482" spans="1:25" ht="30" customHeight="1" x14ac:dyDescent="0.2">
      <c r="B482" s="1793"/>
      <c r="C482" s="1635" t="s">
        <v>438</v>
      </c>
      <c r="D482" s="1636"/>
      <c r="E482" s="1636"/>
      <c r="F482" s="1636"/>
      <c r="G482" s="1636"/>
      <c r="H482" s="1637"/>
      <c r="I482" s="409">
        <v>100</v>
      </c>
      <c r="J482" s="42">
        <v>1</v>
      </c>
      <c r="K482" s="226" t="s">
        <v>413</v>
      </c>
      <c r="L482" s="183">
        <v>16</v>
      </c>
      <c r="O482" s="183">
        <v>16</v>
      </c>
      <c r="U482" s="70"/>
      <c r="V482" s="70"/>
      <c r="W482" s="187"/>
      <c r="X482" s="69"/>
      <c r="Y482" s="69"/>
    </row>
    <row r="483" spans="1:25" ht="30" customHeight="1" x14ac:dyDescent="0.2">
      <c r="B483" s="1794"/>
      <c r="C483" s="1635" t="s">
        <v>442</v>
      </c>
      <c r="D483" s="1636"/>
      <c r="E483" s="1636"/>
      <c r="F483" s="1636"/>
      <c r="G483" s="1636"/>
      <c r="H483" s="1637"/>
      <c r="I483" s="409">
        <v>75</v>
      </c>
      <c r="J483" s="42">
        <v>1</v>
      </c>
      <c r="K483" s="226" t="s">
        <v>413</v>
      </c>
      <c r="L483" s="183">
        <v>16</v>
      </c>
      <c r="O483" s="183">
        <v>16</v>
      </c>
      <c r="U483" s="70"/>
      <c r="V483" s="70"/>
      <c r="W483" s="187"/>
      <c r="X483" s="69"/>
      <c r="Y483" s="69"/>
    </row>
    <row r="484" spans="1:25" ht="30" customHeight="1" x14ac:dyDescent="0.2">
      <c r="B484" s="1788" t="s">
        <v>443</v>
      </c>
      <c r="C484" s="1789"/>
      <c r="D484" s="1789"/>
      <c r="E484" s="1789"/>
      <c r="F484" s="1789"/>
      <c r="G484" s="1789"/>
      <c r="H484" s="1789"/>
      <c r="I484" s="1789"/>
      <c r="J484" s="1790"/>
      <c r="K484" s="226" t="s">
        <v>413</v>
      </c>
      <c r="L484" s="183">
        <v>16</v>
      </c>
      <c r="N484" s="182" t="s">
        <v>30</v>
      </c>
      <c r="O484" s="183">
        <v>16</v>
      </c>
      <c r="U484" s="70"/>
      <c r="V484" s="70"/>
      <c r="W484" s="187"/>
      <c r="X484" s="69"/>
      <c r="Y484" s="69"/>
    </row>
    <row r="485" spans="1:25" ht="30" customHeight="1" x14ac:dyDescent="0.2">
      <c r="B485" s="1791" t="s">
        <v>432</v>
      </c>
      <c r="C485" s="1706" t="s">
        <v>433</v>
      </c>
      <c r="D485" s="1706"/>
      <c r="E485" s="1706"/>
      <c r="F485" s="1706"/>
      <c r="G485" s="1706"/>
      <c r="H485" s="1706"/>
      <c r="I485" s="409">
        <v>50</v>
      </c>
      <c r="J485" s="42">
        <v>1</v>
      </c>
      <c r="K485" s="226" t="s">
        <v>413</v>
      </c>
      <c r="L485" s="183">
        <v>16</v>
      </c>
      <c r="O485" s="183">
        <v>16</v>
      </c>
      <c r="U485" s="70"/>
      <c r="V485" s="70"/>
      <c r="W485" s="187"/>
      <c r="X485" s="69"/>
      <c r="Y485" s="69"/>
    </row>
    <row r="486" spans="1:25" ht="30" customHeight="1" x14ac:dyDescent="0.2">
      <c r="B486" s="1644"/>
      <c r="C486" s="1706" t="s">
        <v>434</v>
      </c>
      <c r="D486" s="1706"/>
      <c r="E486" s="1706"/>
      <c r="F486" s="1706"/>
      <c r="G486" s="1706"/>
      <c r="H486" s="1706"/>
      <c r="I486" s="409">
        <v>50</v>
      </c>
      <c r="J486" s="42">
        <v>1</v>
      </c>
      <c r="K486" s="226" t="s">
        <v>413</v>
      </c>
      <c r="L486" s="183">
        <v>16</v>
      </c>
      <c r="O486" s="183">
        <v>16</v>
      </c>
      <c r="U486" s="70"/>
      <c r="V486" s="70"/>
      <c r="W486" s="187"/>
      <c r="X486" s="69"/>
      <c r="Y486" s="69"/>
    </row>
    <row r="487" spans="1:25" ht="30" customHeight="1" x14ac:dyDescent="0.2">
      <c r="B487" s="1644"/>
      <c r="C487" s="1706" t="s">
        <v>444</v>
      </c>
      <c r="D487" s="1706"/>
      <c r="E487" s="1706"/>
      <c r="F487" s="1706"/>
      <c r="G487" s="1706"/>
      <c r="H487" s="1706"/>
      <c r="I487" s="409">
        <v>50</v>
      </c>
      <c r="J487" s="42">
        <v>1</v>
      </c>
      <c r="K487" s="226" t="s">
        <v>413</v>
      </c>
      <c r="L487" s="183">
        <v>16</v>
      </c>
      <c r="O487" s="183">
        <v>16</v>
      </c>
      <c r="U487" s="70"/>
      <c r="V487" s="70"/>
      <c r="W487" s="187"/>
      <c r="X487" s="69"/>
      <c r="Y487" s="69"/>
    </row>
    <row r="488" spans="1:25" ht="30" customHeight="1" x14ac:dyDescent="0.2">
      <c r="B488" s="1644"/>
      <c r="C488" s="1706" t="s">
        <v>436</v>
      </c>
      <c r="D488" s="1706"/>
      <c r="E488" s="1706"/>
      <c r="F488" s="1706"/>
      <c r="G488" s="1706"/>
      <c r="H488" s="1706"/>
      <c r="I488" s="409">
        <v>50</v>
      </c>
      <c r="J488" s="42">
        <v>1</v>
      </c>
      <c r="K488" s="226" t="s">
        <v>413</v>
      </c>
      <c r="L488" s="183">
        <v>16</v>
      </c>
      <c r="N488" s="45"/>
      <c r="O488" s="183">
        <v>16</v>
      </c>
      <c r="U488" s="70"/>
      <c r="V488" s="70"/>
      <c r="W488" s="187"/>
      <c r="X488" s="69"/>
      <c r="Y488" s="69"/>
    </row>
    <row r="489" spans="1:25" ht="30" customHeight="1" x14ac:dyDescent="0.2">
      <c r="B489" s="1644"/>
      <c r="C489" s="1792" t="s">
        <v>439</v>
      </c>
      <c r="D489" s="1792"/>
      <c r="E489" s="1792"/>
      <c r="F489" s="1792"/>
      <c r="G489" s="1792"/>
      <c r="H489" s="1792"/>
      <c r="I489" s="409">
        <v>50</v>
      </c>
      <c r="J489" s="42">
        <v>1</v>
      </c>
      <c r="K489" s="226" t="s">
        <v>413</v>
      </c>
      <c r="L489" s="183">
        <v>16</v>
      </c>
      <c r="O489" s="183">
        <v>16</v>
      </c>
      <c r="U489" s="70"/>
      <c r="V489" s="70"/>
      <c r="W489" s="187"/>
      <c r="X489" s="69"/>
      <c r="Y489" s="69"/>
    </row>
    <row r="490" spans="1:25" ht="30" customHeight="1" x14ac:dyDescent="0.2">
      <c r="B490" s="1783" t="s">
        <v>440</v>
      </c>
      <c r="C490" s="1635" t="s">
        <v>438</v>
      </c>
      <c r="D490" s="1636"/>
      <c r="E490" s="1636"/>
      <c r="F490" s="1636"/>
      <c r="G490" s="1636"/>
      <c r="H490" s="1637"/>
      <c r="I490" s="409">
        <v>100</v>
      </c>
      <c r="J490" s="42">
        <v>1</v>
      </c>
      <c r="K490" s="226" t="s">
        <v>413</v>
      </c>
      <c r="L490" s="183">
        <v>16</v>
      </c>
      <c r="N490" s="182" t="s">
        <v>30</v>
      </c>
      <c r="O490" s="183">
        <v>16</v>
      </c>
      <c r="U490" s="70"/>
      <c r="V490" s="70"/>
      <c r="W490" s="187"/>
      <c r="X490" s="69"/>
      <c r="Y490" s="69"/>
    </row>
    <row r="491" spans="1:25" ht="30" customHeight="1" x14ac:dyDescent="0.2">
      <c r="B491" s="1785"/>
      <c r="C491" s="1635" t="s">
        <v>439</v>
      </c>
      <c r="D491" s="1636"/>
      <c r="E491" s="1636"/>
      <c r="F491" s="1636"/>
      <c r="G491" s="1636"/>
      <c r="H491" s="1637"/>
      <c r="I491" s="409">
        <v>75</v>
      </c>
      <c r="J491" s="42">
        <v>1</v>
      </c>
      <c r="K491" s="226" t="s">
        <v>413</v>
      </c>
      <c r="L491" s="183">
        <v>16</v>
      </c>
      <c r="O491" s="183">
        <v>16</v>
      </c>
      <c r="U491" s="70"/>
      <c r="V491" s="70"/>
      <c r="W491" s="187"/>
      <c r="X491" s="69"/>
      <c r="Y491" s="69"/>
    </row>
    <row r="492" spans="1:25" ht="45" customHeight="1" x14ac:dyDescent="0.2">
      <c r="B492" s="1635" t="s">
        <v>445</v>
      </c>
      <c r="C492" s="1636"/>
      <c r="D492" s="1636"/>
      <c r="E492" s="1636"/>
      <c r="F492" s="1636"/>
      <c r="G492" s="1636"/>
      <c r="H492" s="1636"/>
      <c r="I492" s="1636"/>
      <c r="J492" s="1637"/>
      <c r="K492" s="226" t="s">
        <v>413</v>
      </c>
      <c r="L492" s="183">
        <v>16</v>
      </c>
      <c r="N492" s="182"/>
      <c r="O492" s="183">
        <v>16</v>
      </c>
      <c r="U492" s="70"/>
      <c r="V492" s="70"/>
      <c r="W492" s="187"/>
      <c r="X492" s="69"/>
      <c r="Y492" s="69"/>
    </row>
    <row r="493" spans="1:25" ht="20.100000000000001" customHeight="1" x14ac:dyDescent="0.2">
      <c r="B493" s="648"/>
      <c r="C493" s="648"/>
      <c r="D493" s="648"/>
      <c r="E493" s="648"/>
      <c r="F493" s="648"/>
      <c r="G493" s="648"/>
      <c r="H493" s="593"/>
      <c r="I493" s="700"/>
      <c r="N493" s="149"/>
    </row>
    <row r="494" spans="1:25" ht="30" customHeight="1" x14ac:dyDescent="0.2">
      <c r="A494" s="45"/>
      <c r="B494" s="1662" t="s">
        <v>446</v>
      </c>
      <c r="C494" s="1663"/>
      <c r="D494" s="1663"/>
      <c r="E494" s="1663"/>
      <c r="F494" s="1663"/>
      <c r="G494" s="1663"/>
      <c r="H494" s="1664"/>
      <c r="I494" s="406" t="s">
        <v>17</v>
      </c>
      <c r="J494" s="35" t="s">
        <v>18</v>
      </c>
      <c r="K494" s="226" t="s">
        <v>447</v>
      </c>
      <c r="L494" s="183">
        <v>17</v>
      </c>
      <c r="N494" s="182" t="s">
        <v>30</v>
      </c>
      <c r="O494" s="183">
        <v>17</v>
      </c>
    </row>
    <row r="495" spans="1:25" ht="30" customHeight="1" x14ac:dyDescent="0.2">
      <c r="A495" s="45"/>
      <c r="B495" s="1725" t="s">
        <v>448</v>
      </c>
      <c r="C495" s="1726"/>
      <c r="D495" s="1726"/>
      <c r="E495" s="1726"/>
      <c r="F495" s="1726"/>
      <c r="G495" s="1726"/>
      <c r="H495" s="1726"/>
      <c r="I495" s="1726"/>
      <c r="J495" s="1727"/>
      <c r="K495" s="226" t="s">
        <v>447</v>
      </c>
      <c r="L495" s="183">
        <v>17</v>
      </c>
      <c r="O495" s="183">
        <v>17</v>
      </c>
    </row>
    <row r="496" spans="1:25" ht="39.950000000000003" customHeight="1" x14ac:dyDescent="0.2">
      <c r="A496" s="45"/>
      <c r="B496" s="538" t="s">
        <v>449</v>
      </c>
      <c r="C496" s="1169" t="s">
        <v>450</v>
      </c>
      <c r="D496" s="1170"/>
      <c r="E496" s="1170"/>
      <c r="F496" s="1170"/>
      <c r="G496" s="1170"/>
      <c r="H496" s="1171"/>
      <c r="I496" s="409">
        <v>0</v>
      </c>
      <c r="J496" s="42">
        <v>1</v>
      </c>
      <c r="K496" s="226" t="s">
        <v>447</v>
      </c>
      <c r="L496" s="183">
        <v>17</v>
      </c>
      <c r="O496" s="183">
        <v>17</v>
      </c>
    </row>
    <row r="497" spans="1:25" ht="39.950000000000003" customHeight="1" x14ac:dyDescent="0.2">
      <c r="A497" s="45"/>
      <c r="B497" s="538" t="s">
        <v>451</v>
      </c>
      <c r="C497" s="1635" t="s">
        <v>887</v>
      </c>
      <c r="D497" s="1636"/>
      <c r="E497" s="1636"/>
      <c r="F497" s="1636"/>
      <c r="G497" s="1636"/>
      <c r="H497" s="1637"/>
      <c r="I497" s="409">
        <v>0</v>
      </c>
      <c r="J497" s="42">
        <v>1</v>
      </c>
      <c r="K497" s="226" t="s">
        <v>447</v>
      </c>
      <c r="L497" s="183">
        <v>17</v>
      </c>
      <c r="N497" s="182"/>
      <c r="O497" s="183">
        <v>17</v>
      </c>
    </row>
    <row r="498" spans="1:25" ht="20.100000000000001" customHeight="1" x14ac:dyDescent="0.2">
      <c r="A498" s="45"/>
      <c r="B498" s="591"/>
      <c r="C498" s="648"/>
      <c r="D498" s="648"/>
      <c r="E498" s="648"/>
      <c r="F498" s="648"/>
      <c r="G498" s="648"/>
      <c r="H498" s="648"/>
      <c r="I498" s="593"/>
      <c r="J498" s="65"/>
    </row>
    <row r="499" spans="1:25" ht="30" customHeight="1" x14ac:dyDescent="0.2">
      <c r="A499" s="45"/>
      <c r="B499" s="1662" t="s">
        <v>453</v>
      </c>
      <c r="C499" s="1663"/>
      <c r="D499" s="1663"/>
      <c r="E499" s="1663"/>
      <c r="F499" s="1663"/>
      <c r="G499" s="1663"/>
      <c r="H499" s="1664"/>
      <c r="I499" s="406" t="s">
        <v>17</v>
      </c>
      <c r="J499" s="35" t="s">
        <v>18</v>
      </c>
      <c r="K499" s="237" t="s">
        <v>454</v>
      </c>
      <c r="L499" s="238">
        <v>18</v>
      </c>
      <c r="N499" s="182" t="s">
        <v>30</v>
      </c>
      <c r="O499" s="238">
        <v>18</v>
      </c>
    </row>
    <row r="500" spans="1:25" ht="30" customHeight="1" x14ac:dyDescent="0.2">
      <c r="A500" s="45"/>
      <c r="B500" s="1635" t="s">
        <v>455</v>
      </c>
      <c r="C500" s="1781"/>
      <c r="D500" s="1781"/>
      <c r="E500" s="1781"/>
      <c r="F500" s="1781"/>
      <c r="G500" s="1781"/>
      <c r="H500" s="1781"/>
      <c r="I500" s="1781"/>
      <c r="J500" s="1782"/>
      <c r="K500" s="237" t="s">
        <v>454</v>
      </c>
      <c r="L500" s="238">
        <v>18</v>
      </c>
      <c r="O500" s="238">
        <v>18</v>
      </c>
    </row>
    <row r="501" spans="1:25" ht="30" customHeight="1" x14ac:dyDescent="0.2">
      <c r="B501" s="1783" t="s">
        <v>456</v>
      </c>
      <c r="C501" s="542" t="s">
        <v>458</v>
      </c>
      <c r="D501" s="235"/>
      <c r="E501" s="235" t="s">
        <v>92</v>
      </c>
      <c r="F501" s="235"/>
      <c r="G501" s="1786" t="s">
        <v>457</v>
      </c>
      <c r="H501" s="1787"/>
      <c r="I501" s="1698">
        <v>0</v>
      </c>
      <c r="J501" s="915">
        <v>1</v>
      </c>
      <c r="K501" s="237" t="s">
        <v>454</v>
      </c>
      <c r="L501" s="238">
        <v>18</v>
      </c>
      <c r="O501" s="238">
        <v>18</v>
      </c>
      <c r="U501" s="70"/>
      <c r="W501" s="239"/>
      <c r="X501" s="694"/>
      <c r="Y501" s="69"/>
    </row>
    <row r="502" spans="1:25" ht="30" customHeight="1" x14ac:dyDescent="0.2">
      <c r="B502" s="1784"/>
      <c r="C502" s="1774" t="s">
        <v>459</v>
      </c>
      <c r="D502" s="1775"/>
      <c r="E502" s="1779" t="s">
        <v>27</v>
      </c>
      <c r="F502" s="1779"/>
      <c r="G502" s="1775" t="s">
        <v>460</v>
      </c>
      <c r="H502" s="1776"/>
      <c r="I502" s="1699"/>
      <c r="J502" s="1045"/>
      <c r="K502" s="237" t="s">
        <v>454</v>
      </c>
      <c r="L502" s="238">
        <v>18</v>
      </c>
      <c r="O502" s="238">
        <v>18</v>
      </c>
      <c r="U502" s="70"/>
      <c r="V502" s="701"/>
      <c r="W502" s="239"/>
      <c r="X502" s="694"/>
      <c r="Y502" s="69"/>
    </row>
    <row r="503" spans="1:25" ht="30" customHeight="1" x14ac:dyDescent="0.2">
      <c r="A503" s="45"/>
      <c r="B503" s="1784"/>
      <c r="C503" s="1778" t="s">
        <v>72</v>
      </c>
      <c r="D503" s="1779"/>
      <c r="E503" s="1775" t="s">
        <v>461</v>
      </c>
      <c r="F503" s="1775"/>
      <c r="G503" s="1775" t="s">
        <v>462</v>
      </c>
      <c r="H503" s="1776"/>
      <c r="I503" s="1699"/>
      <c r="J503" s="1045"/>
      <c r="K503" s="237" t="s">
        <v>454</v>
      </c>
      <c r="L503" s="238">
        <v>18</v>
      </c>
      <c r="O503" s="238">
        <v>18</v>
      </c>
      <c r="U503" s="70"/>
      <c r="V503" s="1780"/>
      <c r="W503" s="702"/>
      <c r="X503" s="703"/>
      <c r="Y503" s="69"/>
    </row>
    <row r="504" spans="1:25" ht="30" customHeight="1" x14ac:dyDescent="0.2">
      <c r="A504" s="45"/>
      <c r="B504" s="1784"/>
      <c r="C504" s="1778" t="s">
        <v>323</v>
      </c>
      <c r="D504" s="1779"/>
      <c r="E504" s="1775" t="s">
        <v>88</v>
      </c>
      <c r="F504" s="1775"/>
      <c r="G504" s="1775" t="s">
        <v>80</v>
      </c>
      <c r="H504" s="1776"/>
      <c r="I504" s="1699"/>
      <c r="J504" s="1045"/>
      <c r="K504" s="237" t="s">
        <v>454</v>
      </c>
      <c r="L504" s="238">
        <v>18</v>
      </c>
      <c r="O504" s="238">
        <v>18</v>
      </c>
      <c r="U504" s="70"/>
      <c r="V504" s="1780"/>
      <c r="W504" s="239"/>
      <c r="X504" s="243"/>
      <c r="Y504" s="69"/>
    </row>
    <row r="505" spans="1:25" ht="30" customHeight="1" x14ac:dyDescent="0.2">
      <c r="A505" s="45"/>
      <c r="B505" s="1784"/>
      <c r="C505" s="1774" t="s">
        <v>663</v>
      </c>
      <c r="D505" s="1775"/>
      <c r="E505" s="45" t="s">
        <v>587</v>
      </c>
      <c r="F505" s="543"/>
      <c r="G505" s="1775" t="s">
        <v>662</v>
      </c>
      <c r="H505" s="1776"/>
      <c r="I505" s="1699"/>
      <c r="J505" s="1045"/>
      <c r="K505" s="237" t="s">
        <v>454</v>
      </c>
      <c r="L505" s="238">
        <v>18</v>
      </c>
      <c r="O505" s="238">
        <v>18</v>
      </c>
      <c r="U505" s="70"/>
      <c r="V505" s="701"/>
      <c r="W505" s="239"/>
      <c r="X505" s="243"/>
      <c r="Y505" s="69"/>
    </row>
    <row r="506" spans="1:25" ht="30" customHeight="1" x14ac:dyDescent="0.2">
      <c r="A506" s="45"/>
      <c r="B506" s="1785"/>
      <c r="C506" s="1777" t="s">
        <v>593</v>
      </c>
      <c r="D506" s="1283"/>
      <c r="E506" s="82" t="s">
        <v>592</v>
      </c>
      <c r="F506" s="791"/>
      <c r="G506" s="792"/>
      <c r="H506" s="793"/>
      <c r="I506" s="1700"/>
      <c r="J506" s="916"/>
      <c r="K506" s="237" t="s">
        <v>454</v>
      </c>
      <c r="L506" s="238">
        <v>18</v>
      </c>
      <c r="O506" s="238"/>
      <c r="U506" s="70"/>
      <c r="V506" s="701"/>
      <c r="W506" s="239"/>
      <c r="X506" s="243"/>
      <c r="Y506" s="69"/>
    </row>
    <row r="507" spans="1:25" s="66" customFormat="1" ht="39.950000000000003" customHeight="1" x14ac:dyDescent="0.2">
      <c r="A507" s="45"/>
      <c r="B507" s="60" t="s">
        <v>463</v>
      </c>
      <c r="C507" s="901" t="s">
        <v>464</v>
      </c>
      <c r="D507" s="902"/>
      <c r="E507" s="902"/>
      <c r="F507" s="902"/>
      <c r="G507" s="902"/>
      <c r="H507" s="903"/>
      <c r="I507" s="175">
        <v>0</v>
      </c>
      <c r="J507" s="42">
        <v>1</v>
      </c>
      <c r="K507" s="237" t="s">
        <v>454</v>
      </c>
      <c r="L507" s="238">
        <v>18</v>
      </c>
      <c r="M507" s="67"/>
      <c r="O507" s="238">
        <v>18</v>
      </c>
    </row>
    <row r="508" spans="1:25" ht="20.100000000000001" customHeight="1" x14ac:dyDescent="0.2">
      <c r="A508" s="45"/>
      <c r="B508" s="591"/>
      <c r="C508" s="648"/>
      <c r="D508" s="648"/>
      <c r="E508" s="648"/>
      <c r="F508" s="648"/>
      <c r="G508" s="648"/>
      <c r="H508" s="648"/>
      <c r="I508" s="593"/>
      <c r="J508" s="65"/>
    </row>
    <row r="509" spans="1:25" ht="30" customHeight="1" x14ac:dyDescent="0.2">
      <c r="A509" s="45"/>
      <c r="B509" s="1355" t="s">
        <v>505</v>
      </c>
      <c r="C509" s="1673"/>
      <c r="D509" s="1673"/>
      <c r="E509" s="1673"/>
      <c r="F509" s="1673"/>
      <c r="G509" s="1673"/>
      <c r="H509" s="1673"/>
      <c r="I509" s="679" t="s">
        <v>466</v>
      </c>
      <c r="J509" s="704" t="s">
        <v>18</v>
      </c>
      <c r="K509" s="226" t="s">
        <v>506</v>
      </c>
      <c r="L509" s="183">
        <v>47</v>
      </c>
      <c r="M509" s="181"/>
      <c r="N509" s="182" t="s">
        <v>30</v>
      </c>
      <c r="O509" s="183">
        <v>47</v>
      </c>
    </row>
    <row r="510" spans="1:25" ht="39.950000000000003" customHeight="1" x14ac:dyDescent="0.2">
      <c r="A510" s="45"/>
      <c r="B510" s="1105" t="s">
        <v>507</v>
      </c>
      <c r="C510" s="1106"/>
      <c r="D510" s="1106"/>
      <c r="E510" s="1106"/>
      <c r="F510" s="1106"/>
      <c r="G510" s="1106"/>
      <c r="H510" s="1106"/>
      <c r="I510" s="1106"/>
      <c r="J510" s="1107"/>
      <c r="K510" s="226" t="s">
        <v>506</v>
      </c>
      <c r="L510" s="183">
        <v>47</v>
      </c>
      <c r="M510" s="181"/>
      <c r="O510" s="183">
        <v>47</v>
      </c>
    </row>
    <row r="511" spans="1:25" ht="52.5" customHeight="1" x14ac:dyDescent="0.2">
      <c r="A511" s="45"/>
      <c r="B511" s="1756" t="s">
        <v>508</v>
      </c>
      <c r="C511" s="1757"/>
      <c r="D511" s="1757"/>
      <c r="E511" s="1757"/>
      <c r="F511" s="1757"/>
      <c r="G511" s="1757"/>
      <c r="H511" s="1757"/>
      <c r="I511" s="1758"/>
      <c r="J511" s="1759"/>
      <c r="K511" s="226" t="s">
        <v>506</v>
      </c>
      <c r="L511" s="183">
        <v>47</v>
      </c>
      <c r="M511" s="181"/>
      <c r="O511" s="183">
        <v>47</v>
      </c>
    </row>
    <row r="512" spans="1:25" ht="30" customHeight="1" x14ac:dyDescent="0.2">
      <c r="A512" s="45"/>
      <c r="B512" s="1760" t="s">
        <v>395</v>
      </c>
      <c r="C512" s="932" t="s">
        <v>133</v>
      </c>
      <c r="D512" s="933"/>
      <c r="E512" s="933" t="s">
        <v>135</v>
      </c>
      <c r="F512" s="933"/>
      <c r="G512" s="1763" t="s">
        <v>136</v>
      </c>
      <c r="H512" s="1764"/>
      <c r="I512" s="1765">
        <v>35</v>
      </c>
      <c r="J512" s="1768">
        <v>1</v>
      </c>
      <c r="K512" s="226" t="s">
        <v>506</v>
      </c>
      <c r="L512" s="183">
        <v>47</v>
      </c>
      <c r="M512" s="181"/>
      <c r="O512" s="183">
        <v>47</v>
      </c>
    </row>
    <row r="513" spans="1:31" ht="30" customHeight="1" x14ac:dyDescent="0.2">
      <c r="A513" s="45"/>
      <c r="B513" s="1761"/>
      <c r="C513" s="1771" t="s">
        <v>82</v>
      </c>
      <c r="D513" s="1772"/>
      <c r="E513" s="1748" t="s">
        <v>92</v>
      </c>
      <c r="F513" s="1748"/>
      <c r="G513" s="1755" t="s">
        <v>29</v>
      </c>
      <c r="H513" s="1773"/>
      <c r="I513" s="1766"/>
      <c r="J513" s="1769"/>
      <c r="K513" s="226" t="s">
        <v>506</v>
      </c>
      <c r="L513" s="183">
        <v>47</v>
      </c>
      <c r="M513" s="181"/>
      <c r="O513" s="183">
        <v>47</v>
      </c>
    </row>
    <row r="514" spans="1:31" ht="30" customHeight="1" x14ac:dyDescent="0.2">
      <c r="A514" s="45"/>
      <c r="B514" s="1762"/>
      <c r="C514" s="1752" t="s">
        <v>81</v>
      </c>
      <c r="D514" s="1750"/>
      <c r="E514" s="1750" t="s">
        <v>32</v>
      </c>
      <c r="F514" s="1750"/>
      <c r="G514" s="705"/>
      <c r="H514" s="706"/>
      <c r="I514" s="1767"/>
      <c r="J514" s="1770"/>
      <c r="K514" s="226" t="s">
        <v>506</v>
      </c>
      <c r="L514" s="183">
        <v>47</v>
      </c>
      <c r="M514" s="181"/>
      <c r="O514" s="183">
        <v>47</v>
      </c>
    </row>
    <row r="515" spans="1:31" ht="30" customHeight="1" x14ac:dyDescent="0.2">
      <c r="A515" s="45"/>
      <c r="B515" s="1164" t="s">
        <v>396</v>
      </c>
      <c r="C515" s="1754" t="s">
        <v>378</v>
      </c>
      <c r="D515" s="1755"/>
      <c r="E515" s="1748" t="s">
        <v>42</v>
      </c>
      <c r="F515" s="1748"/>
      <c r="G515" s="1748" t="s">
        <v>63</v>
      </c>
      <c r="H515" s="1749"/>
      <c r="I515" s="959">
        <v>35</v>
      </c>
      <c r="J515" s="1744">
        <v>1</v>
      </c>
      <c r="K515" s="226" t="s">
        <v>506</v>
      </c>
      <c r="L515" s="183">
        <v>47</v>
      </c>
      <c r="M515" s="181"/>
      <c r="O515" s="183">
        <v>47</v>
      </c>
    </row>
    <row r="516" spans="1:31" ht="30" customHeight="1" x14ac:dyDescent="0.2">
      <c r="A516" s="45"/>
      <c r="B516" s="1753"/>
      <c r="C516" s="1747" t="s">
        <v>379</v>
      </c>
      <c r="D516" s="1748"/>
      <c r="E516" s="1748" t="s">
        <v>380</v>
      </c>
      <c r="F516" s="1748"/>
      <c r="G516" s="1748" t="s">
        <v>56</v>
      </c>
      <c r="H516" s="1749"/>
      <c r="I516" s="960"/>
      <c r="J516" s="1745"/>
      <c r="K516" s="226" t="s">
        <v>506</v>
      </c>
      <c r="L516" s="183">
        <v>47</v>
      </c>
      <c r="M516" s="181"/>
      <c r="O516" s="183">
        <v>47</v>
      </c>
    </row>
    <row r="517" spans="1:31" ht="30" customHeight="1" x14ac:dyDescent="0.2">
      <c r="A517" s="45"/>
      <c r="B517" s="1165"/>
      <c r="C517" s="917" t="s">
        <v>43</v>
      </c>
      <c r="D517" s="918"/>
      <c r="E517" s="1750" t="s">
        <v>381</v>
      </c>
      <c r="F517" s="1750"/>
      <c r="G517" s="1750" t="s">
        <v>287</v>
      </c>
      <c r="H517" s="1751"/>
      <c r="I517" s="961"/>
      <c r="J517" s="1746"/>
      <c r="K517" s="226" t="s">
        <v>506</v>
      </c>
      <c r="L517" s="183">
        <v>47</v>
      </c>
      <c r="M517" s="181"/>
      <c r="O517" s="183">
        <v>47</v>
      </c>
    </row>
    <row r="518" spans="1:31" ht="30" customHeight="1" x14ac:dyDescent="0.2">
      <c r="A518" s="45"/>
      <c r="B518" s="1736" t="s">
        <v>509</v>
      </c>
      <c r="C518" s="1737"/>
      <c r="D518" s="1737"/>
      <c r="E518" s="1737"/>
      <c r="F518" s="1737"/>
      <c r="G518" s="1737"/>
      <c r="H518" s="1737"/>
      <c r="I518" s="1737"/>
      <c r="J518" s="1738"/>
      <c r="K518" s="226" t="s">
        <v>506</v>
      </c>
      <c r="L518" s="183">
        <v>47</v>
      </c>
      <c r="M518" s="181"/>
      <c r="N518" s="182" t="s">
        <v>30</v>
      </c>
      <c r="O518" s="183">
        <v>47</v>
      </c>
    </row>
    <row r="519" spans="1:31" ht="30" customHeight="1" x14ac:dyDescent="0.2">
      <c r="A519" s="45"/>
      <c r="B519" s="1161" t="s">
        <v>510</v>
      </c>
      <c r="C519" s="1162"/>
      <c r="D519" s="1162"/>
      <c r="E519" s="1162"/>
      <c r="F519" s="1162"/>
      <c r="G519" s="1162"/>
      <c r="H519" s="1162"/>
      <c r="I519" s="1162"/>
      <c r="J519" s="1163"/>
      <c r="K519" s="226" t="s">
        <v>506</v>
      </c>
      <c r="L519" s="183">
        <v>47</v>
      </c>
      <c r="M519" s="181"/>
      <c r="O519" s="183">
        <v>47</v>
      </c>
    </row>
    <row r="520" spans="1:31" ht="30" customHeight="1" x14ac:dyDescent="0.2">
      <c r="A520" s="45"/>
      <c r="B520" s="794" t="s">
        <v>373</v>
      </c>
      <c r="C520" s="1739" t="s">
        <v>32</v>
      </c>
      <c r="D520" s="1740"/>
      <c r="E520" s="1740" t="s">
        <v>29</v>
      </c>
      <c r="F520" s="1740"/>
      <c r="G520" s="1740"/>
      <c r="H520" s="1741"/>
      <c r="I520" s="733">
        <v>200</v>
      </c>
      <c r="J520" s="795">
        <v>0.8</v>
      </c>
      <c r="K520" s="226" t="s">
        <v>506</v>
      </c>
      <c r="L520" s="183">
        <v>47</v>
      </c>
      <c r="M520" s="181"/>
      <c r="O520" s="183">
        <v>47</v>
      </c>
    </row>
    <row r="521" spans="1:31" ht="30" customHeight="1" x14ac:dyDescent="0.2">
      <c r="A521" s="45"/>
      <c r="B521" s="930" t="s">
        <v>375</v>
      </c>
      <c r="C521" s="932" t="s">
        <v>82</v>
      </c>
      <c r="D521" s="933"/>
      <c r="E521" s="933" t="s">
        <v>92</v>
      </c>
      <c r="F521" s="933"/>
      <c r="G521" s="933" t="s">
        <v>81</v>
      </c>
      <c r="H521" s="934"/>
      <c r="I521" s="1742">
        <v>300</v>
      </c>
      <c r="J521" s="1723">
        <v>0.8</v>
      </c>
      <c r="K521" s="226" t="s">
        <v>506</v>
      </c>
      <c r="L521" s="183">
        <v>47</v>
      </c>
      <c r="M521" s="181"/>
      <c r="O521" s="183">
        <v>47</v>
      </c>
    </row>
    <row r="522" spans="1:31" ht="30" customHeight="1" x14ac:dyDescent="0.2">
      <c r="A522" s="45"/>
      <c r="B522" s="931"/>
      <c r="C522" s="917" t="s">
        <v>511</v>
      </c>
      <c r="D522" s="918"/>
      <c r="E522" s="82" t="s">
        <v>376</v>
      </c>
      <c r="F522" s="82"/>
      <c r="G522" s="82"/>
      <c r="H522" s="83"/>
      <c r="I522" s="1743"/>
      <c r="J522" s="1724"/>
      <c r="K522" s="226" t="s">
        <v>506</v>
      </c>
      <c r="L522" s="183">
        <v>47</v>
      </c>
      <c r="M522" s="181"/>
      <c r="O522" s="183">
        <v>47</v>
      </c>
    </row>
    <row r="523" spans="1:31" ht="30" customHeight="1" x14ac:dyDescent="0.2">
      <c r="A523" s="45"/>
      <c r="B523" s="710" t="s">
        <v>512</v>
      </c>
      <c r="C523" s="923" t="s">
        <v>383</v>
      </c>
      <c r="D523" s="923"/>
      <c r="E523" s="923"/>
      <c r="F523" s="923"/>
      <c r="G523" s="923"/>
      <c r="H523" s="923"/>
      <c r="I523" s="711">
        <v>400</v>
      </c>
      <c r="J523" s="712">
        <v>0.8</v>
      </c>
      <c r="K523" s="226" t="s">
        <v>506</v>
      </c>
      <c r="L523" s="183">
        <v>47</v>
      </c>
      <c r="M523" s="181"/>
      <c r="O523" s="183">
        <v>47</v>
      </c>
    </row>
    <row r="524" spans="1:31" s="547" customFormat="1" ht="30" customHeight="1" x14ac:dyDescent="0.2">
      <c r="A524" s="45"/>
      <c r="B524" s="710" t="s">
        <v>650</v>
      </c>
      <c r="C524" s="919" t="s">
        <v>651</v>
      </c>
      <c r="D524" s="919"/>
      <c r="E524" s="919"/>
      <c r="F524" s="919"/>
      <c r="G524" s="919"/>
      <c r="H524" s="919"/>
      <c r="I524" s="713">
        <v>400</v>
      </c>
      <c r="J524" s="714">
        <v>0.5</v>
      </c>
      <c r="K524" s="226" t="s">
        <v>506</v>
      </c>
      <c r="L524" s="183">
        <v>47</v>
      </c>
      <c r="M524" s="181"/>
      <c r="N524" s="67"/>
      <c r="O524" s="183">
        <v>47</v>
      </c>
      <c r="P524" s="66"/>
      <c r="Q524" s="45"/>
      <c r="R524" s="45"/>
      <c r="S524" s="45"/>
      <c r="T524" s="45"/>
      <c r="U524" s="45"/>
      <c r="V524" s="45"/>
      <c r="W524" s="45"/>
      <c r="X524" s="45"/>
      <c r="Y524" s="45"/>
      <c r="Z524" s="45"/>
      <c r="AA524" s="45"/>
      <c r="AB524" s="45"/>
      <c r="AC524" s="45"/>
      <c r="AD524" s="45"/>
      <c r="AE524" s="45"/>
    </row>
    <row r="525" spans="1:31" s="547" customFormat="1" ht="30" customHeight="1" x14ac:dyDescent="0.2">
      <c r="A525" s="45"/>
      <c r="B525" s="710" t="s">
        <v>782</v>
      </c>
      <c r="C525" s="919" t="s">
        <v>651</v>
      </c>
      <c r="D525" s="919"/>
      <c r="E525" s="919"/>
      <c r="F525" s="919"/>
      <c r="G525" s="919"/>
      <c r="H525" s="919"/>
      <c r="I525" s="715">
        <v>600</v>
      </c>
      <c r="J525" s="716">
        <v>0.5</v>
      </c>
      <c r="K525" s="226" t="s">
        <v>506</v>
      </c>
      <c r="L525" s="183">
        <v>47</v>
      </c>
      <c r="M525" s="181"/>
      <c r="N525" s="67"/>
      <c r="O525" s="183">
        <v>47</v>
      </c>
      <c r="P525" s="66"/>
      <c r="Q525" s="45"/>
      <c r="R525" s="45"/>
      <c r="S525" s="45"/>
      <c r="T525" s="45"/>
      <c r="U525" s="45"/>
      <c r="V525" s="45"/>
      <c r="W525" s="45"/>
      <c r="X525" s="45"/>
      <c r="Y525" s="45"/>
      <c r="Z525" s="45"/>
      <c r="AA525" s="45"/>
      <c r="AB525" s="45"/>
      <c r="AC525" s="45"/>
      <c r="AD525" s="45"/>
      <c r="AE525" s="45"/>
    </row>
    <row r="526" spans="1:31" s="547" customFormat="1" ht="30" customHeight="1" x14ac:dyDescent="0.2">
      <c r="A526" s="45"/>
      <c r="B526" s="710" t="s">
        <v>396</v>
      </c>
      <c r="C526" s="919" t="s">
        <v>514</v>
      </c>
      <c r="D526" s="919"/>
      <c r="E526" s="919"/>
      <c r="F526" s="919"/>
      <c r="G526" s="919"/>
      <c r="H526" s="919"/>
      <c r="I526" s="711">
        <v>300</v>
      </c>
      <c r="J526" s="712">
        <v>0.8</v>
      </c>
      <c r="K526" s="226" t="s">
        <v>506</v>
      </c>
      <c r="L526" s="183">
        <v>47</v>
      </c>
      <c r="M526" s="181"/>
      <c r="N526" s="67"/>
      <c r="O526" s="183">
        <v>47</v>
      </c>
      <c r="P526" s="66"/>
      <c r="Q526" s="45"/>
      <c r="R526" s="45"/>
      <c r="S526" s="45"/>
      <c r="T526" s="45"/>
      <c r="U526" s="45"/>
      <c r="V526" s="45"/>
      <c r="W526" s="45"/>
      <c r="X526" s="45"/>
      <c r="Y526" s="45"/>
      <c r="Z526" s="45"/>
      <c r="AA526" s="45"/>
      <c r="AB526" s="45"/>
      <c r="AC526" s="45"/>
      <c r="AD526" s="45"/>
      <c r="AE526" s="45"/>
    </row>
    <row r="527" spans="1:31" s="547" customFormat="1" ht="30" customHeight="1" x14ac:dyDescent="0.2">
      <c r="A527" s="45"/>
      <c r="B527" s="1731" t="s">
        <v>870</v>
      </c>
      <c r="C527" s="1732"/>
      <c r="D527" s="1732"/>
      <c r="E527" s="1732"/>
      <c r="F527" s="1732"/>
      <c r="G527" s="1732"/>
      <c r="H527" s="1732"/>
      <c r="I527" s="1732"/>
      <c r="J527" s="1733"/>
      <c r="K527" s="226" t="s">
        <v>506</v>
      </c>
      <c r="L527" s="183">
        <v>47</v>
      </c>
      <c r="M527" s="181"/>
      <c r="N527" s="182" t="s">
        <v>30</v>
      </c>
      <c r="O527" s="183">
        <v>47</v>
      </c>
      <c r="P527" s="66"/>
      <c r="Q527" s="45"/>
      <c r="R527" s="45"/>
      <c r="S527" s="45"/>
      <c r="T527" s="45"/>
      <c r="U527" s="45"/>
      <c r="V527" s="45"/>
      <c r="W527" s="45"/>
      <c r="X527" s="45"/>
      <c r="Y527" s="45"/>
      <c r="Z527" s="45"/>
      <c r="AA527" s="45"/>
      <c r="AB527" s="45"/>
      <c r="AC527" s="45"/>
      <c r="AD527" s="45"/>
      <c r="AE527" s="45"/>
    </row>
    <row r="528" spans="1:31" s="547" customFormat="1" ht="30" customHeight="1" x14ac:dyDescent="0.2">
      <c r="A528" s="45"/>
      <c r="B528" s="707" t="s">
        <v>373</v>
      </c>
      <c r="C528" s="1728" t="s">
        <v>32</v>
      </c>
      <c r="D528" s="1729"/>
      <c r="E528" s="1729" t="s">
        <v>29</v>
      </c>
      <c r="F528" s="1729"/>
      <c r="G528" s="1729"/>
      <c r="H528" s="1730"/>
      <c r="I528" s="708">
        <v>400</v>
      </c>
      <c r="J528" s="709">
        <v>0.8</v>
      </c>
      <c r="K528" s="226" t="s">
        <v>506</v>
      </c>
      <c r="L528" s="183">
        <v>47</v>
      </c>
      <c r="M528" s="181"/>
      <c r="N528" s="67"/>
      <c r="O528" s="183">
        <v>47</v>
      </c>
      <c r="P528" s="66"/>
      <c r="Q528" s="45"/>
      <c r="R528" s="45"/>
      <c r="S528" s="45"/>
      <c r="T528" s="45"/>
      <c r="U528" s="45"/>
      <c r="V528" s="45"/>
      <c r="W528" s="45"/>
      <c r="X528" s="45"/>
      <c r="Y528" s="45"/>
      <c r="Z528" s="45"/>
      <c r="AA528" s="45"/>
      <c r="AB528" s="45"/>
      <c r="AC528" s="45"/>
      <c r="AD528" s="45"/>
      <c r="AE528" s="45"/>
    </row>
    <row r="529" spans="1:31" s="547" customFormat="1" ht="30" customHeight="1" x14ac:dyDescent="0.2">
      <c r="A529" s="45"/>
      <c r="B529" s="930" t="s">
        <v>375</v>
      </c>
      <c r="C529" s="932" t="s">
        <v>82</v>
      </c>
      <c r="D529" s="933"/>
      <c r="E529" s="933" t="s">
        <v>92</v>
      </c>
      <c r="F529" s="933"/>
      <c r="G529" s="933" t="s">
        <v>81</v>
      </c>
      <c r="H529" s="934"/>
      <c r="I529" s="1734">
        <v>450</v>
      </c>
      <c r="J529" s="1735">
        <v>0.75</v>
      </c>
      <c r="K529" s="226" t="s">
        <v>506</v>
      </c>
      <c r="L529" s="183">
        <v>47</v>
      </c>
      <c r="M529" s="181"/>
      <c r="N529" s="67"/>
      <c r="O529" s="183">
        <v>47</v>
      </c>
      <c r="P529" s="66"/>
      <c r="Q529" s="45"/>
      <c r="R529" s="45"/>
      <c r="S529" s="45"/>
      <c r="T529" s="45"/>
      <c r="U529" s="45"/>
      <c r="V529" s="45"/>
      <c r="W529" s="45"/>
      <c r="X529" s="45"/>
      <c r="Y529" s="45"/>
      <c r="Z529" s="45"/>
      <c r="AA529" s="45"/>
      <c r="AB529" s="45"/>
      <c r="AC529" s="45"/>
      <c r="AD529" s="45"/>
      <c r="AE529" s="45"/>
    </row>
    <row r="530" spans="1:31" s="547" customFormat="1" ht="30" customHeight="1" x14ac:dyDescent="0.2">
      <c r="A530" s="45"/>
      <c r="B530" s="931"/>
      <c r="C530" s="917" t="s">
        <v>511</v>
      </c>
      <c r="D530" s="918"/>
      <c r="E530" s="82" t="s">
        <v>376</v>
      </c>
      <c r="F530" s="82"/>
      <c r="G530" s="82"/>
      <c r="H530" s="83"/>
      <c r="I530" s="1734"/>
      <c r="J530" s="1735"/>
      <c r="K530" s="226" t="s">
        <v>506</v>
      </c>
      <c r="L530" s="183">
        <v>47</v>
      </c>
      <c r="M530" s="181"/>
      <c r="N530" s="67"/>
      <c r="O530" s="183">
        <v>47</v>
      </c>
      <c r="P530" s="66"/>
      <c r="Q530" s="45"/>
      <c r="R530" s="45"/>
      <c r="S530" s="45"/>
      <c r="T530" s="45"/>
      <c r="U530" s="45"/>
      <c r="V530" s="45"/>
      <c r="W530" s="45"/>
      <c r="X530" s="45"/>
      <c r="Y530" s="45"/>
      <c r="Z530" s="45"/>
      <c r="AA530" s="45"/>
      <c r="AB530" s="45"/>
      <c r="AC530" s="45"/>
      <c r="AD530" s="45"/>
      <c r="AE530" s="45"/>
    </row>
    <row r="531" spans="1:31" s="547" customFormat="1" ht="30" customHeight="1" x14ac:dyDescent="0.2">
      <c r="A531" s="45"/>
      <c r="B531" s="717" t="s">
        <v>396</v>
      </c>
      <c r="C531" s="919" t="s">
        <v>514</v>
      </c>
      <c r="D531" s="919"/>
      <c r="E531" s="919"/>
      <c r="F531" s="919"/>
      <c r="G531" s="919"/>
      <c r="H531" s="919"/>
      <c r="I531" s="718">
        <v>450</v>
      </c>
      <c r="J531" s="719">
        <v>0.75</v>
      </c>
      <c r="K531" s="226" t="s">
        <v>506</v>
      </c>
      <c r="L531" s="183">
        <v>47</v>
      </c>
      <c r="M531" s="181"/>
      <c r="N531" s="67"/>
      <c r="O531" s="183">
        <v>47</v>
      </c>
      <c r="P531" s="66"/>
      <c r="Q531" s="45"/>
      <c r="R531" s="45"/>
      <c r="S531" s="45"/>
      <c r="T531" s="45"/>
      <c r="U531" s="45"/>
      <c r="V531" s="45"/>
      <c r="W531" s="45"/>
      <c r="X531" s="45"/>
      <c r="Y531" s="45"/>
      <c r="Z531" s="45"/>
      <c r="AA531" s="45"/>
      <c r="AB531" s="45"/>
      <c r="AC531" s="45"/>
      <c r="AD531" s="45"/>
      <c r="AE531" s="45"/>
    </row>
    <row r="532" spans="1:31" s="547" customFormat="1" ht="30" customHeight="1" x14ac:dyDescent="0.2">
      <c r="A532" s="45"/>
      <c r="B532" s="1725" t="s">
        <v>516</v>
      </c>
      <c r="C532" s="1726"/>
      <c r="D532" s="1726"/>
      <c r="E532" s="1726"/>
      <c r="F532" s="1726"/>
      <c r="G532" s="1726"/>
      <c r="H532" s="1726"/>
      <c r="I532" s="1726"/>
      <c r="J532" s="1727"/>
      <c r="K532" s="226" t="s">
        <v>506</v>
      </c>
      <c r="L532" s="183">
        <v>47</v>
      </c>
      <c r="M532" s="181"/>
      <c r="N532" s="182" t="s">
        <v>30</v>
      </c>
      <c r="O532" s="183">
        <v>47</v>
      </c>
      <c r="P532" s="66"/>
      <c r="Q532" s="45"/>
      <c r="R532" s="45"/>
      <c r="S532" s="45"/>
      <c r="T532" s="45"/>
      <c r="U532" s="45"/>
      <c r="V532" s="45"/>
      <c r="W532" s="45"/>
      <c r="X532" s="45"/>
      <c r="Y532" s="45"/>
      <c r="Z532" s="45"/>
      <c r="AA532" s="45"/>
      <c r="AB532" s="45"/>
      <c r="AC532" s="45"/>
      <c r="AD532" s="45"/>
      <c r="AE532" s="45"/>
    </row>
    <row r="533" spans="1:31" s="547" customFormat="1" ht="30" customHeight="1" x14ac:dyDescent="0.2">
      <c r="A533" s="45"/>
      <c r="B533" s="707" t="s">
        <v>26</v>
      </c>
      <c r="C533" s="1728" t="s">
        <v>32</v>
      </c>
      <c r="D533" s="1729"/>
      <c r="E533" s="1729" t="s">
        <v>29</v>
      </c>
      <c r="F533" s="1729"/>
      <c r="G533" s="1729"/>
      <c r="H533" s="1730"/>
      <c r="I533" s="708">
        <v>400</v>
      </c>
      <c r="J533" s="709">
        <v>0.8</v>
      </c>
      <c r="K533" s="226" t="s">
        <v>506</v>
      </c>
      <c r="L533" s="183">
        <v>47</v>
      </c>
      <c r="M533" s="181"/>
      <c r="N533" s="67"/>
      <c r="O533" s="183">
        <v>47</v>
      </c>
      <c r="P533" s="66"/>
      <c r="Q533" s="45"/>
      <c r="R533" s="45"/>
      <c r="S533" s="45"/>
      <c r="T533" s="45"/>
      <c r="U533" s="45"/>
      <c r="V533" s="45"/>
      <c r="W533" s="45"/>
      <c r="X533" s="45"/>
      <c r="Y533" s="45"/>
      <c r="Z533" s="45"/>
      <c r="AA533" s="45"/>
      <c r="AB533" s="45"/>
      <c r="AC533" s="45"/>
      <c r="AD533" s="45"/>
      <c r="AE533" s="45"/>
    </row>
    <row r="534" spans="1:31" s="547" customFormat="1" ht="30" customHeight="1" x14ac:dyDescent="0.2">
      <c r="A534" s="45"/>
      <c r="B534" s="1720" t="s">
        <v>71</v>
      </c>
      <c r="C534" s="932" t="s">
        <v>82</v>
      </c>
      <c r="D534" s="933"/>
      <c r="E534" s="933" t="s">
        <v>92</v>
      </c>
      <c r="F534" s="933"/>
      <c r="G534" s="933" t="s">
        <v>81</v>
      </c>
      <c r="H534" s="934"/>
      <c r="I534" s="1722">
        <v>450</v>
      </c>
      <c r="J534" s="1723">
        <v>0.75</v>
      </c>
      <c r="K534" s="226" t="s">
        <v>506</v>
      </c>
      <c r="L534" s="183">
        <v>47</v>
      </c>
      <c r="M534" s="181"/>
      <c r="N534" s="67"/>
      <c r="O534" s="183">
        <v>47</v>
      </c>
      <c r="P534" s="66"/>
      <c r="Q534" s="45"/>
      <c r="R534" s="45"/>
      <c r="S534" s="45"/>
      <c r="T534" s="45"/>
      <c r="U534" s="45"/>
      <c r="V534" s="45"/>
      <c r="W534" s="45"/>
      <c r="X534" s="45"/>
      <c r="Y534" s="45"/>
      <c r="Z534" s="45"/>
      <c r="AA534" s="45"/>
      <c r="AB534" s="45"/>
      <c r="AC534" s="45"/>
      <c r="AD534" s="45"/>
      <c r="AE534" s="45"/>
    </row>
    <row r="535" spans="1:31" s="547" customFormat="1" ht="30" customHeight="1" x14ac:dyDescent="0.2">
      <c r="A535" s="45"/>
      <c r="B535" s="1721"/>
      <c r="C535" s="917" t="s">
        <v>511</v>
      </c>
      <c r="D535" s="918"/>
      <c r="E535" s="82" t="s">
        <v>376</v>
      </c>
      <c r="F535" s="82"/>
      <c r="G535" s="82"/>
      <c r="H535" s="83"/>
      <c r="I535" s="1722"/>
      <c r="J535" s="1724"/>
      <c r="K535" s="226" t="s">
        <v>506</v>
      </c>
      <c r="L535" s="183">
        <v>47</v>
      </c>
      <c r="M535" s="181"/>
      <c r="N535" s="67"/>
      <c r="O535" s="183">
        <v>47</v>
      </c>
      <c r="P535" s="66"/>
      <c r="Q535" s="45"/>
      <c r="R535" s="45"/>
      <c r="S535" s="45"/>
      <c r="T535" s="45"/>
      <c r="U535" s="45"/>
      <c r="V535" s="45"/>
      <c r="W535" s="45"/>
      <c r="X535" s="45"/>
      <c r="Y535" s="45"/>
      <c r="Z535" s="45"/>
      <c r="AA535" s="45"/>
      <c r="AB535" s="45"/>
      <c r="AC535" s="45"/>
      <c r="AD535" s="45"/>
      <c r="AE535" s="45"/>
    </row>
    <row r="536" spans="1:31" s="547" customFormat="1" ht="30" customHeight="1" x14ac:dyDescent="0.2">
      <c r="A536" s="45"/>
      <c r="B536" s="717" t="s">
        <v>396</v>
      </c>
      <c r="C536" s="923" t="s">
        <v>514</v>
      </c>
      <c r="D536" s="923"/>
      <c r="E536" s="923"/>
      <c r="F536" s="923"/>
      <c r="G536" s="923"/>
      <c r="H536" s="923"/>
      <c r="I536" s="711">
        <v>450</v>
      </c>
      <c r="J536" s="716">
        <v>0.75</v>
      </c>
      <c r="K536" s="226" t="s">
        <v>506</v>
      </c>
      <c r="L536" s="183">
        <v>47</v>
      </c>
      <c r="M536" s="181"/>
      <c r="N536" s="67"/>
      <c r="O536" s="183">
        <v>47</v>
      </c>
      <c r="P536" s="66"/>
      <c r="Q536" s="45"/>
      <c r="R536" s="45"/>
      <c r="S536" s="45"/>
      <c r="T536" s="45"/>
      <c r="U536" s="45"/>
      <c r="V536" s="45"/>
      <c r="W536" s="45"/>
      <c r="X536" s="45"/>
      <c r="Y536" s="45"/>
      <c r="Z536" s="45"/>
      <c r="AA536" s="45"/>
      <c r="AB536" s="45"/>
      <c r="AC536" s="45"/>
      <c r="AD536" s="45"/>
      <c r="AE536" s="45"/>
    </row>
    <row r="537" spans="1:31" ht="20.100000000000001" customHeight="1" x14ac:dyDescent="0.2">
      <c r="A537" s="45"/>
      <c r="B537" s="591"/>
      <c r="C537" s="648"/>
      <c r="D537" s="648"/>
      <c r="E537" s="648"/>
      <c r="F537" s="648"/>
      <c r="G537" s="648"/>
      <c r="H537" s="648"/>
      <c r="I537" s="593"/>
      <c r="J537" s="65"/>
    </row>
    <row r="538" spans="1:31" ht="30" customHeight="1" x14ac:dyDescent="0.2">
      <c r="A538" s="45"/>
      <c r="B538" s="1662" t="s">
        <v>475</v>
      </c>
      <c r="C538" s="1663"/>
      <c r="D538" s="1663"/>
      <c r="E538" s="1663"/>
      <c r="F538" s="1663"/>
      <c r="G538" s="1663"/>
      <c r="H538" s="1664"/>
      <c r="I538" s="406" t="s">
        <v>17</v>
      </c>
      <c r="J538" s="35" t="s">
        <v>18</v>
      </c>
      <c r="K538" s="226" t="s">
        <v>476</v>
      </c>
      <c r="L538" s="183">
        <v>19</v>
      </c>
      <c r="M538" s="181"/>
      <c r="N538" s="182" t="s">
        <v>30</v>
      </c>
      <c r="O538" s="183">
        <v>19</v>
      </c>
      <c r="P538" s="45"/>
    </row>
    <row r="539" spans="1:31" ht="30" customHeight="1" x14ac:dyDescent="0.2">
      <c r="A539" s="45"/>
      <c r="B539" s="1161" t="s">
        <v>477</v>
      </c>
      <c r="C539" s="1162"/>
      <c r="D539" s="1162"/>
      <c r="E539" s="1162"/>
      <c r="F539" s="1162"/>
      <c r="G539" s="1162"/>
      <c r="H539" s="1162"/>
      <c r="I539" s="1162"/>
      <c r="J539" s="1163"/>
      <c r="K539" s="226" t="s">
        <v>476</v>
      </c>
      <c r="L539" s="183">
        <v>19</v>
      </c>
      <c r="O539" s="183">
        <v>19</v>
      </c>
    </row>
    <row r="540" spans="1:31" ht="168" customHeight="1" x14ac:dyDescent="0.2">
      <c r="A540" s="45"/>
      <c r="B540" s="471"/>
      <c r="C540" s="1169" t="s">
        <v>835</v>
      </c>
      <c r="D540" s="1170"/>
      <c r="E540" s="1170"/>
      <c r="F540" s="1170"/>
      <c r="G540" s="1170"/>
      <c r="H540" s="1171"/>
      <c r="I540" s="249" t="s">
        <v>253</v>
      </c>
      <c r="J540" s="42" t="s">
        <v>253</v>
      </c>
      <c r="K540" s="226" t="s">
        <v>476</v>
      </c>
      <c r="L540" s="183">
        <v>19</v>
      </c>
      <c r="O540" s="183">
        <v>19</v>
      </c>
    </row>
    <row r="541" spans="1:31" ht="20.100000000000001" customHeight="1" x14ac:dyDescent="0.2">
      <c r="A541" s="45"/>
      <c r="B541" s="591"/>
      <c r="C541" s="648"/>
      <c r="D541" s="648"/>
      <c r="E541" s="648"/>
      <c r="F541" s="648"/>
      <c r="G541" s="648"/>
      <c r="H541" s="648"/>
      <c r="I541" s="593"/>
      <c r="J541" s="65"/>
    </row>
    <row r="542" spans="1:31" ht="30" customHeight="1" x14ac:dyDescent="0.2">
      <c r="A542" s="45"/>
      <c r="B542" s="1716" t="s">
        <v>479</v>
      </c>
      <c r="C542" s="1717"/>
      <c r="D542" s="1717"/>
      <c r="E542" s="1717"/>
      <c r="F542" s="1717"/>
      <c r="G542" s="1717"/>
      <c r="H542" s="1717"/>
      <c r="I542" s="406" t="s">
        <v>229</v>
      </c>
      <c r="J542" s="35" t="s">
        <v>18</v>
      </c>
      <c r="N542" s="182" t="s">
        <v>30</v>
      </c>
    </row>
    <row r="543" spans="1:31" ht="300" customHeight="1" x14ac:dyDescent="0.2">
      <c r="A543" s="45"/>
      <c r="B543" s="1718" t="s">
        <v>480</v>
      </c>
      <c r="C543" s="1006" t="s">
        <v>481</v>
      </c>
      <c r="D543" s="1007"/>
      <c r="E543" s="1007"/>
      <c r="F543" s="1007"/>
      <c r="G543" s="1007"/>
      <c r="H543" s="1008"/>
      <c r="I543" s="1009" t="s">
        <v>888</v>
      </c>
      <c r="J543" s="915">
        <v>0.8</v>
      </c>
    </row>
    <row r="544" spans="1:31" ht="141.75" customHeight="1" x14ac:dyDescent="0.2">
      <c r="A544" s="45"/>
      <c r="B544" s="1719"/>
      <c r="C544" s="1011" t="s">
        <v>483</v>
      </c>
      <c r="D544" s="1012"/>
      <c r="E544" s="1012"/>
      <c r="F544" s="1012"/>
      <c r="G544" s="1012"/>
      <c r="H544" s="1013"/>
      <c r="I544" s="1010"/>
      <c r="J544" s="916"/>
    </row>
    <row r="545" spans="1:31" ht="20.100000000000001" customHeight="1" x14ac:dyDescent="0.2">
      <c r="A545" s="45"/>
      <c r="B545" s="583"/>
      <c r="C545" s="644"/>
      <c r="D545" s="644"/>
      <c r="E545" s="644"/>
      <c r="F545" s="644"/>
      <c r="G545" s="644"/>
      <c r="H545" s="644"/>
      <c r="I545" s="720"/>
      <c r="J545" s="248"/>
    </row>
    <row r="546" spans="1:31" ht="30" customHeight="1" x14ac:dyDescent="0.2">
      <c r="A546" s="45"/>
      <c r="B546" s="1715" t="s">
        <v>484</v>
      </c>
      <c r="C546" s="1715"/>
      <c r="D546" s="1715"/>
      <c r="E546" s="1715"/>
      <c r="F546" s="1715"/>
      <c r="G546" s="1715"/>
      <c r="H546" s="1715"/>
      <c r="I546" s="406" t="s">
        <v>17</v>
      </c>
      <c r="J546" s="35" t="s">
        <v>18</v>
      </c>
      <c r="N546" s="182" t="s">
        <v>30</v>
      </c>
    </row>
    <row r="547" spans="1:31" ht="54.95" customHeight="1" x14ac:dyDescent="0.2">
      <c r="A547" s="45"/>
      <c r="B547" s="538" t="s">
        <v>485</v>
      </c>
      <c r="C547" s="998" t="s">
        <v>486</v>
      </c>
      <c r="D547" s="999"/>
      <c r="E547" s="999"/>
      <c r="F547" s="999"/>
      <c r="G547" s="999"/>
      <c r="H547" s="1000"/>
      <c r="I547" s="249" t="s">
        <v>253</v>
      </c>
      <c r="J547" s="42" t="s">
        <v>253</v>
      </c>
    </row>
    <row r="548" spans="1:31" ht="19.5" customHeight="1" x14ac:dyDescent="0.2">
      <c r="A548" s="45"/>
      <c r="B548" s="583"/>
      <c r="C548" s="644"/>
      <c r="D548" s="644"/>
      <c r="E548" s="644"/>
      <c r="F548" s="644"/>
      <c r="G548" s="644"/>
      <c r="H548" s="644"/>
      <c r="I548" s="720"/>
      <c r="J548" s="248"/>
    </row>
    <row r="549" spans="1:31" s="547" customFormat="1" ht="30" customHeight="1" x14ac:dyDescent="0.2">
      <c r="A549" s="45"/>
      <c r="B549" s="1623" t="s">
        <v>489</v>
      </c>
      <c r="C549" s="1624"/>
      <c r="D549" s="1624"/>
      <c r="E549" s="1624"/>
      <c r="F549" s="1624"/>
      <c r="G549" s="1624"/>
      <c r="H549" s="1624"/>
      <c r="I549" s="1624"/>
      <c r="J549" s="1625"/>
      <c r="K549" s="148"/>
      <c r="M549" s="68"/>
      <c r="N549" s="182" t="s">
        <v>30</v>
      </c>
      <c r="P549" s="66"/>
      <c r="Q549" s="45"/>
      <c r="R549" s="45"/>
      <c r="S549" s="45"/>
      <c r="T549" s="45"/>
      <c r="U549" s="45"/>
      <c r="V549" s="45"/>
      <c r="W549" s="45"/>
      <c r="X549" s="45"/>
      <c r="Y549" s="45"/>
      <c r="Z549" s="45"/>
      <c r="AA549" s="45"/>
      <c r="AB549" s="45"/>
      <c r="AC549" s="45"/>
      <c r="AD549" s="45"/>
      <c r="AE549" s="45"/>
    </row>
    <row r="550" spans="1:31" s="547" customFormat="1" ht="52.5" customHeight="1" x14ac:dyDescent="0.2">
      <c r="A550" s="45"/>
      <c r="B550" s="1169" t="s">
        <v>490</v>
      </c>
      <c r="C550" s="1170"/>
      <c r="D550" s="1170"/>
      <c r="E550" s="1170"/>
      <c r="F550" s="1170"/>
      <c r="G550" s="1170"/>
      <c r="H550" s="1170"/>
      <c r="I550" s="1170"/>
      <c r="J550" s="1171"/>
      <c r="K550" s="148"/>
      <c r="M550" s="68"/>
      <c r="N550" s="67"/>
      <c r="P550" s="66"/>
      <c r="Q550" s="45"/>
      <c r="R550" s="45"/>
      <c r="S550" s="45"/>
      <c r="T550" s="45"/>
      <c r="U550" s="45"/>
      <c r="V550" s="45"/>
      <c r="W550" s="45"/>
      <c r="X550" s="45"/>
      <c r="Y550" s="45"/>
      <c r="Z550" s="45"/>
      <c r="AA550" s="45"/>
      <c r="AB550" s="45"/>
      <c r="AC550" s="45"/>
      <c r="AD550" s="45"/>
      <c r="AE550" s="45"/>
    </row>
    <row r="551" spans="1:31" s="547" customFormat="1" ht="20.100000000000001" customHeight="1" x14ac:dyDescent="0.2">
      <c r="A551" s="45"/>
      <c r="B551" s="621"/>
      <c r="C551" s="150"/>
      <c r="D551" s="150"/>
      <c r="E551" s="150"/>
      <c r="F551" s="150"/>
      <c r="G551" s="150"/>
      <c r="H551" s="150"/>
      <c r="I551" s="147"/>
      <c r="J551" s="128"/>
      <c r="K551" s="148"/>
      <c r="M551" s="68"/>
      <c r="N551" s="67"/>
      <c r="P551" s="66"/>
      <c r="Q551" s="45"/>
      <c r="R551" s="45"/>
      <c r="S551" s="45"/>
      <c r="T551" s="45"/>
      <c r="U551" s="45"/>
      <c r="V551" s="45"/>
      <c r="W551" s="45"/>
      <c r="X551" s="45"/>
      <c r="Y551" s="45"/>
      <c r="Z551" s="45"/>
      <c r="AA551" s="45"/>
      <c r="AB551" s="45"/>
      <c r="AC551" s="45"/>
      <c r="AD551" s="45"/>
      <c r="AE551" s="45"/>
    </row>
    <row r="552" spans="1:31" s="547" customFormat="1" ht="30" customHeight="1" x14ac:dyDescent="0.2">
      <c r="A552" s="45"/>
      <c r="B552" s="1623" t="s">
        <v>491</v>
      </c>
      <c r="C552" s="1624"/>
      <c r="D552" s="1624"/>
      <c r="E552" s="1624"/>
      <c r="F552" s="1624"/>
      <c r="G552" s="1624"/>
      <c r="H552" s="1624"/>
      <c r="I552" s="1624"/>
      <c r="J552" s="1625"/>
      <c r="K552" s="148"/>
      <c r="M552" s="68"/>
      <c r="N552" s="182" t="s">
        <v>30</v>
      </c>
      <c r="P552" s="66"/>
      <c r="Q552" s="45"/>
      <c r="R552" s="45"/>
      <c r="S552" s="45"/>
      <c r="T552" s="45"/>
      <c r="U552" s="45"/>
      <c r="V552" s="45"/>
      <c r="W552" s="45"/>
      <c r="X552" s="45"/>
      <c r="Y552" s="45"/>
      <c r="Z552" s="45"/>
      <c r="AA552" s="45"/>
      <c r="AB552" s="45"/>
      <c r="AC552" s="45"/>
      <c r="AD552" s="45"/>
      <c r="AE552" s="45"/>
    </row>
    <row r="553" spans="1:31" s="547" customFormat="1" ht="43.5" customHeight="1" x14ac:dyDescent="0.2">
      <c r="A553" s="45"/>
      <c r="B553" s="1169" t="s">
        <v>492</v>
      </c>
      <c r="C553" s="1170"/>
      <c r="D553" s="1170"/>
      <c r="E553" s="1170"/>
      <c r="F553" s="1170"/>
      <c r="G553" s="1170"/>
      <c r="H553" s="1170"/>
      <c r="I553" s="1170"/>
      <c r="J553" s="1171"/>
      <c r="K553" s="148"/>
      <c r="M553" s="68"/>
      <c r="N553" s="67"/>
      <c r="P553" s="66"/>
      <c r="Q553" s="45"/>
      <c r="R553" s="45"/>
      <c r="S553" s="45"/>
      <c r="T553" s="45"/>
      <c r="U553" s="45"/>
      <c r="V553" s="45"/>
      <c r="W553" s="45"/>
      <c r="X553" s="45"/>
      <c r="Y553" s="45"/>
      <c r="Z553" s="45"/>
      <c r="AA553" s="45"/>
      <c r="AB553" s="45"/>
      <c r="AC553" s="45"/>
      <c r="AD553" s="45"/>
      <c r="AE553" s="45"/>
    </row>
    <row r="554" spans="1:31" s="547" customFormat="1" ht="20.100000000000001" customHeight="1" x14ac:dyDescent="0.2">
      <c r="A554" s="45"/>
      <c r="B554" s="621"/>
      <c r="C554" s="150"/>
      <c r="D554" s="150"/>
      <c r="E554" s="150"/>
      <c r="F554" s="150"/>
      <c r="G554" s="150"/>
      <c r="H554" s="150"/>
      <c r="I554" s="147"/>
      <c r="J554" s="128"/>
      <c r="K554" s="148"/>
      <c r="M554" s="68"/>
      <c r="N554" s="67"/>
      <c r="P554" s="66"/>
      <c r="Q554" s="45"/>
      <c r="R554" s="45"/>
      <c r="S554" s="45"/>
      <c r="T554" s="45"/>
      <c r="U554" s="45"/>
      <c r="V554" s="45"/>
      <c r="W554" s="45"/>
      <c r="X554" s="45"/>
      <c r="Y554" s="45"/>
      <c r="Z554" s="45"/>
      <c r="AA554" s="45"/>
      <c r="AB554" s="45"/>
      <c r="AC554" s="45"/>
      <c r="AD554" s="45"/>
      <c r="AE554" s="45"/>
    </row>
    <row r="555" spans="1:31" s="547" customFormat="1" ht="30" customHeight="1" x14ac:dyDescent="0.2">
      <c r="A555" s="45"/>
      <c r="B555" s="1712" t="s">
        <v>493</v>
      </c>
      <c r="C555" s="1712"/>
      <c r="D555" s="1712"/>
      <c r="E555" s="1712"/>
      <c r="F555" s="1712"/>
      <c r="G555" s="1712"/>
      <c r="H555" s="1712"/>
      <c r="I555" s="1712"/>
      <c r="J555" s="1712"/>
      <c r="K555" s="148"/>
      <c r="M555" s="68"/>
      <c r="N555" s="182" t="s">
        <v>30</v>
      </c>
      <c r="P555" s="66"/>
      <c r="Q555" s="45"/>
      <c r="R555" s="45"/>
      <c r="S555" s="45"/>
      <c r="T555" s="45"/>
      <c r="U555" s="45"/>
      <c r="V555" s="45"/>
      <c r="W555" s="45"/>
      <c r="X555" s="45"/>
      <c r="Y555" s="45"/>
      <c r="Z555" s="45"/>
      <c r="AA555" s="45"/>
      <c r="AB555" s="45"/>
      <c r="AC555" s="45"/>
      <c r="AD555" s="45"/>
      <c r="AE555" s="45"/>
    </row>
    <row r="556" spans="1:31" s="547" customFormat="1" ht="41.25" customHeight="1" x14ac:dyDescent="0.2">
      <c r="A556" s="45"/>
      <c r="B556" s="1252" t="s">
        <v>494</v>
      </c>
      <c r="C556" s="1252"/>
      <c r="D556" s="1252"/>
      <c r="E556" s="1252"/>
      <c r="F556" s="1252"/>
      <c r="G556" s="1252"/>
      <c r="H556" s="1252"/>
      <c r="I556" s="1252"/>
      <c r="J556" s="1252"/>
      <c r="K556" s="148"/>
      <c r="M556" s="68"/>
      <c r="N556" s="67"/>
      <c r="P556" s="66"/>
      <c r="Q556" s="45"/>
      <c r="R556" s="45"/>
      <c r="S556" s="45"/>
      <c r="T556" s="45"/>
      <c r="U556" s="45"/>
      <c r="V556" s="45"/>
      <c r="W556" s="45"/>
      <c r="X556" s="45"/>
      <c r="Y556" s="45"/>
      <c r="Z556" s="45"/>
      <c r="AA556" s="45"/>
      <c r="AB556" s="45"/>
      <c r="AC556" s="45"/>
      <c r="AD556" s="45"/>
      <c r="AE556" s="45"/>
    </row>
    <row r="557" spans="1:31" s="547" customFormat="1" ht="20.100000000000001" customHeight="1" x14ac:dyDescent="0.2">
      <c r="A557" s="45"/>
      <c r="B557" s="621"/>
      <c r="C557" s="150"/>
      <c r="D557" s="150"/>
      <c r="E557" s="150"/>
      <c r="F557" s="150"/>
      <c r="G557" s="150"/>
      <c r="H557" s="150"/>
      <c r="I557" s="147"/>
      <c r="J557" s="128"/>
      <c r="K557" s="148"/>
      <c r="M557" s="68"/>
      <c r="N557" s="67"/>
      <c r="P557" s="66"/>
      <c r="Q557" s="45"/>
      <c r="R557" s="45"/>
      <c r="S557" s="45"/>
      <c r="T557" s="45"/>
      <c r="U557" s="45"/>
      <c r="V557" s="45"/>
      <c r="W557" s="45"/>
      <c r="X557" s="45"/>
      <c r="Y557" s="45"/>
      <c r="Z557" s="45"/>
      <c r="AA557" s="45"/>
      <c r="AB557" s="45"/>
      <c r="AC557" s="45"/>
      <c r="AD557" s="45"/>
      <c r="AE557" s="45"/>
    </row>
    <row r="558" spans="1:31" s="547" customFormat="1" ht="34.5" customHeight="1" x14ac:dyDescent="0.2">
      <c r="A558" s="45"/>
      <c r="B558" s="1713" t="s">
        <v>495</v>
      </c>
      <c r="C558" s="1713"/>
      <c r="D558" s="1713"/>
      <c r="E558" s="1713"/>
      <c r="F558" s="1713"/>
      <c r="G558" s="1713"/>
      <c r="H558" s="1713"/>
      <c r="I558" s="704" t="s">
        <v>496</v>
      </c>
      <c r="J558" s="35" t="s">
        <v>18</v>
      </c>
      <c r="K558" s="148"/>
      <c r="M558" s="68"/>
      <c r="N558" s="182" t="s">
        <v>30</v>
      </c>
      <c r="P558" s="66"/>
      <c r="Q558" s="45"/>
      <c r="R558" s="45"/>
      <c r="S558" s="45"/>
      <c r="T558" s="45"/>
      <c r="U558" s="45"/>
      <c r="V558" s="45"/>
      <c r="W558" s="45"/>
      <c r="X558" s="45"/>
      <c r="Y558" s="45"/>
      <c r="Z558" s="45"/>
      <c r="AA558" s="45"/>
      <c r="AB558" s="45"/>
      <c r="AC558" s="45"/>
      <c r="AD558" s="45"/>
      <c r="AE558" s="45"/>
    </row>
    <row r="559" spans="1:31" s="547" customFormat="1" ht="43.5" customHeight="1" x14ac:dyDescent="0.2">
      <c r="A559" s="45"/>
      <c r="B559" s="1714" t="s">
        <v>497</v>
      </c>
      <c r="C559" s="1714"/>
      <c r="D559" s="1714"/>
      <c r="E559" s="1714"/>
      <c r="F559" s="1714"/>
      <c r="G559" s="1714"/>
      <c r="H559" s="1714"/>
      <c r="I559" s="1714"/>
      <c r="J559" s="1714"/>
      <c r="K559" s="148"/>
      <c r="M559" s="68"/>
      <c r="N559" s="67"/>
      <c r="P559" s="66"/>
      <c r="Q559" s="45"/>
      <c r="R559" s="45"/>
      <c r="S559" s="45"/>
      <c r="T559" s="45"/>
      <c r="U559" s="45"/>
      <c r="V559" s="45"/>
      <c r="W559" s="45"/>
      <c r="X559" s="45"/>
      <c r="Y559" s="45"/>
      <c r="Z559" s="45"/>
      <c r="AA559" s="45"/>
      <c r="AB559" s="45"/>
      <c r="AC559" s="45"/>
      <c r="AD559" s="45"/>
      <c r="AE559" s="45"/>
    </row>
    <row r="560" spans="1:31" s="547" customFormat="1" ht="33.75" customHeight="1" x14ac:dyDescent="0.2">
      <c r="A560" s="45"/>
      <c r="B560" s="994" t="s">
        <v>328</v>
      </c>
      <c r="C560" s="1063" t="s">
        <v>498</v>
      </c>
      <c r="D560" s="1063"/>
      <c r="E560" s="1063"/>
      <c r="F560" s="1063"/>
      <c r="G560" s="1063"/>
      <c r="H560" s="1063"/>
      <c r="I560" s="1063"/>
      <c r="J560" s="1063"/>
      <c r="K560" s="148"/>
      <c r="M560" s="68"/>
      <c r="N560" s="67"/>
      <c r="P560" s="66"/>
      <c r="Q560" s="45"/>
      <c r="R560" s="45"/>
      <c r="S560" s="45"/>
      <c r="T560" s="45"/>
      <c r="U560" s="45"/>
      <c r="V560" s="45"/>
      <c r="W560" s="45"/>
      <c r="X560" s="45"/>
      <c r="Y560" s="45"/>
      <c r="Z560" s="45"/>
      <c r="AA560" s="45"/>
      <c r="AB560" s="45"/>
      <c r="AC560" s="45"/>
      <c r="AD560" s="45"/>
      <c r="AE560" s="45"/>
    </row>
    <row r="561" spans="1:31" s="547" customFormat="1" ht="213" customHeight="1" x14ac:dyDescent="0.2">
      <c r="A561" s="45"/>
      <c r="B561" s="994"/>
      <c r="C561" s="1063" t="s">
        <v>837</v>
      </c>
      <c r="D561" s="1063"/>
      <c r="E561" s="1063"/>
      <c r="F561" s="1063"/>
      <c r="G561" s="1063"/>
      <c r="H561" s="1063"/>
      <c r="I561" s="256">
        <v>0</v>
      </c>
      <c r="J561" s="257">
        <v>1</v>
      </c>
      <c r="K561" s="148"/>
      <c r="M561" s="68"/>
      <c r="N561" s="67"/>
      <c r="P561" s="66"/>
      <c r="Q561" s="45"/>
      <c r="R561" s="45"/>
      <c r="S561" s="45"/>
      <c r="T561" s="45"/>
      <c r="U561" s="45"/>
      <c r="V561" s="45"/>
      <c r="W561" s="45"/>
      <c r="X561" s="45"/>
      <c r="Y561" s="45"/>
      <c r="Z561" s="45"/>
      <c r="AA561" s="45"/>
      <c r="AB561" s="45"/>
      <c r="AC561" s="45"/>
      <c r="AD561" s="45"/>
      <c r="AE561" s="45"/>
    </row>
    <row r="562" spans="1:31" ht="30" customHeight="1" x14ac:dyDescent="0.2">
      <c r="A562" s="45"/>
      <c r="B562" s="994"/>
      <c r="C562" s="1714" t="s">
        <v>871</v>
      </c>
      <c r="D562" s="1714"/>
      <c r="E562" s="1714"/>
      <c r="F562" s="1714"/>
      <c r="G562" s="1714"/>
      <c r="H562" s="1714"/>
      <c r="I562" s="258" t="s">
        <v>501</v>
      </c>
      <c r="J562" s="257" t="s">
        <v>501</v>
      </c>
    </row>
    <row r="563" spans="1:31" ht="20.100000000000001" customHeight="1" x14ac:dyDescent="0.2">
      <c r="A563" s="45"/>
      <c r="B563" s="721"/>
      <c r="C563" s="648"/>
      <c r="D563" s="648"/>
      <c r="E563" s="648"/>
      <c r="F563" s="648"/>
      <c r="G563" s="648"/>
      <c r="H563" s="648"/>
      <c r="I563" s="618"/>
      <c r="J563" s="128"/>
    </row>
    <row r="564" spans="1:31" s="66" customFormat="1" ht="30" customHeight="1" x14ac:dyDescent="0.2">
      <c r="A564" s="149"/>
      <c r="B564" s="1711" t="s">
        <v>664</v>
      </c>
      <c r="C564" s="1711"/>
      <c r="D564" s="1711"/>
      <c r="E564" s="1711"/>
      <c r="F564" s="1711"/>
      <c r="G564" s="1711"/>
      <c r="H564" s="1711"/>
      <c r="I564" s="406" t="s">
        <v>17</v>
      </c>
      <c r="J564" s="193" t="s">
        <v>18</v>
      </c>
      <c r="K564" s="669" t="s">
        <v>665</v>
      </c>
      <c r="L564" s="238">
        <v>22</v>
      </c>
      <c r="M564" s="67"/>
      <c r="N564" s="182" t="s">
        <v>30</v>
      </c>
      <c r="O564" s="238">
        <v>22</v>
      </c>
    </row>
    <row r="565" spans="1:31" s="66" customFormat="1" ht="69.95" customHeight="1" x14ac:dyDescent="0.2">
      <c r="A565" s="149"/>
      <c r="B565" s="163" t="s">
        <v>666</v>
      </c>
      <c r="C565" s="1166" t="s">
        <v>667</v>
      </c>
      <c r="D565" s="1167"/>
      <c r="E565" s="1167"/>
      <c r="F565" s="1167"/>
      <c r="G565" s="1167"/>
      <c r="H565" s="1168"/>
      <c r="I565" s="164" t="s">
        <v>668</v>
      </c>
      <c r="J565" s="199" t="s">
        <v>668</v>
      </c>
      <c r="K565" s="669" t="s">
        <v>665</v>
      </c>
      <c r="L565" s="238">
        <v>22</v>
      </c>
      <c r="M565" s="67"/>
      <c r="O565" s="238">
        <v>22</v>
      </c>
    </row>
    <row r="566" spans="1:31" ht="19.5" customHeight="1" x14ac:dyDescent="0.2">
      <c r="A566" s="149"/>
      <c r="B566" s="664"/>
      <c r="C566" s="642"/>
      <c r="D566" s="642"/>
      <c r="E566" s="642"/>
      <c r="F566" s="642"/>
      <c r="G566" s="642"/>
      <c r="H566" s="642"/>
      <c r="I566" s="666"/>
      <c r="J566" s="180"/>
      <c r="K566" s="69"/>
      <c r="L566" s="722"/>
      <c r="M566" s="149"/>
      <c r="N566" s="45"/>
      <c r="O566" s="723"/>
      <c r="P566" s="45"/>
    </row>
    <row r="567" spans="1:31" s="66" customFormat="1" ht="30" customHeight="1" x14ac:dyDescent="0.2">
      <c r="A567" s="149"/>
      <c r="B567" s="1712" t="s">
        <v>673</v>
      </c>
      <c r="C567" s="1712"/>
      <c r="D567" s="1712"/>
      <c r="E567" s="1712"/>
      <c r="F567" s="1712"/>
      <c r="G567" s="1712"/>
      <c r="H567" s="1712"/>
      <c r="I567" s="1712"/>
      <c r="J567" s="1712"/>
      <c r="M567" s="67"/>
      <c r="N567" s="182" t="s">
        <v>30</v>
      </c>
    </row>
    <row r="568" spans="1:31" s="66" customFormat="1" ht="54.95" customHeight="1" x14ac:dyDescent="0.2">
      <c r="A568" s="149"/>
      <c r="B568" s="1252" t="s">
        <v>674</v>
      </c>
      <c r="C568" s="1252"/>
      <c r="D568" s="1252"/>
      <c r="E568" s="1252"/>
      <c r="F568" s="1252"/>
      <c r="G568" s="1252"/>
      <c r="H568" s="1252"/>
      <c r="I568" s="1252"/>
      <c r="J568" s="1252"/>
      <c r="M568" s="67"/>
    </row>
    <row r="569" spans="1:31" s="18" customFormat="1" ht="20.100000000000001" customHeight="1" x14ac:dyDescent="0.2">
      <c r="A569" s="24"/>
      <c r="B569" s="31"/>
      <c r="C569" s="31"/>
      <c r="D569" s="31"/>
      <c r="E569" s="31"/>
      <c r="F569" s="31"/>
      <c r="G569" s="31"/>
      <c r="H569" s="31"/>
      <c r="I569" s="32"/>
      <c r="J569" s="33"/>
      <c r="K569" s="272"/>
      <c r="L569" s="2"/>
      <c r="M569" s="4"/>
      <c r="O569" s="2"/>
    </row>
    <row r="570" spans="1:31" s="18" customFormat="1" ht="30" customHeight="1" x14ac:dyDescent="0.2">
      <c r="A570" s="23"/>
      <c r="B570" s="1159" t="s">
        <v>675</v>
      </c>
      <c r="C570" s="1274"/>
      <c r="D570" s="1274"/>
      <c r="E570" s="1274"/>
      <c r="F570" s="1274"/>
      <c r="G570" s="1274"/>
      <c r="H570" s="1275"/>
      <c r="I570" s="1368" t="s">
        <v>676</v>
      </c>
      <c r="J570" s="1369"/>
      <c r="M570" s="4"/>
      <c r="N570" s="46" t="s">
        <v>30</v>
      </c>
    </row>
    <row r="571" spans="1:31" s="18" customFormat="1" ht="85.5" customHeight="1" x14ac:dyDescent="0.2">
      <c r="A571" s="23"/>
      <c r="B571" s="1376" t="s">
        <v>677</v>
      </c>
      <c r="C571" s="1377"/>
      <c r="D571" s="1377"/>
      <c r="E571" s="1377"/>
      <c r="F571" s="1377"/>
      <c r="G571" s="1377"/>
      <c r="H571" s="1378"/>
      <c r="I571" s="1604" t="s">
        <v>678</v>
      </c>
      <c r="J571" s="1605"/>
      <c r="M571" s="4"/>
    </row>
    <row r="572" spans="1:31" s="66" customFormat="1" ht="20.100000000000001" customHeight="1" x14ac:dyDescent="0.2">
      <c r="A572" s="149"/>
      <c r="B572" s="670"/>
      <c r="C572" s="670"/>
      <c r="D572" s="670"/>
      <c r="E572" s="670"/>
      <c r="F572" s="670"/>
      <c r="G572" s="670"/>
      <c r="H572" s="670"/>
      <c r="I572" s="670"/>
      <c r="J572" s="546"/>
      <c r="K572" s="45"/>
      <c r="M572" s="67"/>
    </row>
    <row r="573" spans="1:31" s="24" customFormat="1" ht="30" customHeight="1" x14ac:dyDescent="0.2">
      <c r="B573" s="1223" t="s">
        <v>679</v>
      </c>
      <c r="C573" s="1707"/>
      <c r="D573" s="1707"/>
      <c r="E573" s="1707"/>
      <c r="F573" s="1707"/>
      <c r="G573" s="1707"/>
      <c r="H573" s="1707"/>
      <c r="I573" s="1708" t="s">
        <v>676</v>
      </c>
      <c r="J573" s="1708"/>
      <c r="K573" s="18"/>
      <c r="L573" s="18"/>
      <c r="M573" s="4"/>
      <c r="N573" s="46" t="s">
        <v>30</v>
      </c>
      <c r="O573" s="18"/>
      <c r="P573" s="18"/>
    </row>
    <row r="574" spans="1:31" ht="155.1" customHeight="1" x14ac:dyDescent="0.2">
      <c r="A574" s="45"/>
      <c r="B574" s="1709" t="s">
        <v>680</v>
      </c>
      <c r="C574" s="1709"/>
      <c r="D574" s="1709"/>
      <c r="E574" s="1709"/>
      <c r="F574" s="1709"/>
      <c r="G574" s="1709"/>
      <c r="H574" s="1709"/>
      <c r="I574" s="1710" t="s">
        <v>681</v>
      </c>
      <c r="J574" s="1710"/>
      <c r="K574" s="724"/>
      <c r="L574" s="67"/>
      <c r="O574" s="67"/>
      <c r="U574" s="70"/>
      <c r="V574" s="240"/>
      <c r="W574" s="239"/>
      <c r="X574" s="243"/>
      <c r="Y574" s="69"/>
    </row>
    <row r="575" spans="1:31" ht="20.100000000000001" customHeight="1" x14ac:dyDescent="0.2">
      <c r="A575" s="149"/>
      <c r="B575" s="644"/>
      <c r="C575" s="644"/>
      <c r="D575" s="644"/>
      <c r="E575" s="644"/>
      <c r="F575" s="644"/>
      <c r="G575" s="644"/>
      <c r="H575" s="644"/>
      <c r="I575" s="644"/>
      <c r="J575" s="253"/>
      <c r="K575" s="45"/>
      <c r="L575" s="45"/>
      <c r="M575" s="149"/>
      <c r="N575" s="45"/>
      <c r="O575" s="45"/>
      <c r="P575" s="45"/>
    </row>
    <row r="576" spans="1:31" s="66" customFormat="1" ht="30" customHeight="1" x14ac:dyDescent="0.2">
      <c r="A576" s="149"/>
      <c r="B576" s="1690" t="s">
        <v>682</v>
      </c>
      <c r="C576" s="1691"/>
      <c r="D576" s="1691"/>
      <c r="E576" s="1691"/>
      <c r="F576" s="1691"/>
      <c r="G576" s="1691"/>
      <c r="H576" s="1691"/>
      <c r="I576" s="406" t="s">
        <v>17</v>
      </c>
      <c r="J576" s="35" t="s">
        <v>18</v>
      </c>
      <c r="K576" s="226" t="s">
        <v>683</v>
      </c>
      <c r="L576" s="183">
        <v>23</v>
      </c>
      <c r="M576" s="67"/>
      <c r="N576" s="182" t="s">
        <v>30</v>
      </c>
      <c r="O576" s="183">
        <v>23</v>
      </c>
    </row>
    <row r="577" spans="1:16" s="66" customFormat="1" ht="30" customHeight="1" x14ac:dyDescent="0.2">
      <c r="A577" s="149"/>
      <c r="B577" s="1705" t="s">
        <v>684</v>
      </c>
      <c r="C577" s="1705"/>
      <c r="D577" s="1705"/>
      <c r="E577" s="1705"/>
      <c r="F577" s="1705"/>
      <c r="G577" s="1705"/>
      <c r="H577" s="1705"/>
      <c r="I577" s="1705"/>
      <c r="J577" s="1705"/>
      <c r="K577" s="226" t="s">
        <v>683</v>
      </c>
      <c r="L577" s="183">
        <v>23</v>
      </c>
      <c r="M577" s="67"/>
      <c r="O577" s="183">
        <v>23</v>
      </c>
    </row>
    <row r="578" spans="1:16" s="66" customFormat="1" ht="54.95" customHeight="1" x14ac:dyDescent="0.2">
      <c r="A578" s="149"/>
      <c r="B578" s="725"/>
      <c r="C578" s="1706" t="s">
        <v>685</v>
      </c>
      <c r="D578" s="1706"/>
      <c r="E578" s="1706"/>
      <c r="F578" s="1706"/>
      <c r="G578" s="1706"/>
      <c r="H578" s="1706"/>
      <c r="I578" s="409">
        <v>35</v>
      </c>
      <c r="J578" s="42">
        <v>1</v>
      </c>
      <c r="K578" s="226" t="s">
        <v>683</v>
      </c>
      <c r="L578" s="183">
        <v>23</v>
      </c>
      <c r="M578" s="67"/>
      <c r="O578" s="183">
        <v>23</v>
      </c>
    </row>
    <row r="579" spans="1:16" s="66" customFormat="1" ht="20.100000000000001" customHeight="1" x14ac:dyDescent="0.2">
      <c r="A579" s="149"/>
      <c r="B579" s="566"/>
      <c r="C579" s="566"/>
      <c r="D579" s="566"/>
      <c r="E579" s="566"/>
      <c r="F579" s="566"/>
      <c r="G579" s="566"/>
      <c r="H579" s="566"/>
      <c r="I579" s="567"/>
      <c r="J579" s="33"/>
      <c r="M579" s="67"/>
    </row>
    <row r="580" spans="1:16" s="66" customFormat="1" ht="30" customHeight="1" x14ac:dyDescent="0.2">
      <c r="A580" s="149"/>
      <c r="B580" s="1690" t="s">
        <v>686</v>
      </c>
      <c r="C580" s="1691"/>
      <c r="D580" s="1691"/>
      <c r="E580" s="1691"/>
      <c r="F580" s="1691"/>
      <c r="G580" s="1691"/>
      <c r="H580" s="1691"/>
      <c r="I580" s="406" t="s">
        <v>17</v>
      </c>
      <c r="J580" s="35" t="s">
        <v>18</v>
      </c>
      <c r="K580" s="226" t="s">
        <v>687</v>
      </c>
      <c r="L580" s="183">
        <v>24</v>
      </c>
      <c r="M580" s="67"/>
      <c r="N580" s="182" t="s">
        <v>30</v>
      </c>
      <c r="O580" s="183">
        <v>24</v>
      </c>
    </row>
    <row r="581" spans="1:16" s="66" customFormat="1" ht="30" customHeight="1" x14ac:dyDescent="0.2">
      <c r="A581" s="149"/>
      <c r="B581" s="1705" t="s">
        <v>688</v>
      </c>
      <c r="C581" s="1705"/>
      <c r="D581" s="1705"/>
      <c r="E581" s="1705"/>
      <c r="F581" s="1705"/>
      <c r="G581" s="1705"/>
      <c r="H581" s="1705"/>
      <c r="I581" s="1705"/>
      <c r="J581" s="1705"/>
      <c r="K581" s="226" t="s">
        <v>687</v>
      </c>
      <c r="L581" s="183">
        <v>24</v>
      </c>
      <c r="M581" s="67"/>
      <c r="O581" s="183">
        <v>24</v>
      </c>
    </row>
    <row r="582" spans="1:16" s="66" customFormat="1" ht="60" customHeight="1" x14ac:dyDescent="0.2">
      <c r="A582" s="149"/>
      <c r="B582" s="726"/>
      <c r="C582" s="1252" t="s">
        <v>689</v>
      </c>
      <c r="D582" s="1252"/>
      <c r="E582" s="1252"/>
      <c r="F582" s="1252"/>
      <c r="G582" s="1252"/>
      <c r="H582" s="1252"/>
      <c r="I582" s="539">
        <v>51</v>
      </c>
      <c r="J582" s="75">
        <v>1</v>
      </c>
      <c r="K582" s="226" t="s">
        <v>687</v>
      </c>
      <c r="L582" s="183">
        <v>24</v>
      </c>
      <c r="M582" s="67"/>
      <c r="O582" s="183">
        <v>24</v>
      </c>
    </row>
    <row r="583" spans="1:16" s="66" customFormat="1" ht="20.100000000000001" customHeight="1" x14ac:dyDescent="0.2">
      <c r="A583" s="149"/>
      <c r="B583" s="566"/>
      <c r="C583" s="566"/>
      <c r="D583" s="566"/>
      <c r="E583" s="566"/>
      <c r="F583" s="566"/>
      <c r="G583" s="566"/>
      <c r="H583" s="566"/>
      <c r="I583" s="567"/>
      <c r="J583" s="33"/>
      <c r="M583" s="67"/>
    </row>
    <row r="584" spans="1:16" s="66" customFormat="1" ht="30" customHeight="1" x14ac:dyDescent="0.2">
      <c r="A584" s="149"/>
      <c r="B584" s="1690" t="s">
        <v>690</v>
      </c>
      <c r="C584" s="1691"/>
      <c r="D584" s="1691"/>
      <c r="E584" s="1691"/>
      <c r="F584" s="1691"/>
      <c r="G584" s="1691"/>
      <c r="H584" s="1691"/>
      <c r="I584" s="406" t="s">
        <v>17</v>
      </c>
      <c r="J584" s="35" t="s">
        <v>18</v>
      </c>
      <c r="K584" s="669" t="s">
        <v>691</v>
      </c>
      <c r="L584" s="238">
        <v>25</v>
      </c>
      <c r="M584" s="67"/>
      <c r="N584" s="182" t="s">
        <v>30</v>
      </c>
      <c r="O584" s="238">
        <v>25</v>
      </c>
    </row>
    <row r="585" spans="1:16" s="66" customFormat="1" ht="24" customHeight="1" x14ac:dyDescent="0.2">
      <c r="A585" s="149"/>
      <c r="B585" s="1358" t="s">
        <v>692</v>
      </c>
      <c r="C585" s="1359"/>
      <c r="D585" s="1359"/>
      <c r="E585" s="1359"/>
      <c r="F585" s="1359"/>
      <c r="G585" s="1359"/>
      <c r="H585" s="1359"/>
      <c r="I585" s="1359"/>
      <c r="J585" s="1360"/>
      <c r="K585" s="669" t="s">
        <v>691</v>
      </c>
      <c r="L585" s="238">
        <v>25</v>
      </c>
      <c r="M585" s="67"/>
      <c r="O585" s="238">
        <v>25</v>
      </c>
    </row>
    <row r="586" spans="1:16" s="66" customFormat="1" ht="45" customHeight="1" x14ac:dyDescent="0.2">
      <c r="A586" s="149"/>
      <c r="B586" s="1692"/>
      <c r="C586" s="1695" t="s">
        <v>899</v>
      </c>
      <c r="D586" s="1696"/>
      <c r="E586" s="1696"/>
      <c r="F586" s="1696"/>
      <c r="G586" s="1696"/>
      <c r="H586" s="1697"/>
      <c r="I586" s="1698">
        <v>0</v>
      </c>
      <c r="J586" s="915">
        <v>1</v>
      </c>
      <c r="K586" s="669" t="s">
        <v>691</v>
      </c>
      <c r="L586" s="238">
        <v>25</v>
      </c>
      <c r="M586" s="67"/>
      <c r="O586" s="238">
        <v>25</v>
      </c>
    </row>
    <row r="587" spans="1:16" s="66" customFormat="1" ht="30" customHeight="1" x14ac:dyDescent="0.2">
      <c r="A587" s="149"/>
      <c r="B587" s="1693"/>
      <c r="C587" s="1701" t="s">
        <v>694</v>
      </c>
      <c r="D587" s="1702"/>
      <c r="E587" s="1702" t="s">
        <v>695</v>
      </c>
      <c r="F587" s="1702"/>
      <c r="G587" s="1702" t="s">
        <v>696</v>
      </c>
      <c r="H587" s="1703"/>
      <c r="I587" s="1699"/>
      <c r="J587" s="1045"/>
      <c r="K587" s="669" t="s">
        <v>691</v>
      </c>
      <c r="L587" s="238">
        <v>25</v>
      </c>
      <c r="M587" s="67"/>
      <c r="O587" s="238">
        <v>25</v>
      </c>
    </row>
    <row r="588" spans="1:16" s="66" customFormat="1" ht="30" customHeight="1" x14ac:dyDescent="0.2">
      <c r="A588" s="149"/>
      <c r="B588" s="1694"/>
      <c r="C588" s="1704" t="s">
        <v>697</v>
      </c>
      <c r="D588" s="1685"/>
      <c r="E588" s="1685"/>
      <c r="F588" s="1685"/>
      <c r="G588" s="1685"/>
      <c r="H588" s="1686"/>
      <c r="I588" s="1700"/>
      <c r="J588" s="916"/>
      <c r="K588" s="669" t="s">
        <v>691</v>
      </c>
      <c r="L588" s="238">
        <v>25</v>
      </c>
      <c r="M588" s="67"/>
      <c r="O588" s="238">
        <v>25</v>
      </c>
    </row>
    <row r="589" spans="1:16" ht="20.100000000000001" customHeight="1" x14ac:dyDescent="0.2">
      <c r="A589" s="149"/>
      <c r="B589" s="727"/>
      <c r="C589" s="649"/>
      <c r="D589" s="649"/>
      <c r="E589" s="649"/>
      <c r="F589" s="649"/>
      <c r="G589" s="649"/>
      <c r="H589" s="649"/>
      <c r="I589" s="618"/>
      <c r="J589" s="128"/>
      <c r="K589" s="728"/>
      <c r="L589" s="723"/>
      <c r="M589" s="149"/>
      <c r="N589" s="45"/>
      <c r="O589" s="723"/>
      <c r="P589" s="45"/>
    </row>
    <row r="590" spans="1:16" s="66" customFormat="1" ht="30" customHeight="1" x14ac:dyDescent="0.2">
      <c r="A590" s="45"/>
      <c r="B590" s="1687" t="s">
        <v>737</v>
      </c>
      <c r="C590" s="1688"/>
      <c r="D590" s="1688"/>
      <c r="E590" s="1688"/>
      <c r="F590" s="1688"/>
      <c r="G590" s="1688"/>
      <c r="H590" s="1689"/>
      <c r="I590" s="406" t="s">
        <v>17</v>
      </c>
      <c r="J590" s="193" t="s">
        <v>18</v>
      </c>
      <c r="K590" s="669" t="s">
        <v>738</v>
      </c>
      <c r="L590" s="238">
        <v>31</v>
      </c>
      <c r="M590" s="67"/>
      <c r="N590" s="182" t="s">
        <v>30</v>
      </c>
      <c r="O590" s="238">
        <v>31</v>
      </c>
    </row>
    <row r="591" spans="1:16" s="66" customFormat="1" ht="64.5" customHeight="1" x14ac:dyDescent="0.2">
      <c r="A591" s="45"/>
      <c r="B591" s="1166" t="s">
        <v>808</v>
      </c>
      <c r="C591" s="1167"/>
      <c r="D591" s="1167"/>
      <c r="E591" s="1167"/>
      <c r="F591" s="1167"/>
      <c r="G591" s="1167"/>
      <c r="H591" s="1168"/>
      <c r="I591" s="164">
        <v>0</v>
      </c>
      <c r="J591" s="199">
        <v>1</v>
      </c>
      <c r="K591" s="669" t="s">
        <v>738</v>
      </c>
      <c r="L591" s="238">
        <v>31</v>
      </c>
      <c r="M591" s="67"/>
      <c r="O591" s="238">
        <v>31</v>
      </c>
    </row>
    <row r="592" spans="1:16" s="66" customFormat="1" ht="20.100000000000001" customHeight="1" x14ac:dyDescent="0.2">
      <c r="A592" s="45"/>
      <c r="B592" s="642"/>
      <c r="C592" s="642"/>
      <c r="D592" s="642"/>
      <c r="E592" s="642"/>
      <c r="F592" s="642"/>
      <c r="G592" s="642"/>
      <c r="H592" s="642"/>
      <c r="I592" s="666"/>
      <c r="J592" s="180"/>
      <c r="K592" s="69"/>
      <c r="L592" s="722"/>
      <c r="M592" s="67"/>
      <c r="O592" s="238"/>
    </row>
    <row r="593" spans="1:16" s="66" customFormat="1" ht="30" customHeight="1" x14ac:dyDescent="0.2">
      <c r="A593" s="45"/>
      <c r="B593" s="1355" t="s">
        <v>804</v>
      </c>
      <c r="C593" s="1356"/>
      <c r="D593" s="1356"/>
      <c r="E593" s="1356"/>
      <c r="F593" s="1356"/>
      <c r="G593" s="1356"/>
      <c r="H593" s="1357"/>
      <c r="I593" s="406" t="s">
        <v>17</v>
      </c>
      <c r="J593" s="35" t="s">
        <v>18</v>
      </c>
      <c r="K593" s="669" t="s">
        <v>805</v>
      </c>
      <c r="L593" s="238">
        <v>34</v>
      </c>
      <c r="M593" s="67"/>
      <c r="N593" s="182" t="s">
        <v>30</v>
      </c>
      <c r="O593" s="238">
        <v>34</v>
      </c>
    </row>
    <row r="594" spans="1:16" s="66" customFormat="1" ht="30" customHeight="1" x14ac:dyDescent="0.2">
      <c r="A594" s="45"/>
      <c r="B594" s="1358" t="s">
        <v>806</v>
      </c>
      <c r="C594" s="1359"/>
      <c r="D594" s="1359"/>
      <c r="E594" s="1359"/>
      <c r="F594" s="1359"/>
      <c r="G594" s="1359"/>
      <c r="H594" s="1359"/>
      <c r="I594" s="1359"/>
      <c r="J594" s="1360"/>
      <c r="K594" s="669" t="s">
        <v>805</v>
      </c>
      <c r="L594" s="238">
        <v>34</v>
      </c>
      <c r="M594" s="67"/>
      <c r="O594" s="238">
        <v>34</v>
      </c>
    </row>
    <row r="595" spans="1:16" ht="90" customHeight="1" x14ac:dyDescent="0.2">
      <c r="A595" s="45"/>
      <c r="B595" s="726"/>
      <c r="C595" s="1252" t="s">
        <v>807</v>
      </c>
      <c r="D595" s="1252"/>
      <c r="E595" s="1252"/>
      <c r="F595" s="1252"/>
      <c r="G595" s="1252"/>
      <c r="H595" s="1252"/>
      <c r="I595" s="539">
        <v>0</v>
      </c>
      <c r="J595" s="75">
        <v>1</v>
      </c>
      <c r="K595" s="669" t="s">
        <v>805</v>
      </c>
      <c r="L595" s="238">
        <v>34</v>
      </c>
      <c r="M595" s="149"/>
      <c r="N595" s="45"/>
      <c r="O595" s="238">
        <v>34</v>
      </c>
      <c r="P595" s="45"/>
    </row>
    <row r="596" spans="1:16" ht="20.100000000000001" customHeight="1" x14ac:dyDescent="0.2">
      <c r="A596" s="45"/>
      <c r="B596" s="729"/>
      <c r="C596" s="730"/>
      <c r="D596" s="730"/>
      <c r="E596" s="730"/>
      <c r="F596" s="730"/>
      <c r="G596" s="730"/>
      <c r="H596" s="730"/>
      <c r="I596" s="731"/>
      <c r="J596" s="732"/>
      <c r="K596" s="728"/>
      <c r="L596" s="723"/>
      <c r="M596" s="149"/>
      <c r="N596" s="45"/>
      <c r="O596" s="723"/>
      <c r="P596" s="45"/>
    </row>
    <row r="597" spans="1:16" s="66" customFormat="1" ht="30" customHeight="1" x14ac:dyDescent="0.2">
      <c r="A597" s="67"/>
      <c r="B597" s="1355" t="s">
        <v>698</v>
      </c>
      <c r="C597" s="1673"/>
      <c r="D597" s="1673"/>
      <c r="E597" s="1673"/>
      <c r="F597" s="1673"/>
      <c r="G597" s="1673"/>
      <c r="H597" s="1674"/>
      <c r="I597" s="406" t="s">
        <v>17</v>
      </c>
      <c r="J597" s="35" t="s">
        <v>18</v>
      </c>
      <c r="K597" s="226" t="s">
        <v>699</v>
      </c>
      <c r="L597" s="183">
        <v>26</v>
      </c>
      <c r="M597" s="67"/>
      <c r="N597" s="182" t="s">
        <v>30</v>
      </c>
      <c r="O597" s="183">
        <v>26</v>
      </c>
    </row>
    <row r="598" spans="1:16" s="66" customFormat="1" ht="39.950000000000003" customHeight="1" x14ac:dyDescent="0.2">
      <c r="A598" s="67"/>
      <c r="B598" s="1161" t="s">
        <v>700</v>
      </c>
      <c r="C598" s="1359"/>
      <c r="D598" s="1359"/>
      <c r="E598" s="1359"/>
      <c r="F598" s="1359"/>
      <c r="G598" s="1359"/>
      <c r="H598" s="1359"/>
      <c r="I598" s="1359"/>
      <c r="J598" s="1360"/>
      <c r="K598" s="226" t="s">
        <v>699</v>
      </c>
      <c r="L598" s="183">
        <v>26</v>
      </c>
      <c r="M598" s="67"/>
      <c r="O598" s="183">
        <v>26</v>
      </c>
    </row>
    <row r="599" spans="1:16" s="66" customFormat="1" ht="56.25" customHeight="1" x14ac:dyDescent="0.2">
      <c r="A599" s="67"/>
      <c r="B599" s="725" t="s">
        <v>701</v>
      </c>
      <c r="C599" s="1682" t="s">
        <v>702</v>
      </c>
      <c r="D599" s="1649"/>
      <c r="E599" s="1649"/>
      <c r="F599" s="1649"/>
      <c r="G599" s="1649"/>
      <c r="H599" s="1649"/>
      <c r="I599" s="733">
        <v>0</v>
      </c>
      <c r="J599" s="405">
        <v>1</v>
      </c>
      <c r="K599" s="226" t="s">
        <v>699</v>
      </c>
      <c r="L599" s="183">
        <v>26</v>
      </c>
      <c r="M599" s="67"/>
      <c r="O599" s="183">
        <v>26</v>
      </c>
    </row>
    <row r="600" spans="1:16" s="66" customFormat="1" ht="20.100000000000001" customHeight="1" x14ac:dyDescent="0.2">
      <c r="A600" s="149"/>
      <c r="B600" s="591"/>
      <c r="C600" s="648"/>
      <c r="D600" s="648"/>
      <c r="E600" s="648"/>
      <c r="F600" s="648"/>
      <c r="G600" s="648"/>
      <c r="H600" s="648"/>
      <c r="I600" s="593"/>
      <c r="J600" s="65"/>
      <c r="M600" s="67"/>
    </row>
    <row r="601" spans="1:16" s="66" customFormat="1" ht="30" customHeight="1" x14ac:dyDescent="0.2">
      <c r="A601" s="149"/>
      <c r="B601" s="1355" t="s">
        <v>703</v>
      </c>
      <c r="C601" s="1673"/>
      <c r="D601" s="1673"/>
      <c r="E601" s="1673"/>
      <c r="F601" s="1673"/>
      <c r="G601" s="1673"/>
      <c r="H601" s="1674"/>
      <c r="I601" s="1683" t="s">
        <v>17</v>
      </c>
      <c r="J601" s="1684"/>
      <c r="K601" s="226" t="s">
        <v>704</v>
      </c>
      <c r="L601" s="183">
        <v>27</v>
      </c>
      <c r="M601" s="67"/>
      <c r="N601" s="182" t="s">
        <v>30</v>
      </c>
      <c r="O601" s="183">
        <v>27</v>
      </c>
      <c r="P601" s="45"/>
    </row>
    <row r="602" spans="1:16" ht="90" customHeight="1" x14ac:dyDescent="0.2">
      <c r="A602" s="149"/>
      <c r="B602" s="726" t="s">
        <v>705</v>
      </c>
      <c r="C602" s="1169" t="s">
        <v>706</v>
      </c>
      <c r="D602" s="1170"/>
      <c r="E602" s="1170"/>
      <c r="F602" s="1170"/>
      <c r="G602" s="1170"/>
      <c r="H602" s="1171"/>
      <c r="I602" s="1678">
        <v>145</v>
      </c>
      <c r="J602" s="1678"/>
      <c r="K602" s="226" t="s">
        <v>704</v>
      </c>
      <c r="L602" s="183">
        <v>27</v>
      </c>
      <c r="M602" s="149"/>
      <c r="N602" s="45"/>
      <c r="O602" s="183">
        <v>27</v>
      </c>
      <c r="P602" s="45"/>
    </row>
    <row r="603" spans="1:16" s="66" customFormat="1" ht="80.099999999999994" customHeight="1" x14ac:dyDescent="0.2">
      <c r="A603" s="149"/>
      <c r="B603" s="726" t="s">
        <v>707</v>
      </c>
      <c r="C603" s="1169" t="s">
        <v>708</v>
      </c>
      <c r="D603" s="1170"/>
      <c r="E603" s="1170"/>
      <c r="F603" s="1170"/>
      <c r="G603" s="1170"/>
      <c r="H603" s="1171"/>
      <c r="I603" s="1680">
        <v>120</v>
      </c>
      <c r="J603" s="1681"/>
      <c r="K603" s="226" t="s">
        <v>704</v>
      </c>
      <c r="L603" s="183">
        <v>27</v>
      </c>
      <c r="M603" s="67"/>
      <c r="N603" s="182" t="s">
        <v>30</v>
      </c>
      <c r="O603" s="183">
        <v>27</v>
      </c>
      <c r="P603" s="45"/>
    </row>
    <row r="604" spans="1:16" s="66" customFormat="1" ht="30" customHeight="1" x14ac:dyDescent="0.2">
      <c r="A604" s="149"/>
      <c r="B604" s="1365" t="s">
        <v>709</v>
      </c>
      <c r="C604" s="1169" t="s">
        <v>710</v>
      </c>
      <c r="D604" s="1170"/>
      <c r="E604" s="1170"/>
      <c r="F604" s="1170"/>
      <c r="G604" s="1170"/>
      <c r="H604" s="1171"/>
      <c r="I604" s="1680">
        <v>50</v>
      </c>
      <c r="J604" s="1681"/>
      <c r="K604" s="226" t="s">
        <v>704</v>
      </c>
      <c r="L604" s="183">
        <v>27</v>
      </c>
      <c r="M604" s="67"/>
      <c r="N604" s="182" t="s">
        <v>30</v>
      </c>
      <c r="O604" s="183">
        <v>27</v>
      </c>
    </row>
    <row r="605" spans="1:16" s="66" customFormat="1" ht="30" customHeight="1" x14ac:dyDescent="0.2">
      <c r="A605" s="149"/>
      <c r="B605" s="1366"/>
      <c r="C605" s="1170" t="s">
        <v>711</v>
      </c>
      <c r="D605" s="1170"/>
      <c r="E605" s="1170"/>
      <c r="F605" s="1170"/>
      <c r="G605" s="1170"/>
      <c r="H605" s="1170"/>
      <c r="I605" s="1678">
        <v>50</v>
      </c>
      <c r="J605" s="1678"/>
      <c r="K605" s="226" t="s">
        <v>704</v>
      </c>
      <c r="L605" s="183">
        <v>27</v>
      </c>
      <c r="M605" s="67"/>
      <c r="O605" s="183">
        <v>27</v>
      </c>
    </row>
    <row r="606" spans="1:16" s="66" customFormat="1" ht="30" customHeight="1" x14ac:dyDescent="0.2">
      <c r="A606" s="149"/>
      <c r="B606" s="1366"/>
      <c r="C606" s="1283" t="s">
        <v>712</v>
      </c>
      <c r="D606" s="1283"/>
      <c r="E606" s="1283"/>
      <c r="F606" s="1283"/>
      <c r="G606" s="1283"/>
      <c r="H606" s="1283"/>
      <c r="I606" s="1678">
        <v>40</v>
      </c>
      <c r="J606" s="1678"/>
      <c r="K606" s="226" t="s">
        <v>704</v>
      </c>
      <c r="L606" s="183">
        <v>27</v>
      </c>
      <c r="M606" s="67"/>
      <c r="O606" s="183">
        <v>27</v>
      </c>
    </row>
    <row r="607" spans="1:16" s="66" customFormat="1" ht="39.950000000000003" customHeight="1" x14ac:dyDescent="0.2">
      <c r="A607" s="149"/>
      <c r="B607" s="1366"/>
      <c r="C607" s="1170" t="s">
        <v>713</v>
      </c>
      <c r="D607" s="1170"/>
      <c r="E607" s="1170"/>
      <c r="F607" s="1170"/>
      <c r="G607" s="1170"/>
      <c r="H607" s="1170"/>
      <c r="I607" s="1678">
        <v>30</v>
      </c>
      <c r="J607" s="1678"/>
      <c r="K607" s="226" t="s">
        <v>704</v>
      </c>
      <c r="L607" s="183">
        <v>27</v>
      </c>
      <c r="M607" s="67"/>
      <c r="O607" s="183">
        <v>27</v>
      </c>
    </row>
    <row r="608" spans="1:16" s="66" customFormat="1" ht="30" customHeight="1" x14ac:dyDescent="0.2">
      <c r="A608" s="149"/>
      <c r="B608" s="1366"/>
      <c r="C608" s="1252" t="s">
        <v>714</v>
      </c>
      <c r="D608" s="1252"/>
      <c r="E608" s="1252"/>
      <c r="F608" s="1252"/>
      <c r="G608" s="1252"/>
      <c r="H608" s="1252"/>
      <c r="I608" s="1678">
        <v>25</v>
      </c>
      <c r="J608" s="1678"/>
      <c r="K608" s="226" t="s">
        <v>704</v>
      </c>
      <c r="L608" s="183">
        <v>27</v>
      </c>
      <c r="M608" s="67"/>
      <c r="N608" s="67"/>
      <c r="O608" s="183">
        <v>27</v>
      </c>
    </row>
    <row r="609" spans="1:31" s="66" customFormat="1" ht="30" customHeight="1" x14ac:dyDescent="0.2">
      <c r="A609" s="149"/>
      <c r="B609" s="1366"/>
      <c r="C609" s="1252" t="s">
        <v>715</v>
      </c>
      <c r="D609" s="1679"/>
      <c r="E609" s="1679"/>
      <c r="F609" s="1679"/>
      <c r="G609" s="1679"/>
      <c r="H609" s="1679"/>
      <c r="I609" s="1678">
        <v>30</v>
      </c>
      <c r="J609" s="1678"/>
      <c r="K609" s="226" t="s">
        <v>704</v>
      </c>
      <c r="L609" s="183">
        <v>27</v>
      </c>
      <c r="M609" s="67"/>
      <c r="O609" s="183">
        <v>27</v>
      </c>
    </row>
    <row r="610" spans="1:31" s="66" customFormat="1" ht="30" customHeight="1" x14ac:dyDescent="0.2">
      <c r="A610" s="149"/>
      <c r="B610" s="1366"/>
      <c r="C610" s="1252" t="s">
        <v>716</v>
      </c>
      <c r="D610" s="1679"/>
      <c r="E610" s="1679"/>
      <c r="F610" s="1679"/>
      <c r="G610" s="1679"/>
      <c r="H610" s="1679"/>
      <c r="I610" s="1678">
        <v>18</v>
      </c>
      <c r="J610" s="1678"/>
      <c r="K610" s="226" t="s">
        <v>704</v>
      </c>
      <c r="L610" s="183">
        <v>27</v>
      </c>
      <c r="M610" s="67"/>
      <c r="O610" s="183">
        <v>27</v>
      </c>
    </row>
    <row r="611" spans="1:31" s="66" customFormat="1" ht="30" customHeight="1" x14ac:dyDescent="0.2">
      <c r="A611" s="149"/>
      <c r="B611" s="1366"/>
      <c r="C611" s="1252" t="s">
        <v>717</v>
      </c>
      <c r="D611" s="1679"/>
      <c r="E611" s="1679"/>
      <c r="F611" s="1679"/>
      <c r="G611" s="1679"/>
      <c r="H611" s="1679"/>
      <c r="I611" s="1678">
        <v>18</v>
      </c>
      <c r="J611" s="1678"/>
      <c r="K611" s="226" t="s">
        <v>704</v>
      </c>
      <c r="L611" s="183">
        <v>27</v>
      </c>
      <c r="M611" s="67"/>
      <c r="O611" s="183">
        <v>27</v>
      </c>
    </row>
    <row r="612" spans="1:31" s="66" customFormat="1" ht="30" customHeight="1" x14ac:dyDescent="0.2">
      <c r="A612" s="149"/>
      <c r="B612" s="1366"/>
      <c r="C612" s="1252" t="s">
        <v>718</v>
      </c>
      <c r="D612" s="1252"/>
      <c r="E612" s="1252"/>
      <c r="F612" s="1252"/>
      <c r="G612" s="1252"/>
      <c r="H612" s="1252"/>
      <c r="I612" s="1678">
        <v>25</v>
      </c>
      <c r="J612" s="1678"/>
      <c r="K612" s="226" t="s">
        <v>704</v>
      </c>
      <c r="L612" s="183">
        <v>27</v>
      </c>
      <c r="M612" s="67"/>
      <c r="O612" s="183">
        <v>27</v>
      </c>
    </row>
    <row r="613" spans="1:31" s="66" customFormat="1" ht="30" customHeight="1" x14ac:dyDescent="0.2">
      <c r="A613" s="149"/>
      <c r="B613" s="1366"/>
      <c r="C613" s="1252" t="s">
        <v>719</v>
      </c>
      <c r="D613" s="1252"/>
      <c r="E613" s="1252"/>
      <c r="F613" s="1252"/>
      <c r="G613" s="1252"/>
      <c r="H613" s="1252"/>
      <c r="I613" s="1678">
        <v>18</v>
      </c>
      <c r="J613" s="1678"/>
      <c r="K613" s="226" t="s">
        <v>704</v>
      </c>
      <c r="L613" s="183">
        <v>27</v>
      </c>
      <c r="M613" s="67"/>
      <c r="O613" s="183">
        <v>27</v>
      </c>
    </row>
    <row r="614" spans="1:31" s="66" customFormat="1" ht="30" customHeight="1" x14ac:dyDescent="0.2">
      <c r="A614" s="149"/>
      <c r="B614" s="1366"/>
      <c r="C614" s="1252" t="s">
        <v>720</v>
      </c>
      <c r="D614" s="1252"/>
      <c r="E614" s="1252"/>
      <c r="F614" s="1252"/>
      <c r="G614" s="1252"/>
      <c r="H614" s="1252"/>
      <c r="I614" s="1678">
        <v>10</v>
      </c>
      <c r="J614" s="1678"/>
      <c r="K614" s="226" t="s">
        <v>704</v>
      </c>
      <c r="L614" s="183">
        <v>27</v>
      </c>
      <c r="M614" s="67"/>
      <c r="O614" s="183">
        <v>27</v>
      </c>
    </row>
    <row r="615" spans="1:31" s="66" customFormat="1" ht="30" customHeight="1" x14ac:dyDescent="0.2">
      <c r="A615" s="149"/>
      <c r="B615" s="1366"/>
      <c r="C615" s="1252" t="s">
        <v>721</v>
      </c>
      <c r="D615" s="1252"/>
      <c r="E615" s="1252"/>
      <c r="F615" s="1252"/>
      <c r="G615" s="1252"/>
      <c r="H615" s="1252"/>
      <c r="I615" s="1678">
        <v>18</v>
      </c>
      <c r="J615" s="1678"/>
      <c r="K615" s="226" t="s">
        <v>704</v>
      </c>
      <c r="L615" s="183">
        <v>27</v>
      </c>
      <c r="M615" s="67"/>
      <c r="O615" s="183">
        <v>27</v>
      </c>
    </row>
    <row r="616" spans="1:31" s="66" customFormat="1" ht="51.75" customHeight="1" x14ac:dyDescent="0.2">
      <c r="A616" s="149"/>
      <c r="B616" s="1352" t="s">
        <v>722</v>
      </c>
      <c r="C616" s="1353"/>
      <c r="D616" s="1353"/>
      <c r="E616" s="1353"/>
      <c r="F616" s="1353"/>
      <c r="G616" s="1353"/>
      <c r="H616" s="1353"/>
      <c r="I616" s="1353"/>
      <c r="J616" s="1354"/>
      <c r="K616" s="226" t="s">
        <v>704</v>
      </c>
      <c r="L616" s="183">
        <v>27</v>
      </c>
      <c r="M616" s="67"/>
      <c r="N616" s="182" t="s">
        <v>30</v>
      </c>
      <c r="O616" s="183">
        <v>27</v>
      </c>
    </row>
    <row r="617" spans="1:31" s="66" customFormat="1" ht="20.100000000000001" customHeight="1" x14ac:dyDescent="0.2">
      <c r="A617" s="149"/>
      <c r="B617" s="591"/>
      <c r="C617" s="648"/>
      <c r="D617" s="648"/>
      <c r="E617" s="648"/>
      <c r="F617" s="648"/>
      <c r="G617" s="648"/>
      <c r="H617" s="648"/>
      <c r="I617" s="593"/>
      <c r="J617" s="65"/>
      <c r="M617" s="67"/>
    </row>
    <row r="618" spans="1:31" s="66" customFormat="1" ht="30" customHeight="1" x14ac:dyDescent="0.2">
      <c r="A618" s="45"/>
      <c r="B618" s="1355" t="s">
        <v>723</v>
      </c>
      <c r="C618" s="1356"/>
      <c r="D618" s="1356"/>
      <c r="E618" s="1356"/>
      <c r="F618" s="1356"/>
      <c r="G618" s="1356"/>
      <c r="H618" s="1357"/>
      <c r="I618" s="406" t="s">
        <v>17</v>
      </c>
      <c r="J618" s="35" t="s">
        <v>18</v>
      </c>
      <c r="K618" s="226" t="s">
        <v>724</v>
      </c>
      <c r="L618" s="183">
        <v>28</v>
      </c>
      <c r="M618" s="67"/>
      <c r="N618" s="182" t="s">
        <v>30</v>
      </c>
      <c r="O618" s="183">
        <v>28</v>
      </c>
      <c r="Q618" s="45"/>
      <c r="R618" s="45"/>
      <c r="S618" s="45"/>
      <c r="T618" s="45"/>
      <c r="U618" s="45"/>
      <c r="V618" s="45"/>
      <c r="W618" s="45"/>
      <c r="X618" s="45"/>
      <c r="Y618" s="45"/>
      <c r="Z618" s="45"/>
      <c r="AA618" s="45"/>
      <c r="AB618" s="45"/>
      <c r="AC618" s="45"/>
      <c r="AD618" s="45"/>
      <c r="AE618" s="45"/>
    </row>
    <row r="619" spans="1:31" s="66" customFormat="1" ht="30" customHeight="1" x14ac:dyDescent="0.2">
      <c r="A619" s="45"/>
      <c r="B619" s="1358" t="s">
        <v>725</v>
      </c>
      <c r="C619" s="1359"/>
      <c r="D619" s="1359"/>
      <c r="E619" s="1359"/>
      <c r="F619" s="1359"/>
      <c r="G619" s="1359"/>
      <c r="H619" s="1359"/>
      <c r="I619" s="1359"/>
      <c r="J619" s="1360"/>
      <c r="K619" s="226" t="s">
        <v>724</v>
      </c>
      <c r="L619" s="183">
        <v>28</v>
      </c>
      <c r="M619" s="67"/>
      <c r="O619" s="183">
        <v>28</v>
      </c>
      <c r="Q619" s="45"/>
      <c r="R619" s="45"/>
      <c r="S619" s="45"/>
      <c r="T619" s="45"/>
      <c r="U619" s="45"/>
      <c r="V619" s="45"/>
      <c r="W619" s="45"/>
      <c r="X619" s="45"/>
      <c r="Y619" s="45"/>
      <c r="Z619" s="45"/>
      <c r="AA619" s="45"/>
      <c r="AB619" s="45"/>
      <c r="AC619" s="45"/>
      <c r="AD619" s="45"/>
      <c r="AE619" s="45"/>
    </row>
    <row r="620" spans="1:31" s="66" customFormat="1" ht="150" customHeight="1" x14ac:dyDescent="0.2">
      <c r="A620" s="45"/>
      <c r="B620" s="408"/>
      <c r="C620" s="1361" t="s">
        <v>889</v>
      </c>
      <c r="D620" s="1362"/>
      <c r="E620" s="1362"/>
      <c r="F620" s="1362"/>
      <c r="G620" s="1362"/>
      <c r="H620" s="1363"/>
      <c r="I620" s="409">
        <v>35</v>
      </c>
      <c r="J620" s="42">
        <v>1</v>
      </c>
      <c r="K620" s="226" t="s">
        <v>724</v>
      </c>
      <c r="L620" s="183">
        <v>28</v>
      </c>
      <c r="M620" s="67"/>
      <c r="O620" s="183">
        <v>28</v>
      </c>
      <c r="Q620" s="45"/>
      <c r="R620" s="45"/>
      <c r="S620" s="45"/>
      <c r="T620" s="45"/>
      <c r="U620" s="45"/>
      <c r="V620" s="45"/>
      <c r="W620" s="45"/>
      <c r="X620" s="45"/>
      <c r="Y620" s="45"/>
      <c r="Z620" s="45"/>
      <c r="AA620" s="45"/>
      <c r="AB620" s="45"/>
      <c r="AC620" s="45"/>
      <c r="AD620" s="45"/>
      <c r="AE620" s="45"/>
    </row>
    <row r="621" spans="1:31" s="66" customFormat="1" ht="30" customHeight="1" x14ac:dyDescent="0.2">
      <c r="A621" s="45"/>
      <c r="B621" s="1358" t="s">
        <v>727</v>
      </c>
      <c r="C621" s="1359"/>
      <c r="D621" s="1359"/>
      <c r="E621" s="1359"/>
      <c r="F621" s="1359"/>
      <c r="G621" s="1359"/>
      <c r="H621" s="1359"/>
      <c r="I621" s="1359"/>
      <c r="J621" s="1360"/>
      <c r="K621" s="226" t="s">
        <v>724</v>
      </c>
      <c r="L621" s="183">
        <v>28</v>
      </c>
      <c r="M621" s="67"/>
      <c r="N621" s="182" t="s">
        <v>30</v>
      </c>
      <c r="O621" s="183">
        <v>28</v>
      </c>
      <c r="Q621" s="45"/>
      <c r="R621" s="45"/>
      <c r="S621" s="45"/>
      <c r="T621" s="45"/>
      <c r="U621" s="45"/>
      <c r="V621" s="45"/>
      <c r="W621" s="45"/>
      <c r="X621" s="45"/>
      <c r="Y621" s="45"/>
      <c r="Z621" s="45"/>
      <c r="AA621" s="45"/>
      <c r="AB621" s="45"/>
      <c r="AC621" s="45"/>
      <c r="AD621" s="45"/>
      <c r="AE621" s="45"/>
    </row>
    <row r="622" spans="1:31" s="66" customFormat="1" ht="80.099999999999994" customHeight="1" x14ac:dyDescent="0.2">
      <c r="A622" s="45"/>
      <c r="B622" s="408"/>
      <c r="C622" s="1361" t="s">
        <v>728</v>
      </c>
      <c r="D622" s="1362"/>
      <c r="E622" s="1362"/>
      <c r="F622" s="1362"/>
      <c r="G622" s="1362"/>
      <c r="H622" s="1363"/>
      <c r="I622" s="409">
        <v>20</v>
      </c>
      <c r="J622" s="42">
        <v>1</v>
      </c>
      <c r="K622" s="226" t="s">
        <v>724</v>
      </c>
      <c r="L622" s="183">
        <v>28</v>
      </c>
      <c r="M622" s="67"/>
      <c r="O622" s="183">
        <v>28</v>
      </c>
      <c r="Q622" s="45"/>
      <c r="R622" s="45"/>
      <c r="S622" s="45"/>
      <c r="T622" s="45"/>
      <c r="U622" s="45"/>
      <c r="V622" s="45"/>
      <c r="W622" s="45"/>
      <c r="X622" s="45"/>
      <c r="Y622" s="45"/>
      <c r="Z622" s="45"/>
      <c r="AA622" s="45"/>
      <c r="AB622" s="45"/>
      <c r="AC622" s="45"/>
      <c r="AD622" s="45"/>
      <c r="AE622" s="45"/>
    </row>
    <row r="623" spans="1:31" s="66" customFormat="1" ht="30" customHeight="1" x14ac:dyDescent="0.2">
      <c r="A623" s="45"/>
      <c r="B623" s="1345" t="s">
        <v>890</v>
      </c>
      <c r="C623" s="1346"/>
      <c r="D623" s="1346"/>
      <c r="E623" s="1346"/>
      <c r="F623" s="1346"/>
      <c r="G623" s="1346"/>
      <c r="H623" s="1346"/>
      <c r="I623" s="1346"/>
      <c r="J623" s="1347"/>
      <c r="K623" s="226" t="s">
        <v>724</v>
      </c>
      <c r="L623" s="183">
        <v>28</v>
      </c>
      <c r="M623" s="67"/>
      <c r="O623" s="183">
        <v>28</v>
      </c>
      <c r="Q623" s="45"/>
      <c r="R623" s="45"/>
      <c r="S623" s="45"/>
      <c r="T623" s="45"/>
      <c r="U623" s="45"/>
      <c r="V623" s="45"/>
      <c r="W623" s="45"/>
      <c r="X623" s="45"/>
      <c r="Y623" s="45"/>
      <c r="Z623" s="45"/>
      <c r="AA623" s="45"/>
      <c r="AB623" s="45"/>
      <c r="AC623" s="45"/>
      <c r="AD623" s="45"/>
      <c r="AE623" s="45"/>
    </row>
    <row r="624" spans="1:31" s="66" customFormat="1" ht="20.100000000000001" customHeight="1" x14ac:dyDescent="0.2">
      <c r="A624" s="149"/>
      <c r="B624" s="648"/>
      <c r="C624" s="648"/>
      <c r="D624" s="648"/>
      <c r="E624" s="648"/>
      <c r="F624" s="648"/>
      <c r="G624" s="648"/>
      <c r="H624" s="648"/>
      <c r="I624" s="593"/>
      <c r="J624" s="65"/>
      <c r="M624" s="67"/>
    </row>
    <row r="625" spans="1:16" s="66" customFormat="1" ht="30" customHeight="1" x14ac:dyDescent="0.2">
      <c r="A625" s="149"/>
      <c r="B625" s="1355" t="s">
        <v>730</v>
      </c>
      <c r="C625" s="1673"/>
      <c r="D625" s="1673"/>
      <c r="E625" s="1673"/>
      <c r="F625" s="1673"/>
      <c r="G625" s="1673"/>
      <c r="H625" s="1674"/>
      <c r="I625" s="406" t="s">
        <v>17</v>
      </c>
      <c r="J625" s="35" t="s">
        <v>18</v>
      </c>
      <c r="K625" s="614" t="s">
        <v>731</v>
      </c>
      <c r="L625" s="734">
        <v>29</v>
      </c>
      <c r="M625" s="67"/>
      <c r="N625" s="182" t="s">
        <v>30</v>
      </c>
      <c r="O625" s="734">
        <v>29</v>
      </c>
    </row>
    <row r="626" spans="1:16" s="66" customFormat="1" ht="30" customHeight="1" x14ac:dyDescent="0.2">
      <c r="A626" s="149"/>
      <c r="B626" s="735" t="s">
        <v>732</v>
      </c>
      <c r="C626" s="691"/>
      <c r="D626" s="691"/>
      <c r="E626" s="691"/>
      <c r="F626" s="691"/>
      <c r="G626" s="691"/>
      <c r="H626" s="691"/>
      <c r="I626" s="736"/>
      <c r="J626" s="523"/>
      <c r="K626" s="614" t="s">
        <v>731</v>
      </c>
      <c r="L626" s="734">
        <v>29</v>
      </c>
      <c r="M626" s="67"/>
      <c r="O626" s="734">
        <v>29</v>
      </c>
    </row>
    <row r="627" spans="1:16" s="66" customFormat="1" ht="279.95" customHeight="1" x14ac:dyDescent="0.2">
      <c r="A627" s="149"/>
      <c r="B627" s="538" t="s">
        <v>328</v>
      </c>
      <c r="C627" s="1635" t="s">
        <v>891</v>
      </c>
      <c r="D627" s="1636"/>
      <c r="E627" s="1636"/>
      <c r="F627" s="1636"/>
      <c r="G627" s="1636"/>
      <c r="H627" s="1637"/>
      <c r="I627" s="409">
        <v>0</v>
      </c>
      <c r="J627" s="42">
        <v>1</v>
      </c>
      <c r="K627" s="614" t="s">
        <v>731</v>
      </c>
      <c r="L627" s="734">
        <v>29</v>
      </c>
      <c r="M627" s="67"/>
      <c r="O627" s="734">
        <v>29</v>
      </c>
    </row>
    <row r="628" spans="1:16" ht="20.100000000000001" customHeight="1" x14ac:dyDescent="0.2">
      <c r="A628" s="149"/>
      <c r="B628" s="721"/>
      <c r="C628" s="648"/>
      <c r="D628" s="648"/>
      <c r="E628" s="648"/>
      <c r="F628" s="648"/>
      <c r="G628" s="648"/>
      <c r="H628" s="648"/>
      <c r="I628" s="618"/>
      <c r="J628" s="128"/>
      <c r="K628" s="69"/>
      <c r="L628" s="722"/>
      <c r="M628" s="149"/>
      <c r="N628" s="45"/>
      <c r="O628" s="737"/>
      <c r="P628" s="45"/>
    </row>
    <row r="629" spans="1:16" s="66" customFormat="1" ht="30" customHeight="1" x14ac:dyDescent="0.2">
      <c r="A629" s="149"/>
      <c r="B629" s="1675" t="s">
        <v>740</v>
      </c>
      <c r="C629" s="1676"/>
      <c r="D629" s="1676"/>
      <c r="E629" s="1676"/>
      <c r="F629" s="1676"/>
      <c r="G629" s="1676"/>
      <c r="H629" s="1677"/>
      <c r="I629" s="406" t="s">
        <v>17</v>
      </c>
      <c r="J629" s="193" t="s">
        <v>18</v>
      </c>
      <c r="K629" s="669" t="s">
        <v>741</v>
      </c>
      <c r="L629" s="238">
        <v>32</v>
      </c>
      <c r="M629" s="67"/>
      <c r="N629" s="182" t="s">
        <v>30</v>
      </c>
      <c r="O629" s="238">
        <v>32</v>
      </c>
    </row>
    <row r="630" spans="1:16" s="66" customFormat="1" ht="54.95" customHeight="1" x14ac:dyDescent="0.2">
      <c r="A630" s="149"/>
      <c r="B630" s="1166" t="s">
        <v>742</v>
      </c>
      <c r="C630" s="1167"/>
      <c r="D630" s="1167"/>
      <c r="E630" s="1167"/>
      <c r="F630" s="1167"/>
      <c r="G630" s="1167"/>
      <c r="H630" s="1168"/>
      <c r="I630" s="164">
        <v>0</v>
      </c>
      <c r="J630" s="199">
        <v>1</v>
      </c>
      <c r="K630" s="669" t="s">
        <v>741</v>
      </c>
      <c r="L630" s="238">
        <v>32</v>
      </c>
      <c r="M630" s="67"/>
      <c r="O630" s="238">
        <v>32</v>
      </c>
    </row>
    <row r="631" spans="1:16" ht="20.100000000000001" customHeight="1" x14ac:dyDescent="0.2">
      <c r="A631" s="149"/>
      <c r="B631" s="642"/>
      <c r="C631" s="642"/>
      <c r="D631" s="642"/>
      <c r="E631" s="642"/>
      <c r="F631" s="642"/>
      <c r="G631" s="642"/>
      <c r="H631" s="642"/>
      <c r="I631" s="666"/>
      <c r="J631" s="180"/>
      <c r="K631" s="69"/>
      <c r="L631" s="722"/>
      <c r="M631" s="149"/>
      <c r="N631" s="45"/>
      <c r="O631" s="723"/>
      <c r="P631" s="45"/>
    </row>
    <row r="632" spans="1:16" ht="30" customHeight="1" x14ac:dyDescent="0.2">
      <c r="A632" s="45"/>
      <c r="B632" s="1623" t="s">
        <v>517</v>
      </c>
      <c r="C632" s="1624"/>
      <c r="D632" s="1624"/>
      <c r="E632" s="1624"/>
      <c r="F632" s="1624"/>
      <c r="G632" s="1624"/>
      <c r="H632" s="1624"/>
      <c r="I632" s="1624"/>
      <c r="J632" s="1625"/>
      <c r="N632" s="182" t="s">
        <v>30</v>
      </c>
    </row>
    <row r="633" spans="1:16" ht="30" customHeight="1" x14ac:dyDescent="0.2">
      <c r="A633" s="45"/>
      <c r="B633" s="738" t="s">
        <v>518</v>
      </c>
      <c r="C633" s="739"/>
      <c r="D633" s="739"/>
      <c r="E633" s="739"/>
      <c r="F633" s="739"/>
      <c r="G633" s="739"/>
      <c r="H633" s="739"/>
      <c r="I633" s="740"/>
      <c r="J633" s="276"/>
    </row>
    <row r="634" spans="1:16" ht="69.95" customHeight="1" x14ac:dyDescent="0.2">
      <c r="A634" s="45"/>
      <c r="B634" s="1659" t="s">
        <v>519</v>
      </c>
      <c r="C634" s="1660"/>
      <c r="D634" s="1660"/>
      <c r="E634" s="1660"/>
      <c r="F634" s="1660"/>
      <c r="G634" s="1660"/>
      <c r="H634" s="1660"/>
      <c r="I634" s="1660"/>
      <c r="J634" s="1661"/>
    </row>
    <row r="635" spans="1:16" ht="20.100000000000001" customHeight="1" x14ac:dyDescent="0.2">
      <c r="A635" s="45"/>
      <c r="B635" s="648"/>
      <c r="C635" s="621"/>
      <c r="D635" s="621"/>
      <c r="E635" s="621"/>
      <c r="F635" s="621"/>
      <c r="G635" s="621"/>
      <c r="H635" s="621"/>
      <c r="I635" s="593"/>
      <c r="J635" s="65"/>
      <c r="N635" s="149"/>
    </row>
    <row r="636" spans="1:16" ht="30" customHeight="1" x14ac:dyDescent="0.2">
      <c r="A636" s="45"/>
      <c r="B636" s="1623" t="s">
        <v>522</v>
      </c>
      <c r="C636" s="1624"/>
      <c r="D636" s="1624"/>
      <c r="E636" s="1624"/>
      <c r="F636" s="1624"/>
      <c r="G636" s="1624"/>
      <c r="H636" s="1624"/>
      <c r="I636" s="1624"/>
      <c r="J636" s="1625"/>
      <c r="N636" s="182" t="s">
        <v>30</v>
      </c>
    </row>
    <row r="637" spans="1:16" ht="20.100000000000001" customHeight="1" x14ac:dyDescent="0.2">
      <c r="A637" s="45"/>
    </row>
    <row r="638" spans="1:16" ht="30" customHeight="1" x14ac:dyDescent="0.2">
      <c r="A638" s="45"/>
      <c r="B638" s="1662" t="str">
        <f>$B$3</f>
        <v xml:space="preserve"> HIJOS DE CESANTES DE 18 A 28 AÑOS (INCLUSIVE)</v>
      </c>
      <c r="C638" s="1663"/>
      <c r="D638" s="1663"/>
      <c r="E638" s="1663"/>
      <c r="F638" s="1663"/>
      <c r="G638" s="1663"/>
      <c r="H638" s="1663"/>
      <c r="I638" s="1663"/>
      <c r="J638" s="1664"/>
      <c r="N638" s="182" t="s">
        <v>30</v>
      </c>
    </row>
    <row r="639" spans="1:16" ht="20.100000000000001" customHeight="1" x14ac:dyDescent="0.2">
      <c r="A639" s="45"/>
      <c r="B639" s="741"/>
    </row>
    <row r="640" spans="1:16" s="66" customFormat="1" ht="24.95" customHeight="1" x14ac:dyDescent="0.2">
      <c r="A640" s="45"/>
      <c r="B640" s="1665" t="s">
        <v>523</v>
      </c>
      <c r="C640" s="1666"/>
      <c r="D640" s="1666"/>
      <c r="E640" s="1665" t="s">
        <v>524</v>
      </c>
      <c r="F640" s="1667"/>
      <c r="G640" s="148"/>
      <c r="H640" s="148"/>
      <c r="I640" s="555"/>
      <c r="J640" s="234"/>
    </row>
    <row r="641" spans="1:31" s="66" customFormat="1" ht="24.95" customHeight="1" x14ac:dyDescent="0.2">
      <c r="A641" s="45"/>
      <c r="B641" s="1670" t="s">
        <v>525</v>
      </c>
      <c r="C641" s="1671"/>
      <c r="D641" s="1671"/>
      <c r="E641" s="1668"/>
      <c r="F641" s="1669"/>
      <c r="G641" s="1672"/>
      <c r="H641" s="1672"/>
      <c r="I641" s="1672"/>
      <c r="J641" s="1672"/>
    </row>
    <row r="642" spans="1:31" s="66" customFormat="1" ht="24.95" customHeight="1" x14ac:dyDescent="0.2">
      <c r="A642" s="45"/>
      <c r="B642" s="1653" t="s">
        <v>840</v>
      </c>
      <c r="C642" s="1654"/>
      <c r="D642" s="1654"/>
      <c r="E642" s="1655">
        <f>'[2]Datos CESANTES'!$M$12</f>
        <v>226.60644978626769</v>
      </c>
      <c r="F642" s="1656"/>
      <c r="G642" s="742"/>
      <c r="H642" s="743"/>
      <c r="I642" s="1657"/>
      <c r="J642" s="1657"/>
    </row>
    <row r="643" spans="1:31" s="66" customFormat="1" ht="19.5" customHeight="1" x14ac:dyDescent="0.2">
      <c r="A643" s="45"/>
      <c r="B643" s="621"/>
      <c r="C643" s="621"/>
      <c r="D643" s="621"/>
      <c r="E643" s="745"/>
      <c r="F643" s="745"/>
      <c r="G643" s="746"/>
      <c r="H643" s="746"/>
      <c r="I643" s="747"/>
      <c r="J643" s="281"/>
      <c r="K643" s="148"/>
      <c r="L643" s="547"/>
      <c r="M643" s="68"/>
      <c r="N643" s="67"/>
      <c r="O643" s="547"/>
      <c r="Q643" s="45"/>
      <c r="R643" s="45"/>
      <c r="S643" s="45"/>
      <c r="T643" s="45"/>
      <c r="U643" s="45"/>
      <c r="V643" s="45"/>
      <c r="W643" s="45"/>
      <c r="X643" s="45"/>
      <c r="Y643" s="45"/>
      <c r="Z643" s="45"/>
      <c r="AA643" s="45"/>
      <c r="AB643" s="45"/>
      <c r="AC643" s="45"/>
      <c r="AD643" s="45"/>
      <c r="AE643" s="45"/>
    </row>
    <row r="644" spans="1:31" s="66" customFormat="1" ht="30" customHeight="1" x14ac:dyDescent="0.2">
      <c r="A644" s="45"/>
      <c r="B644" s="1623" t="s">
        <v>527</v>
      </c>
      <c r="C644" s="1624"/>
      <c r="D644" s="1624"/>
      <c r="E644" s="1624"/>
      <c r="F644" s="1624"/>
      <c r="G644" s="1624"/>
      <c r="H644" s="1624"/>
      <c r="I644" s="1624"/>
      <c r="J644" s="1625"/>
      <c r="K644" s="148"/>
      <c r="L644" s="547"/>
      <c r="M644" s="68"/>
      <c r="N644" s="182" t="s">
        <v>30</v>
      </c>
      <c r="O644" s="547"/>
      <c r="Q644" s="45"/>
      <c r="R644" s="45"/>
      <c r="S644" s="45"/>
      <c r="T644" s="45"/>
      <c r="U644" s="45"/>
      <c r="V644" s="45"/>
      <c r="W644" s="45"/>
      <c r="X644" s="45"/>
      <c r="Y644" s="45"/>
      <c r="Z644" s="45"/>
      <c r="AA644" s="45"/>
      <c r="AB644" s="45"/>
      <c r="AC644" s="45"/>
      <c r="AD644" s="45"/>
      <c r="AE644" s="45"/>
    </row>
    <row r="645" spans="1:31" s="66" customFormat="1" ht="20.100000000000001" customHeight="1" x14ac:dyDescent="0.2">
      <c r="A645" s="45"/>
      <c r="B645" s="148"/>
      <c r="C645" s="148"/>
      <c r="D645" s="148"/>
      <c r="E645" s="148"/>
      <c r="F645" s="148"/>
      <c r="G645" s="148"/>
      <c r="H645" s="148"/>
      <c r="I645" s="555"/>
      <c r="J645" s="234"/>
      <c r="K645" s="148"/>
      <c r="L645" s="547"/>
      <c r="M645" s="68"/>
      <c r="N645" s="67"/>
      <c r="O645" s="547"/>
      <c r="Q645" s="45"/>
      <c r="R645" s="45"/>
      <c r="S645" s="45"/>
      <c r="T645" s="45"/>
      <c r="U645" s="45"/>
      <c r="V645" s="45"/>
      <c r="W645" s="45"/>
      <c r="X645" s="45"/>
      <c r="Y645" s="45"/>
      <c r="Z645" s="45"/>
      <c r="AA645" s="45"/>
      <c r="AB645" s="45"/>
      <c r="AC645" s="45"/>
      <c r="AD645" s="45"/>
      <c r="AE645" s="45"/>
    </row>
    <row r="646" spans="1:31" s="66" customFormat="1" ht="30" customHeight="1" x14ac:dyDescent="0.2">
      <c r="A646" s="45"/>
      <c r="B646" s="1623" t="s">
        <v>528</v>
      </c>
      <c r="C646" s="1624"/>
      <c r="D646" s="1624"/>
      <c r="E646" s="1624"/>
      <c r="F646" s="1624"/>
      <c r="G646" s="1624"/>
      <c r="H646" s="1624"/>
      <c r="I646" s="1624"/>
      <c r="J646" s="1625"/>
      <c r="K646" s="148"/>
      <c r="L646" s="547"/>
      <c r="M646" s="68"/>
      <c r="N646" s="67"/>
      <c r="O646" s="547"/>
      <c r="Q646" s="45"/>
      <c r="R646" s="45"/>
      <c r="S646" s="45"/>
      <c r="T646" s="45"/>
      <c r="U646" s="45"/>
      <c r="V646" s="45"/>
      <c r="W646" s="45"/>
      <c r="X646" s="45"/>
      <c r="Y646" s="45"/>
      <c r="Z646" s="45"/>
      <c r="AA646" s="45"/>
      <c r="AB646" s="45"/>
      <c r="AC646" s="45"/>
      <c r="AD646" s="45"/>
      <c r="AE646" s="45"/>
    </row>
    <row r="647" spans="1:31" s="66" customFormat="1" ht="20.100000000000001" customHeight="1" x14ac:dyDescent="0.2">
      <c r="A647" s="45"/>
      <c r="B647" s="1658"/>
      <c r="C647" s="1658"/>
      <c r="D647" s="1658"/>
      <c r="E647" s="1658"/>
      <c r="F647" s="1658"/>
      <c r="G647" s="1658"/>
      <c r="H647" s="1658"/>
      <c r="I647" s="1658"/>
      <c r="J647" s="1658"/>
      <c r="K647" s="148"/>
      <c r="L647" s="547"/>
      <c r="M647" s="68"/>
      <c r="N647" s="67"/>
      <c r="O647" s="547"/>
      <c r="Q647" s="45"/>
      <c r="R647" s="45"/>
      <c r="S647" s="45"/>
      <c r="T647" s="45"/>
      <c r="U647" s="45"/>
      <c r="V647" s="45"/>
      <c r="W647" s="45"/>
      <c r="X647" s="45"/>
      <c r="Y647" s="45"/>
      <c r="Z647" s="45"/>
      <c r="AA647" s="45"/>
      <c r="AB647" s="45"/>
      <c r="AC647" s="45"/>
      <c r="AD647" s="45"/>
      <c r="AE647" s="45"/>
    </row>
    <row r="648" spans="1:31" s="66" customFormat="1" ht="24.95" customHeight="1" x14ac:dyDescent="0.2">
      <c r="A648" s="45"/>
      <c r="B648" s="1651" t="s">
        <v>529</v>
      </c>
      <c r="C648" s="1651"/>
      <c r="D648" s="1651"/>
      <c r="E648" s="1651" t="s">
        <v>530</v>
      </c>
      <c r="F648" s="1651"/>
      <c r="G648" s="748" t="s">
        <v>531</v>
      </c>
      <c r="H648" s="1651" t="s">
        <v>532</v>
      </c>
      <c r="I648" s="1651"/>
      <c r="J648" s="1651"/>
      <c r="K648" s="148"/>
      <c r="L648" s="547"/>
      <c r="M648" s="68"/>
      <c r="N648" s="67"/>
      <c r="O648" s="547"/>
      <c r="Q648" s="45"/>
      <c r="R648" s="45"/>
      <c r="S648" s="45"/>
      <c r="T648" s="45"/>
      <c r="U648" s="45"/>
      <c r="V648" s="45"/>
      <c r="W648" s="45"/>
      <c r="X648" s="45"/>
      <c r="Y648" s="45"/>
      <c r="Z648" s="45"/>
      <c r="AA648" s="45"/>
      <c r="AB648" s="45"/>
      <c r="AC648" s="45"/>
      <c r="AD648" s="45"/>
      <c r="AE648" s="45"/>
    </row>
    <row r="649" spans="1:31" s="66" customFormat="1" ht="24.95" customHeight="1" x14ac:dyDescent="0.2">
      <c r="A649" s="45"/>
      <c r="B649" s="749" t="s">
        <v>533</v>
      </c>
      <c r="C649" s="750">
        <f>'[2]Datos CESANTES'!$J$15</f>
        <v>0.8</v>
      </c>
      <c r="D649" s="751"/>
      <c r="E649" s="1652" t="s">
        <v>534</v>
      </c>
      <c r="F649" s="1652"/>
      <c r="G649" s="752" t="s">
        <v>534</v>
      </c>
      <c r="H649" s="1645" t="s">
        <v>534</v>
      </c>
      <c r="I649" s="1645"/>
      <c r="J649" s="1645"/>
      <c r="K649" s="148"/>
      <c r="L649" s="547"/>
      <c r="M649" s="68"/>
      <c r="N649" s="67"/>
      <c r="Q649" s="45"/>
      <c r="R649" s="45"/>
      <c r="S649" s="45"/>
      <c r="T649" s="45"/>
      <c r="U649" s="45"/>
      <c r="V649" s="45"/>
      <c r="W649" s="45"/>
      <c r="X649" s="45"/>
      <c r="Y649" s="45"/>
      <c r="Z649" s="45"/>
      <c r="AA649" s="45"/>
      <c r="AB649" s="45"/>
      <c r="AC649" s="45"/>
      <c r="AD649" s="45"/>
      <c r="AE649" s="45"/>
    </row>
    <row r="650" spans="1:31" s="66" customFormat="1" ht="24.95" customHeight="1" x14ac:dyDescent="0.2">
      <c r="A650" s="45"/>
      <c r="B650" s="753">
        <f>$C$649</f>
        <v>0.8</v>
      </c>
      <c r="C650" s="754" t="s">
        <v>535</v>
      </c>
      <c r="D650" s="751"/>
      <c r="E650" s="1645" t="s">
        <v>536</v>
      </c>
      <c r="F650" s="1645"/>
      <c r="G650" s="752" t="s">
        <v>534</v>
      </c>
      <c r="H650" s="755" t="s">
        <v>537</v>
      </c>
      <c r="I650" s="756">
        <f>$C$649</f>
        <v>0.8</v>
      </c>
      <c r="J650" s="294"/>
      <c r="K650" s="148"/>
      <c r="L650" s="547"/>
      <c r="M650" s="68"/>
      <c r="N650" s="67"/>
      <c r="Q650" s="45"/>
      <c r="R650" s="45"/>
      <c r="S650" s="45"/>
      <c r="T650" s="45"/>
      <c r="U650" s="45"/>
      <c r="V650" s="45"/>
      <c r="W650" s="45"/>
      <c r="X650" s="45"/>
      <c r="Y650" s="45"/>
      <c r="Z650" s="45"/>
      <c r="AA650" s="45"/>
      <c r="AB650" s="45"/>
      <c r="AC650" s="45"/>
      <c r="AD650" s="45"/>
      <c r="AE650" s="45"/>
    </row>
    <row r="651" spans="1:31" s="66" customFormat="1" ht="24.95" customHeight="1" x14ac:dyDescent="0.2">
      <c r="A651" s="45"/>
      <c r="B651" s="1644" t="s">
        <v>538</v>
      </c>
      <c r="C651" s="1644"/>
      <c r="D651" s="1644"/>
      <c r="E651" s="1645" t="s">
        <v>536</v>
      </c>
      <c r="F651" s="1645"/>
      <c r="G651" s="752" t="s">
        <v>539</v>
      </c>
      <c r="H651" s="755" t="s">
        <v>540</v>
      </c>
      <c r="I651" s="756">
        <f>$C$649</f>
        <v>0.8</v>
      </c>
      <c r="J651" s="295" t="s">
        <v>541</v>
      </c>
      <c r="K651" s="148"/>
      <c r="L651" s="547"/>
      <c r="M651" s="68"/>
      <c r="N651" s="67"/>
      <c r="Q651" s="45"/>
      <c r="R651" s="45"/>
      <c r="S651" s="45"/>
      <c r="T651" s="45"/>
      <c r="U651" s="45"/>
      <c r="V651" s="45"/>
      <c r="W651" s="45"/>
      <c r="X651" s="45"/>
      <c r="Y651" s="45"/>
      <c r="Z651" s="45"/>
      <c r="AA651" s="45"/>
      <c r="AB651" s="45"/>
      <c r="AC651" s="45"/>
      <c r="AD651" s="45"/>
      <c r="AE651" s="45"/>
    </row>
    <row r="652" spans="1:31" s="66" customFormat="1" ht="24.95" customHeight="1" x14ac:dyDescent="0.2">
      <c r="A652" s="45"/>
      <c r="B652" s="1644" t="s">
        <v>542</v>
      </c>
      <c r="C652" s="1644"/>
      <c r="D652" s="1644"/>
      <c r="E652" s="1645" t="s">
        <v>536</v>
      </c>
      <c r="F652" s="1645"/>
      <c r="G652" s="752" t="s">
        <v>543</v>
      </c>
      <c r="H652" s="755" t="s">
        <v>540</v>
      </c>
      <c r="I652" s="756">
        <f>$C$649</f>
        <v>0.8</v>
      </c>
      <c r="J652" s="295" t="s">
        <v>544</v>
      </c>
      <c r="K652" s="148"/>
      <c r="L652" s="547"/>
      <c r="M652" s="68"/>
      <c r="N652" s="67"/>
      <c r="Q652" s="45"/>
      <c r="R652" s="45"/>
      <c r="S652" s="45"/>
      <c r="T652" s="45"/>
      <c r="U652" s="45"/>
      <c r="V652" s="45"/>
      <c r="W652" s="45"/>
      <c r="X652" s="45"/>
      <c r="Y652" s="45"/>
      <c r="Z652" s="45"/>
      <c r="AA652" s="45"/>
      <c r="AB652" s="45"/>
      <c r="AC652" s="45"/>
      <c r="AD652" s="45"/>
      <c r="AE652" s="45"/>
    </row>
    <row r="653" spans="1:31" s="66" customFormat="1" ht="20.100000000000001" customHeight="1" x14ac:dyDescent="0.2">
      <c r="A653" s="45"/>
      <c r="B653" s="757"/>
      <c r="C653" s="757"/>
      <c r="D653" s="757"/>
      <c r="E653" s="758"/>
      <c r="F653" s="758"/>
      <c r="G653" s="758"/>
      <c r="H653" s="758"/>
      <c r="I653" s="759"/>
      <c r="J653" s="114"/>
      <c r="K653" s="148"/>
      <c r="L653" s="547"/>
      <c r="M653" s="68"/>
      <c r="N653" s="182" t="s">
        <v>30</v>
      </c>
      <c r="Q653" s="45"/>
      <c r="R653" s="45"/>
      <c r="S653" s="45"/>
      <c r="T653" s="45"/>
      <c r="U653" s="45"/>
      <c r="V653" s="45"/>
      <c r="W653" s="45"/>
      <c r="X653" s="45"/>
      <c r="Y653" s="45"/>
      <c r="Z653" s="45"/>
      <c r="AA653" s="45"/>
      <c r="AB653" s="45"/>
      <c r="AC653" s="45"/>
      <c r="AD653" s="45"/>
      <c r="AE653" s="45"/>
    </row>
    <row r="654" spans="1:31" s="66" customFormat="1" ht="135" customHeight="1" x14ac:dyDescent="0.2">
      <c r="A654" s="45"/>
      <c r="B654" s="1646" t="s">
        <v>545</v>
      </c>
      <c r="C654" s="1647"/>
      <c r="D654" s="1647"/>
      <c r="E654" s="1647"/>
      <c r="F654" s="1647"/>
      <c r="G654" s="1647"/>
      <c r="H654" s="1647"/>
      <c r="I654" s="1647"/>
      <c r="J654" s="1648"/>
      <c r="K654" s="148"/>
      <c r="L654" s="547"/>
      <c r="M654" s="68"/>
      <c r="N654" s="67"/>
      <c r="Q654" s="45"/>
      <c r="R654" s="45"/>
      <c r="S654" s="45"/>
      <c r="T654" s="45"/>
      <c r="U654" s="45"/>
      <c r="V654" s="45"/>
      <c r="W654" s="45"/>
      <c r="X654" s="45"/>
      <c r="Y654" s="45"/>
      <c r="Z654" s="45"/>
      <c r="AA654" s="45"/>
      <c r="AB654" s="45"/>
      <c r="AC654" s="45"/>
      <c r="AD654" s="45"/>
      <c r="AE654" s="45"/>
    </row>
    <row r="655" spans="1:31" s="66" customFormat="1" ht="35.1" customHeight="1" x14ac:dyDescent="0.2">
      <c r="A655" s="45"/>
      <c r="B655" s="760" t="s">
        <v>546</v>
      </c>
      <c r="C655" s="761"/>
      <c r="D655" s="761"/>
      <c r="E655" s="762"/>
      <c r="F655" s="762"/>
      <c r="G655" s="762"/>
      <c r="H655" s="762"/>
      <c r="I655" s="763"/>
      <c r="J655" s="302"/>
      <c r="K655" s="148"/>
      <c r="L655" s="547"/>
      <c r="M655" s="68"/>
      <c r="N655" s="182" t="s">
        <v>30</v>
      </c>
      <c r="Q655" s="45"/>
      <c r="R655" s="45"/>
      <c r="S655" s="45"/>
      <c r="T655" s="45"/>
      <c r="U655" s="45"/>
      <c r="V655" s="45"/>
      <c r="W655" s="45"/>
      <c r="X655" s="45"/>
      <c r="Y655" s="45"/>
      <c r="Z655" s="45"/>
      <c r="AA655" s="45"/>
      <c r="AB655" s="45"/>
      <c r="AC655" s="45"/>
      <c r="AD655" s="45"/>
      <c r="AE655" s="45"/>
    </row>
    <row r="656" spans="1:31" s="66" customFormat="1" ht="50.1" customHeight="1" x14ac:dyDescent="0.2">
      <c r="A656" s="45"/>
      <c r="B656" s="764"/>
      <c r="C656" s="536"/>
      <c r="D656" s="765"/>
      <c r="E656" s="766" t="s">
        <v>547</v>
      </c>
      <c r="F656" s="767" t="s">
        <v>548</v>
      </c>
      <c r="G656" s="768"/>
      <c r="H656" s="769"/>
      <c r="I656" s="747"/>
      <c r="J656" s="309"/>
      <c r="K656" s="148"/>
      <c r="L656" s="547"/>
      <c r="M656" s="68"/>
      <c r="N656" s="547"/>
      <c r="Q656" s="45"/>
      <c r="R656" s="45"/>
      <c r="S656" s="45"/>
      <c r="T656" s="45"/>
      <c r="U656" s="45"/>
      <c r="V656" s="45"/>
      <c r="W656" s="45"/>
      <c r="X656" s="45"/>
      <c r="Y656" s="45"/>
      <c r="Z656" s="45"/>
      <c r="AA656" s="45"/>
      <c r="AB656" s="45"/>
      <c r="AC656" s="45"/>
      <c r="AD656" s="45"/>
      <c r="AE656" s="45"/>
    </row>
    <row r="657" spans="1:31" s="66" customFormat="1" ht="110.1" customHeight="1" x14ac:dyDescent="0.2">
      <c r="A657" s="45"/>
      <c r="B657" s="770"/>
      <c r="C657" s="771"/>
      <c r="D657" s="1649" t="s">
        <v>549</v>
      </c>
      <c r="E657" s="1649"/>
      <c r="F657" s="1649"/>
      <c r="G657" s="1649"/>
      <c r="H657" s="1649"/>
      <c r="I657" s="1649"/>
      <c r="J657" s="1650"/>
      <c r="K657" s="148"/>
      <c r="L657" s="547"/>
      <c r="M657" s="772"/>
      <c r="N657" s="547"/>
      <c r="Q657" s="45"/>
      <c r="R657" s="45"/>
      <c r="S657" s="45"/>
      <c r="T657" s="45"/>
      <c r="U657" s="45"/>
      <c r="V657" s="45"/>
      <c r="W657" s="45"/>
      <c r="X657" s="45"/>
      <c r="Y657" s="45"/>
      <c r="Z657" s="45"/>
      <c r="AA657" s="45"/>
      <c r="AB657" s="45"/>
      <c r="AC657" s="45"/>
      <c r="AD657" s="45"/>
      <c r="AE657" s="45"/>
    </row>
    <row r="658" spans="1:31" s="66" customFormat="1" ht="20.100000000000001" customHeight="1" x14ac:dyDescent="0.2">
      <c r="A658" s="45"/>
      <c r="B658" s="148"/>
      <c r="C658" s="148"/>
      <c r="D658" s="148"/>
      <c r="E658" s="148"/>
      <c r="F658" s="148"/>
      <c r="G658" s="148"/>
      <c r="H658" s="148"/>
      <c r="I658" s="555"/>
      <c r="J658" s="234"/>
      <c r="K658" s="148"/>
      <c r="L658" s="547"/>
      <c r="M658" s="68"/>
      <c r="N658" s="547"/>
      <c r="Q658" s="45"/>
      <c r="R658" s="45"/>
      <c r="S658" s="45"/>
      <c r="T658" s="45"/>
      <c r="U658" s="45"/>
      <c r="V658" s="45"/>
      <c r="W658" s="45"/>
      <c r="X658" s="45"/>
      <c r="Y658" s="45"/>
      <c r="Z658" s="45"/>
      <c r="AA658" s="45"/>
      <c r="AB658" s="45"/>
      <c r="AC658" s="45"/>
      <c r="AD658" s="45"/>
      <c r="AE658" s="45"/>
    </row>
    <row r="659" spans="1:31" s="66" customFormat="1" ht="30" customHeight="1" x14ac:dyDescent="0.2">
      <c r="A659" s="45"/>
      <c r="B659" s="1623" t="s">
        <v>550</v>
      </c>
      <c r="C659" s="1624"/>
      <c r="D659" s="1624"/>
      <c r="E659" s="1624"/>
      <c r="F659" s="1624"/>
      <c r="G659" s="1624"/>
      <c r="H659" s="1624"/>
      <c r="I659" s="1624"/>
      <c r="J659" s="1625"/>
      <c r="K659" s="148"/>
      <c r="L659" s="547"/>
      <c r="M659" s="68"/>
      <c r="N659" s="182" t="s">
        <v>30</v>
      </c>
      <c r="Q659" s="45"/>
      <c r="R659" s="45"/>
      <c r="S659" s="45"/>
      <c r="T659" s="45"/>
      <c r="U659" s="45"/>
      <c r="V659" s="45"/>
      <c r="W659" s="45"/>
      <c r="X659" s="45"/>
      <c r="Y659" s="45"/>
      <c r="Z659" s="45"/>
      <c r="AA659" s="45"/>
      <c r="AB659" s="45"/>
      <c r="AC659" s="45"/>
      <c r="AD659" s="45"/>
      <c r="AE659" s="45"/>
    </row>
    <row r="660" spans="1:31" s="225" customFormat="1" ht="30" customHeight="1" x14ac:dyDescent="0.2">
      <c r="A660" s="773"/>
      <c r="B660" s="1638" t="s">
        <v>843</v>
      </c>
      <c r="C660" s="1639"/>
      <c r="D660" s="1639"/>
      <c r="E660" s="1639"/>
      <c r="F660" s="1639"/>
      <c r="G660" s="1639"/>
      <c r="H660" s="1639"/>
      <c r="I660" s="1639"/>
      <c r="J660" s="1640"/>
      <c r="K660" s="774"/>
      <c r="N660" s="775"/>
    </row>
    <row r="661" spans="1:31" s="24" customFormat="1" ht="64.5" customHeight="1" x14ac:dyDescent="0.2">
      <c r="B661" s="872" t="s">
        <v>552</v>
      </c>
      <c r="C661" s="873"/>
      <c r="D661" s="873"/>
      <c r="E661" s="873"/>
      <c r="F661" s="873"/>
      <c r="G661" s="873"/>
      <c r="H661" s="873"/>
      <c r="I661" s="873"/>
      <c r="J661" s="874"/>
      <c r="K661" s="1"/>
      <c r="L661" s="2"/>
      <c r="M661" s="3"/>
      <c r="N661" s="46" t="s">
        <v>30</v>
      </c>
      <c r="O661" s="18"/>
      <c r="P661" s="18"/>
    </row>
    <row r="662" spans="1:31" s="225" customFormat="1" ht="54.95" customHeight="1" x14ac:dyDescent="0.2">
      <c r="A662" s="773"/>
      <c r="B662" s="1641" t="s">
        <v>845</v>
      </c>
      <c r="C662" s="1642"/>
      <c r="D662" s="1642"/>
      <c r="E662" s="1642"/>
      <c r="F662" s="1642"/>
      <c r="G662" s="1642"/>
      <c r="H662" s="1642"/>
      <c r="I662" s="1642"/>
      <c r="J662" s="1643"/>
      <c r="K662" s="774"/>
      <c r="N662" s="775"/>
    </row>
    <row r="663" spans="1:31" s="225" customFormat="1" ht="90" customHeight="1" x14ac:dyDescent="0.2">
      <c r="A663" s="773"/>
      <c r="B663" s="1638" t="s">
        <v>846</v>
      </c>
      <c r="C663" s="1639"/>
      <c r="D663" s="1639"/>
      <c r="E663" s="1639"/>
      <c r="F663" s="1639"/>
      <c r="G663" s="1639"/>
      <c r="H663" s="1639"/>
      <c r="I663" s="1639"/>
      <c r="J663" s="1640"/>
      <c r="K663" s="774"/>
      <c r="N663" s="775"/>
    </row>
    <row r="664" spans="1:31" s="66" customFormat="1" ht="20.100000000000001" customHeight="1" x14ac:dyDescent="0.2">
      <c r="A664" s="45"/>
      <c r="B664" s="776"/>
      <c r="C664" s="777"/>
      <c r="D664" s="777"/>
      <c r="E664" s="777"/>
      <c r="F664" s="777"/>
      <c r="G664" s="777"/>
      <c r="H664" s="777"/>
      <c r="I664" s="777"/>
      <c r="J664" s="313"/>
      <c r="K664" s="148"/>
      <c r="L664" s="547"/>
      <c r="M664" s="68"/>
      <c r="N664" s="547"/>
      <c r="Q664" s="45"/>
      <c r="R664" s="45"/>
      <c r="S664" s="45"/>
      <c r="T664" s="45"/>
      <c r="U664" s="45"/>
      <c r="V664" s="45"/>
      <c r="W664" s="45"/>
      <c r="X664" s="45"/>
      <c r="Y664" s="45"/>
      <c r="Z664" s="45"/>
      <c r="AA664" s="45"/>
      <c r="AB664" s="45"/>
      <c r="AC664" s="45"/>
      <c r="AD664" s="45"/>
      <c r="AE664" s="45"/>
    </row>
    <row r="665" spans="1:31" s="66" customFormat="1" ht="30" customHeight="1" x14ac:dyDescent="0.2">
      <c r="A665" s="45"/>
      <c r="B665" s="1623" t="s">
        <v>554</v>
      </c>
      <c r="C665" s="1624"/>
      <c r="D665" s="1624"/>
      <c r="E665" s="1624"/>
      <c r="F665" s="1624"/>
      <c r="G665" s="1624"/>
      <c r="H665" s="1624"/>
      <c r="I665" s="1624"/>
      <c r="J665" s="1625"/>
      <c r="K665" s="148"/>
      <c r="L665" s="547"/>
      <c r="M665" s="68"/>
      <c r="N665" s="182" t="s">
        <v>30</v>
      </c>
      <c r="Q665" s="45"/>
      <c r="R665" s="45"/>
      <c r="S665" s="45"/>
      <c r="T665" s="45"/>
      <c r="U665" s="45"/>
      <c r="V665" s="45"/>
      <c r="W665" s="45"/>
      <c r="X665" s="45"/>
      <c r="Y665" s="45"/>
      <c r="Z665" s="45"/>
      <c r="AA665" s="45"/>
      <c r="AB665" s="45"/>
      <c r="AC665" s="45"/>
      <c r="AD665" s="45"/>
      <c r="AE665" s="45"/>
    </row>
    <row r="666" spans="1:31" s="66" customFormat="1" ht="20.100000000000001" customHeight="1" x14ac:dyDescent="0.2">
      <c r="A666" s="45"/>
      <c r="B666" s="778"/>
      <c r="C666" s="778"/>
      <c r="D666" s="778"/>
      <c r="E666" s="778"/>
      <c r="F666" s="778"/>
      <c r="G666" s="778"/>
      <c r="H666" s="778"/>
      <c r="I666" s="779"/>
      <c r="J666" s="316"/>
      <c r="K666" s="148"/>
      <c r="L666" s="547"/>
      <c r="M666" s="68"/>
      <c r="N666" s="67"/>
      <c r="Q666" s="45"/>
      <c r="R666" s="45"/>
      <c r="S666" s="45"/>
      <c r="T666" s="45"/>
      <c r="U666" s="45"/>
      <c r="V666" s="45"/>
      <c r="W666" s="45"/>
      <c r="X666" s="45"/>
      <c r="Y666" s="45"/>
      <c r="Z666" s="45"/>
      <c r="AA666" s="45"/>
      <c r="AB666" s="45"/>
      <c r="AC666" s="45"/>
      <c r="AD666" s="45"/>
      <c r="AE666" s="45"/>
    </row>
    <row r="667" spans="1:31" s="66" customFormat="1" ht="30" customHeight="1" x14ac:dyDescent="0.2">
      <c r="A667" s="45"/>
      <c r="B667" s="1623" t="s">
        <v>892</v>
      </c>
      <c r="C667" s="1624"/>
      <c r="D667" s="1624"/>
      <c r="E667" s="1624"/>
      <c r="F667" s="1624"/>
      <c r="G667" s="1624"/>
      <c r="H667" s="1624"/>
      <c r="I667" s="1624"/>
      <c r="J667" s="1625"/>
      <c r="K667" s="148"/>
      <c r="L667" s="547"/>
      <c r="M667" s="68"/>
      <c r="N667" s="182" t="s">
        <v>30</v>
      </c>
      <c r="Q667" s="45"/>
      <c r="R667" s="45"/>
      <c r="S667" s="45"/>
      <c r="T667" s="45"/>
      <c r="U667" s="45"/>
      <c r="V667" s="45"/>
      <c r="W667" s="45"/>
      <c r="X667" s="45"/>
      <c r="Y667" s="45"/>
      <c r="Z667" s="45"/>
      <c r="AA667" s="45"/>
      <c r="AB667" s="45"/>
      <c r="AC667" s="45"/>
      <c r="AD667" s="45"/>
      <c r="AE667" s="45"/>
    </row>
    <row r="668" spans="1:31" s="66" customFormat="1" ht="12" customHeight="1" x14ac:dyDescent="0.2">
      <c r="A668" s="45"/>
      <c r="B668" s="778"/>
      <c r="C668" s="778"/>
      <c r="D668" s="778"/>
      <c r="E668" s="778"/>
      <c r="F668" s="778"/>
      <c r="G668" s="778"/>
      <c r="H668" s="778"/>
      <c r="I668" s="779"/>
      <c r="J668" s="316"/>
      <c r="K668" s="148"/>
      <c r="L668" s="547"/>
      <c r="M668" s="68"/>
      <c r="N668" s="67"/>
      <c r="Q668" s="45"/>
      <c r="R668" s="45"/>
      <c r="S668" s="45"/>
      <c r="T668" s="45"/>
      <c r="U668" s="45"/>
      <c r="V668" s="45"/>
      <c r="W668" s="45"/>
      <c r="X668" s="45"/>
      <c r="Y668" s="45"/>
      <c r="Z668" s="45"/>
      <c r="AA668" s="45"/>
      <c r="AB668" s="45"/>
      <c r="AC668" s="45"/>
      <c r="AD668" s="45"/>
      <c r="AE668" s="45"/>
    </row>
    <row r="669" spans="1:31" s="66" customFormat="1" ht="24.95" customHeight="1" x14ac:dyDescent="0.2">
      <c r="A669" s="45"/>
      <c r="B669" s="1626" t="s">
        <v>849</v>
      </c>
      <c r="C669" s="1627"/>
      <c r="D669" s="1627"/>
      <c r="E669" s="1627"/>
      <c r="F669" s="1627"/>
      <c r="G669" s="1627"/>
      <c r="H669" s="1627"/>
      <c r="I669" s="1627"/>
      <c r="J669" s="1628"/>
      <c r="K669" s="148"/>
      <c r="L669" s="547"/>
      <c r="M669" s="68"/>
      <c r="N669" s="67"/>
      <c r="Q669" s="45"/>
      <c r="R669" s="45"/>
      <c r="S669" s="45"/>
      <c r="T669" s="45"/>
      <c r="U669" s="45"/>
      <c r="V669" s="45"/>
      <c r="W669" s="45"/>
      <c r="X669" s="45"/>
      <c r="Y669" s="45"/>
      <c r="Z669" s="45"/>
      <c r="AA669" s="45"/>
      <c r="AB669" s="45"/>
      <c r="AC669" s="45"/>
      <c r="AD669" s="45"/>
      <c r="AE669" s="45"/>
    </row>
    <row r="670" spans="1:31" s="66" customFormat="1" ht="24.95" customHeight="1" x14ac:dyDescent="0.2">
      <c r="A670" s="45"/>
      <c r="B670" s="1629" t="s">
        <v>850</v>
      </c>
      <c r="C670" s="1630"/>
      <c r="D670" s="1630"/>
      <c r="E670" s="1630"/>
      <c r="F670" s="1630"/>
      <c r="G670" s="1630"/>
      <c r="H670" s="1630"/>
      <c r="I670" s="1630"/>
      <c r="J670" s="1631"/>
      <c r="K670" s="148"/>
      <c r="L670" s="547"/>
      <c r="M670" s="68"/>
      <c r="N670" s="67"/>
      <c r="Q670" s="45"/>
      <c r="R670" s="45"/>
      <c r="S670" s="45"/>
      <c r="T670" s="45"/>
      <c r="U670" s="45"/>
      <c r="V670" s="45"/>
      <c r="W670" s="45"/>
      <c r="X670" s="45"/>
      <c r="Y670" s="45"/>
      <c r="Z670" s="45"/>
      <c r="AA670" s="45"/>
      <c r="AB670" s="45"/>
      <c r="AC670" s="45"/>
      <c r="AD670" s="45"/>
      <c r="AE670" s="45"/>
    </row>
    <row r="671" spans="1:31" s="66" customFormat="1" ht="12" customHeight="1" x14ac:dyDescent="0.2">
      <c r="A671" s="45"/>
      <c r="B671" s="536"/>
      <c r="C671" s="536"/>
      <c r="D671" s="778"/>
      <c r="E671" s="778"/>
      <c r="F671" s="778"/>
      <c r="G671" s="778"/>
      <c r="H671" s="778"/>
      <c r="I671" s="779"/>
      <c r="J671" s="316"/>
      <c r="K671" s="148"/>
      <c r="L671" s="547"/>
      <c r="M671" s="68"/>
      <c r="N671" s="67"/>
      <c r="Q671" s="45"/>
      <c r="R671" s="45"/>
      <c r="S671" s="45"/>
      <c r="T671" s="45"/>
      <c r="U671" s="45"/>
      <c r="V671" s="45"/>
      <c r="W671" s="45"/>
      <c r="X671" s="45"/>
      <c r="Y671" s="45"/>
      <c r="Z671" s="45"/>
      <c r="AA671" s="45"/>
      <c r="AB671" s="45"/>
      <c r="AC671" s="45"/>
      <c r="AD671" s="45"/>
      <c r="AE671" s="45"/>
    </row>
    <row r="672" spans="1:31" s="66" customFormat="1" ht="30" customHeight="1" x14ac:dyDescent="0.2">
      <c r="A672" s="45"/>
      <c r="B672" s="1623" t="s">
        <v>558</v>
      </c>
      <c r="C672" s="1624"/>
      <c r="D672" s="1624"/>
      <c r="E672" s="1624"/>
      <c r="F672" s="1624"/>
      <c r="G672" s="1624"/>
      <c r="H672" s="1624"/>
      <c r="I672" s="1624"/>
      <c r="J672" s="1625"/>
      <c r="K672" s="148"/>
      <c r="L672" s="547"/>
      <c r="M672" s="68"/>
      <c r="N672" s="182" t="s">
        <v>30</v>
      </c>
      <c r="Q672" s="45"/>
      <c r="R672" s="45"/>
      <c r="S672" s="45"/>
      <c r="T672" s="45"/>
      <c r="U672" s="45"/>
      <c r="V672" s="45"/>
      <c r="W672" s="45"/>
      <c r="X672" s="45"/>
      <c r="Y672" s="45"/>
      <c r="Z672" s="45"/>
      <c r="AA672" s="45"/>
      <c r="AB672" s="45"/>
      <c r="AC672" s="45"/>
      <c r="AD672" s="45"/>
      <c r="AE672" s="45"/>
    </row>
    <row r="673" spans="1:31" s="66" customFormat="1" ht="12" customHeight="1" x14ac:dyDescent="0.2">
      <c r="A673" s="45"/>
      <c r="B673" s="778"/>
      <c r="C673" s="778"/>
      <c r="D673" s="778"/>
      <c r="E673" s="778"/>
      <c r="F673" s="778"/>
      <c r="G673" s="778"/>
      <c r="H673" s="778"/>
      <c r="I673" s="778"/>
      <c r="J673" s="316"/>
      <c r="K673" s="148"/>
      <c r="L673" s="547"/>
      <c r="M673" s="68"/>
      <c r="N673" s="67"/>
      <c r="Q673" s="45"/>
      <c r="R673" s="45"/>
      <c r="S673" s="45"/>
      <c r="T673" s="45"/>
      <c r="U673" s="45"/>
      <c r="V673" s="45"/>
      <c r="W673" s="45"/>
      <c r="X673" s="45"/>
      <c r="Y673" s="45"/>
      <c r="Z673" s="45"/>
      <c r="AA673" s="45"/>
      <c r="AB673" s="45"/>
      <c r="AC673" s="45"/>
      <c r="AD673" s="45"/>
      <c r="AE673" s="45"/>
    </row>
    <row r="674" spans="1:31" s="66" customFormat="1" ht="24.95" customHeight="1" x14ac:dyDescent="0.2">
      <c r="A674" s="45"/>
      <c r="B674" s="1632" t="s">
        <v>559</v>
      </c>
      <c r="C674" s="1633"/>
      <c r="D674" s="1633"/>
      <c r="E674" s="1633"/>
      <c r="F674" s="1633"/>
      <c r="G674" s="1633"/>
      <c r="H674" s="1633"/>
      <c r="I674" s="1633"/>
      <c r="J674" s="1634"/>
      <c r="K674" s="148"/>
      <c r="L674" s="547"/>
      <c r="M674" s="68"/>
      <c r="N674" s="67"/>
      <c r="Q674" s="45"/>
      <c r="R674" s="45"/>
      <c r="S674" s="45"/>
      <c r="T674" s="45"/>
      <c r="U674" s="45"/>
      <c r="V674" s="45"/>
      <c r="W674" s="45"/>
      <c r="X674" s="45"/>
      <c r="Y674" s="45"/>
      <c r="Z674" s="45"/>
      <c r="AA674" s="45"/>
      <c r="AB674" s="45"/>
      <c r="AC674" s="45"/>
      <c r="AD674" s="45"/>
      <c r="AE674" s="45"/>
    </row>
    <row r="675" spans="1:31" s="66" customFormat="1" ht="12" customHeight="1" x14ac:dyDescent="0.2">
      <c r="A675" s="45"/>
      <c r="B675" s="621"/>
      <c r="C675" s="621"/>
      <c r="D675" s="621"/>
      <c r="E675" s="621"/>
      <c r="F675" s="621"/>
      <c r="G675" s="621"/>
      <c r="H675" s="621"/>
      <c r="I675" s="747"/>
      <c r="J675" s="281"/>
      <c r="K675" s="148"/>
      <c r="L675" s="547"/>
      <c r="M675" s="68"/>
      <c r="N675" s="67"/>
      <c r="Q675" s="45"/>
      <c r="R675" s="45"/>
      <c r="S675" s="45"/>
      <c r="T675" s="45"/>
      <c r="U675" s="45"/>
      <c r="V675" s="45"/>
      <c r="W675" s="45"/>
      <c r="X675" s="45"/>
      <c r="Y675" s="45"/>
      <c r="Z675" s="45"/>
      <c r="AA675" s="45"/>
      <c r="AB675" s="45"/>
      <c r="AC675" s="45"/>
      <c r="AD675" s="45"/>
      <c r="AE675" s="45"/>
    </row>
    <row r="676" spans="1:31" s="66" customFormat="1" ht="84.95" customHeight="1" x14ac:dyDescent="0.2">
      <c r="A676" s="45"/>
      <c r="B676" s="1635" t="s">
        <v>560</v>
      </c>
      <c r="C676" s="1636"/>
      <c r="D676" s="1636"/>
      <c r="E676" s="1636"/>
      <c r="F676" s="1636"/>
      <c r="G676" s="1636"/>
      <c r="H676" s="1636"/>
      <c r="I676" s="1636"/>
      <c r="J676" s="1637"/>
      <c r="K676" s="148"/>
      <c r="L676" s="547"/>
      <c r="M676" s="68"/>
      <c r="N676" s="67"/>
      <c r="Q676" s="45"/>
      <c r="R676" s="45"/>
      <c r="S676" s="45"/>
      <c r="T676" s="45"/>
      <c r="U676" s="45"/>
      <c r="V676" s="45"/>
      <c r="W676" s="45"/>
      <c r="X676" s="45"/>
      <c r="Y676" s="45"/>
      <c r="Z676" s="45"/>
      <c r="AA676" s="45"/>
      <c r="AB676" s="45"/>
      <c r="AC676" s="45"/>
      <c r="AD676" s="45"/>
      <c r="AE676" s="45"/>
    </row>
  </sheetData>
  <mergeCells count="1310">
    <mergeCell ref="B6:D6"/>
    <mergeCell ref="E6:F6"/>
    <mergeCell ref="H6:I6"/>
    <mergeCell ref="B7:D7"/>
    <mergeCell ref="E7:F7"/>
    <mergeCell ref="B8:J8"/>
    <mergeCell ref="B1:J1"/>
    <mergeCell ref="B3:J3"/>
    <mergeCell ref="B4:D4"/>
    <mergeCell ref="E4:J4"/>
    <mergeCell ref="B5:D5"/>
    <mergeCell ref="E5:J5"/>
    <mergeCell ref="B26:B29"/>
    <mergeCell ref="C26:D26"/>
    <mergeCell ref="E26:F26"/>
    <mergeCell ref="G26:H26"/>
    <mergeCell ref="I26:I29"/>
    <mergeCell ref="J26:J29"/>
    <mergeCell ref="C27:D27"/>
    <mergeCell ref="E27:F27"/>
    <mergeCell ref="G27:H27"/>
    <mergeCell ref="C28:D28"/>
    <mergeCell ref="I18:J18"/>
    <mergeCell ref="I19:J19"/>
    <mergeCell ref="B21:J21"/>
    <mergeCell ref="B23:H23"/>
    <mergeCell ref="B24:J24"/>
    <mergeCell ref="C25:H25"/>
    <mergeCell ref="B9:J9"/>
    <mergeCell ref="B10:J10"/>
    <mergeCell ref="B11:J11"/>
    <mergeCell ref="B13:J13"/>
    <mergeCell ref="B14:J14"/>
    <mergeCell ref="B16:J16"/>
    <mergeCell ref="C34:D34"/>
    <mergeCell ref="E34:F34"/>
    <mergeCell ref="G34:H34"/>
    <mergeCell ref="C35:D35"/>
    <mergeCell ref="E35:F35"/>
    <mergeCell ref="G35:H35"/>
    <mergeCell ref="I30:I40"/>
    <mergeCell ref="J30:J40"/>
    <mergeCell ref="C31:D31"/>
    <mergeCell ref="E31:F31"/>
    <mergeCell ref="G31:H31"/>
    <mergeCell ref="C32:D32"/>
    <mergeCell ref="E32:F32"/>
    <mergeCell ref="G32:H32"/>
    <mergeCell ref="C33:D33"/>
    <mergeCell ref="E33:F33"/>
    <mergeCell ref="E28:F28"/>
    <mergeCell ref="G28:H28"/>
    <mergeCell ref="C29:D29"/>
    <mergeCell ref="E29:F29"/>
    <mergeCell ref="G29:H29"/>
    <mergeCell ref="C30:D30"/>
    <mergeCell ref="E30:F30"/>
    <mergeCell ref="G30:H30"/>
    <mergeCell ref="G33:H33"/>
    <mergeCell ref="E43:F43"/>
    <mergeCell ref="G43:H43"/>
    <mergeCell ref="C44:D44"/>
    <mergeCell ref="E44:F44"/>
    <mergeCell ref="C38:D38"/>
    <mergeCell ref="E38:F38"/>
    <mergeCell ref="G38:H38"/>
    <mergeCell ref="C39:D39"/>
    <mergeCell ref="C40:H40"/>
    <mergeCell ref="B41:B45"/>
    <mergeCell ref="C41:D41"/>
    <mergeCell ref="E41:F41"/>
    <mergeCell ref="G41:H41"/>
    <mergeCell ref="G44:H44"/>
    <mergeCell ref="C36:D36"/>
    <mergeCell ref="E36:F36"/>
    <mergeCell ref="G36:H36"/>
    <mergeCell ref="C37:D37"/>
    <mergeCell ref="E37:F37"/>
    <mergeCell ref="G37:H37"/>
    <mergeCell ref="B30:B40"/>
    <mergeCell ref="C52:H52"/>
    <mergeCell ref="B53:B57"/>
    <mergeCell ref="C53:D53"/>
    <mergeCell ref="E53:F53"/>
    <mergeCell ref="G53:H53"/>
    <mergeCell ref="I53:I57"/>
    <mergeCell ref="J46:J52"/>
    <mergeCell ref="C47:D47"/>
    <mergeCell ref="E47:F47"/>
    <mergeCell ref="G47:H47"/>
    <mergeCell ref="C48:D48"/>
    <mergeCell ref="E48:F48"/>
    <mergeCell ref="G48:H48"/>
    <mergeCell ref="C49:D49"/>
    <mergeCell ref="E49:F49"/>
    <mergeCell ref="G49:H49"/>
    <mergeCell ref="C45:D45"/>
    <mergeCell ref="B46:B52"/>
    <mergeCell ref="C46:D46"/>
    <mergeCell ref="E46:F46"/>
    <mergeCell ref="G46:H46"/>
    <mergeCell ref="I46:I52"/>
    <mergeCell ref="C50:D50"/>
    <mergeCell ref="E50:F50"/>
    <mergeCell ref="G50:H50"/>
    <mergeCell ref="C51:H51"/>
    <mergeCell ref="I41:I45"/>
    <mergeCell ref="J41:J45"/>
    <mergeCell ref="C42:D42"/>
    <mergeCell ref="E42:F42"/>
    <mergeCell ref="G42:H42"/>
    <mergeCell ref="C43:D43"/>
    <mergeCell ref="B58:B59"/>
    <mergeCell ref="C58:D58"/>
    <mergeCell ref="E58:F58"/>
    <mergeCell ref="G58:H58"/>
    <mergeCell ref="I58:I59"/>
    <mergeCell ref="J58:J59"/>
    <mergeCell ref="C59:D59"/>
    <mergeCell ref="E59:F59"/>
    <mergeCell ref="G59:H59"/>
    <mergeCell ref="J53:J57"/>
    <mergeCell ref="C54:D54"/>
    <mergeCell ref="E54:F54"/>
    <mergeCell ref="G54:H54"/>
    <mergeCell ref="C55:D55"/>
    <mergeCell ref="E55:F55"/>
    <mergeCell ref="G55:H55"/>
    <mergeCell ref="C57:H57"/>
    <mergeCell ref="J64:J65"/>
    <mergeCell ref="C65:D65"/>
    <mergeCell ref="E65:F65"/>
    <mergeCell ref="B66:B67"/>
    <mergeCell ref="C66:D66"/>
    <mergeCell ref="E66:F66"/>
    <mergeCell ref="G66:H66"/>
    <mergeCell ref="I66:I67"/>
    <mergeCell ref="J66:J67"/>
    <mergeCell ref="C67:D67"/>
    <mergeCell ref="C63:H63"/>
    <mergeCell ref="B64:B65"/>
    <mergeCell ref="C64:D64"/>
    <mergeCell ref="E64:F64"/>
    <mergeCell ref="G64:H64"/>
    <mergeCell ref="I64:I65"/>
    <mergeCell ref="B60:B63"/>
    <mergeCell ref="C60:D60"/>
    <mergeCell ref="E60:F60"/>
    <mergeCell ref="G60:H60"/>
    <mergeCell ref="I60:I63"/>
    <mergeCell ref="J60:J63"/>
    <mergeCell ref="C61:D61"/>
    <mergeCell ref="E61:F61"/>
    <mergeCell ref="G61:H61"/>
    <mergeCell ref="C62:H62"/>
    <mergeCell ref="C77:D77"/>
    <mergeCell ref="B79:H79"/>
    <mergeCell ref="B80:B81"/>
    <mergeCell ref="C80:H80"/>
    <mergeCell ref="I80:I81"/>
    <mergeCell ref="J80:J81"/>
    <mergeCell ref="C81:H81"/>
    <mergeCell ref="C71:H71"/>
    <mergeCell ref="C72:H72"/>
    <mergeCell ref="C73:H73"/>
    <mergeCell ref="C74:H74"/>
    <mergeCell ref="C75:H75"/>
    <mergeCell ref="C76:H76"/>
    <mergeCell ref="B68:B73"/>
    <mergeCell ref="C68:D68"/>
    <mergeCell ref="E68:F68"/>
    <mergeCell ref="G68:H68"/>
    <mergeCell ref="I68:I73"/>
    <mergeCell ref="J68:J73"/>
    <mergeCell ref="C69:D69"/>
    <mergeCell ref="E69:F69"/>
    <mergeCell ref="G69:H69"/>
    <mergeCell ref="C70:D70"/>
    <mergeCell ref="B97:B99"/>
    <mergeCell ref="C97:J97"/>
    <mergeCell ref="C98:H98"/>
    <mergeCell ref="C99:H99"/>
    <mergeCell ref="B101:H101"/>
    <mergeCell ref="B102:B103"/>
    <mergeCell ref="C102:D102"/>
    <mergeCell ref="E102:F102"/>
    <mergeCell ref="G102:H102"/>
    <mergeCell ref="I102:I103"/>
    <mergeCell ref="B90:J90"/>
    <mergeCell ref="B91:H91"/>
    <mergeCell ref="A92:J92"/>
    <mergeCell ref="A93:H93"/>
    <mergeCell ref="B94:J94"/>
    <mergeCell ref="B96:H96"/>
    <mergeCell ref="B83:H83"/>
    <mergeCell ref="C84:H84"/>
    <mergeCell ref="C85:H85"/>
    <mergeCell ref="C86:H86"/>
    <mergeCell ref="B88:H88"/>
    <mergeCell ref="B89:J89"/>
    <mergeCell ref="B106:B107"/>
    <mergeCell ref="C106:D106"/>
    <mergeCell ref="E106:F106"/>
    <mergeCell ref="G106:H106"/>
    <mergeCell ref="I106:I107"/>
    <mergeCell ref="J106:J107"/>
    <mergeCell ref="C107:D107"/>
    <mergeCell ref="E107:F107"/>
    <mergeCell ref="G107:H107"/>
    <mergeCell ref="J102:J103"/>
    <mergeCell ref="C103:D103"/>
    <mergeCell ref="E103:F103"/>
    <mergeCell ref="B104:B105"/>
    <mergeCell ref="C104:D104"/>
    <mergeCell ref="E104:F104"/>
    <mergeCell ref="G104:H104"/>
    <mergeCell ref="I104:I105"/>
    <mergeCell ref="J104:J105"/>
    <mergeCell ref="E113:F113"/>
    <mergeCell ref="G113:H113"/>
    <mergeCell ref="C114:D114"/>
    <mergeCell ref="E114:F114"/>
    <mergeCell ref="G114:H114"/>
    <mergeCell ref="B115:B119"/>
    <mergeCell ref="C115:D115"/>
    <mergeCell ref="E115:F115"/>
    <mergeCell ref="G115:H115"/>
    <mergeCell ref="G118:H118"/>
    <mergeCell ref="B109:H109"/>
    <mergeCell ref="B110:J110"/>
    <mergeCell ref="B111:J111"/>
    <mergeCell ref="B112:B114"/>
    <mergeCell ref="C112:D112"/>
    <mergeCell ref="E112:F112"/>
    <mergeCell ref="G112:H112"/>
    <mergeCell ref="I112:I114"/>
    <mergeCell ref="J112:J114"/>
    <mergeCell ref="C113:D113"/>
    <mergeCell ref="B124:J124"/>
    <mergeCell ref="B126:H126"/>
    <mergeCell ref="B127:J127"/>
    <mergeCell ref="C128:H128"/>
    <mergeCell ref="B129:B134"/>
    <mergeCell ref="C129:D129"/>
    <mergeCell ref="E129:F129"/>
    <mergeCell ref="G129:H129"/>
    <mergeCell ref="I129:I134"/>
    <mergeCell ref="J129:J134"/>
    <mergeCell ref="C119:H119"/>
    <mergeCell ref="C120:D120"/>
    <mergeCell ref="E120:F120"/>
    <mergeCell ref="C121:H121"/>
    <mergeCell ref="C122:H122"/>
    <mergeCell ref="B123:J123"/>
    <mergeCell ref="I115:I119"/>
    <mergeCell ref="J115:J119"/>
    <mergeCell ref="C116:D116"/>
    <mergeCell ref="E116:F116"/>
    <mergeCell ref="G116:H116"/>
    <mergeCell ref="C117:D117"/>
    <mergeCell ref="E117:F117"/>
    <mergeCell ref="G117:H117"/>
    <mergeCell ref="C118:D118"/>
    <mergeCell ref="E118:F118"/>
    <mergeCell ref="C134:D134"/>
    <mergeCell ref="E134:F134"/>
    <mergeCell ref="G134:H134"/>
    <mergeCell ref="C147:D147"/>
    <mergeCell ref="G147:H147"/>
    <mergeCell ref="B135:B140"/>
    <mergeCell ref="C135:D135"/>
    <mergeCell ref="E135:F135"/>
    <mergeCell ref="G135:H135"/>
    <mergeCell ref="G138:H138"/>
    <mergeCell ref="C139:D139"/>
    <mergeCell ref="E139:F139"/>
    <mergeCell ref="C132:D132"/>
    <mergeCell ref="E132:F132"/>
    <mergeCell ref="G132:H132"/>
    <mergeCell ref="C133:D133"/>
    <mergeCell ref="E133:F133"/>
    <mergeCell ref="G133:H133"/>
    <mergeCell ref="C130:D130"/>
    <mergeCell ref="E130:F130"/>
    <mergeCell ref="G130:H130"/>
    <mergeCell ref="C131:D131"/>
    <mergeCell ref="E131:F131"/>
    <mergeCell ref="G131:H131"/>
    <mergeCell ref="G139:H139"/>
    <mergeCell ref="C140:H140"/>
    <mergeCell ref="G141:H141"/>
    <mergeCell ref="G144:H144"/>
    <mergeCell ref="C145:D145"/>
    <mergeCell ref="E145:F145"/>
    <mergeCell ref="G145:H145"/>
    <mergeCell ref="I135:I140"/>
    <mergeCell ref="J135:J140"/>
    <mergeCell ref="C136:D136"/>
    <mergeCell ref="E136:F136"/>
    <mergeCell ref="G136:H136"/>
    <mergeCell ref="C137:D137"/>
    <mergeCell ref="E137:F137"/>
    <mergeCell ref="G137:H137"/>
    <mergeCell ref="C138:D138"/>
    <mergeCell ref="E138:F138"/>
    <mergeCell ref="C146:D146"/>
    <mergeCell ref="E146:F146"/>
    <mergeCell ref="G146:H146"/>
    <mergeCell ref="B158:B160"/>
    <mergeCell ref="C158:D158"/>
    <mergeCell ref="E158:F158"/>
    <mergeCell ref="G158:H158"/>
    <mergeCell ref="I158:I160"/>
    <mergeCell ref="I153:I157"/>
    <mergeCell ref="J153:J157"/>
    <mergeCell ref="C154:D154"/>
    <mergeCell ref="E154:F154"/>
    <mergeCell ref="G154:H154"/>
    <mergeCell ref="C155:D155"/>
    <mergeCell ref="B148:B152"/>
    <mergeCell ref="C148:D148"/>
    <mergeCell ref="E148:F148"/>
    <mergeCell ref="G148:H148"/>
    <mergeCell ref="G151:H151"/>
    <mergeCell ref="I141:I147"/>
    <mergeCell ref="J141:J147"/>
    <mergeCell ref="C142:D142"/>
    <mergeCell ref="E142:F142"/>
    <mergeCell ref="G142:H142"/>
    <mergeCell ref="C143:D143"/>
    <mergeCell ref="E143:F143"/>
    <mergeCell ref="G143:H143"/>
    <mergeCell ref="C144:D144"/>
    <mergeCell ref="E144:F144"/>
    <mergeCell ref="C152:D152"/>
    <mergeCell ref="E152:F152"/>
    <mergeCell ref="G152:H152"/>
    <mergeCell ref="B141:B147"/>
    <mergeCell ref="C141:D141"/>
    <mergeCell ref="E141:F141"/>
    <mergeCell ref="I148:I152"/>
    <mergeCell ref="J148:J152"/>
    <mergeCell ref="C149:D149"/>
    <mergeCell ref="E149:F149"/>
    <mergeCell ref="G149:H149"/>
    <mergeCell ref="C150:D150"/>
    <mergeCell ref="E150:F150"/>
    <mergeCell ref="G150:H150"/>
    <mergeCell ref="C151:D151"/>
    <mergeCell ref="E151:F151"/>
    <mergeCell ref="J158:J160"/>
    <mergeCell ref="C159:D159"/>
    <mergeCell ref="E159:F159"/>
    <mergeCell ref="G159:H159"/>
    <mergeCell ref="C160:D160"/>
    <mergeCell ref="E160:F160"/>
    <mergeCell ref="C157:D157"/>
    <mergeCell ref="E155:F155"/>
    <mergeCell ref="G155:H155"/>
    <mergeCell ref="C156:D156"/>
    <mergeCell ref="E156:F156"/>
    <mergeCell ref="B165:B166"/>
    <mergeCell ref="C165:D165"/>
    <mergeCell ref="E165:F165"/>
    <mergeCell ref="G165:H165"/>
    <mergeCell ref="I165:I166"/>
    <mergeCell ref="J165:J166"/>
    <mergeCell ref="C166:D166"/>
    <mergeCell ref="B163:B164"/>
    <mergeCell ref="C163:D163"/>
    <mergeCell ref="E163:F163"/>
    <mergeCell ref="G163:H163"/>
    <mergeCell ref="I163:I164"/>
    <mergeCell ref="J163:J164"/>
    <mergeCell ref="C164:D164"/>
    <mergeCell ref="E164:F164"/>
    <mergeCell ref="B161:B162"/>
    <mergeCell ref="C161:D161"/>
    <mergeCell ref="E161:F161"/>
    <mergeCell ref="G161:H161"/>
    <mergeCell ref="I161:I162"/>
    <mergeCell ref="J161:J162"/>
    <mergeCell ref="C162:D162"/>
    <mergeCell ref="E162:F162"/>
    <mergeCell ref="G162:H162"/>
    <mergeCell ref="B153:B156"/>
    <mergeCell ref="C153:D153"/>
    <mergeCell ref="E153:F153"/>
    <mergeCell ref="G153:H153"/>
    <mergeCell ref="J176:J178"/>
    <mergeCell ref="C177:D177"/>
    <mergeCell ref="E177:F177"/>
    <mergeCell ref="G177:H177"/>
    <mergeCell ref="C178:D178"/>
    <mergeCell ref="B179:J179"/>
    <mergeCell ref="C170:H170"/>
    <mergeCell ref="C171:H171"/>
    <mergeCell ref="C172:D172"/>
    <mergeCell ref="B174:H174"/>
    <mergeCell ref="B175:J175"/>
    <mergeCell ref="B176:B178"/>
    <mergeCell ref="C176:D176"/>
    <mergeCell ref="E176:F176"/>
    <mergeCell ref="G176:H176"/>
    <mergeCell ref="I176:I178"/>
    <mergeCell ref="B167:B168"/>
    <mergeCell ref="C167:D167"/>
    <mergeCell ref="I167:I168"/>
    <mergeCell ref="J167:J168"/>
    <mergeCell ref="C168:H168"/>
    <mergeCell ref="C169:H169"/>
    <mergeCell ref="B186:B188"/>
    <mergeCell ref="C186:D186"/>
    <mergeCell ref="E186:F186"/>
    <mergeCell ref="G186:H186"/>
    <mergeCell ref="I186:I188"/>
    <mergeCell ref="J186:J188"/>
    <mergeCell ref="G187:H187"/>
    <mergeCell ref="C188:D188"/>
    <mergeCell ref="E188:F188"/>
    <mergeCell ref="G188:H188"/>
    <mergeCell ref="B181:H181"/>
    <mergeCell ref="C182:D182"/>
    <mergeCell ref="E182:F182"/>
    <mergeCell ref="G182:H182"/>
    <mergeCell ref="B184:H184"/>
    <mergeCell ref="B185:J185"/>
    <mergeCell ref="C194:H194"/>
    <mergeCell ref="E191:F191"/>
    <mergeCell ref="G191:H191"/>
    <mergeCell ref="C192:D192"/>
    <mergeCell ref="E192:F192"/>
    <mergeCell ref="G192:H192"/>
    <mergeCell ref="C193:D193"/>
    <mergeCell ref="E193:F193"/>
    <mergeCell ref="G193:H193"/>
    <mergeCell ref="B189:B194"/>
    <mergeCell ref="C189:D189"/>
    <mergeCell ref="E189:F189"/>
    <mergeCell ref="G189:H189"/>
    <mergeCell ref="I189:I194"/>
    <mergeCell ref="J189:J194"/>
    <mergeCell ref="C190:D190"/>
    <mergeCell ref="E190:F190"/>
    <mergeCell ref="G190:H190"/>
    <mergeCell ref="C191:D191"/>
    <mergeCell ref="E200:F200"/>
    <mergeCell ref="G200:H200"/>
    <mergeCell ref="C201:D201"/>
    <mergeCell ref="E201:F201"/>
    <mergeCell ref="G201:H201"/>
    <mergeCell ref="C202:D202"/>
    <mergeCell ref="B198:B202"/>
    <mergeCell ref="C198:D198"/>
    <mergeCell ref="E198:F198"/>
    <mergeCell ref="G198:H198"/>
    <mergeCell ref="I198:I202"/>
    <mergeCell ref="J198:J202"/>
    <mergeCell ref="C199:D199"/>
    <mergeCell ref="E199:F199"/>
    <mergeCell ref="G199:H199"/>
    <mergeCell ref="C200:D200"/>
    <mergeCell ref="J195:J197"/>
    <mergeCell ref="C196:D196"/>
    <mergeCell ref="E196:F196"/>
    <mergeCell ref="G196:H196"/>
    <mergeCell ref="C197:D197"/>
    <mergeCell ref="E197:F197"/>
    <mergeCell ref="G197:H197"/>
    <mergeCell ref="B195:B197"/>
    <mergeCell ref="C195:D195"/>
    <mergeCell ref="E195:F195"/>
    <mergeCell ref="G195:H195"/>
    <mergeCell ref="I195:I197"/>
    <mergeCell ref="C206:D206"/>
    <mergeCell ref="E206:F206"/>
    <mergeCell ref="G206:H206"/>
    <mergeCell ref="B207:B208"/>
    <mergeCell ref="C207:D207"/>
    <mergeCell ref="E207:F207"/>
    <mergeCell ref="G207:H207"/>
    <mergeCell ref="B203:B205"/>
    <mergeCell ref="C203:D203"/>
    <mergeCell ref="E203:F203"/>
    <mergeCell ref="G203:H203"/>
    <mergeCell ref="I203:I205"/>
    <mergeCell ref="J203:J205"/>
    <mergeCell ref="C204:D204"/>
    <mergeCell ref="E204:F204"/>
    <mergeCell ref="G204:H204"/>
    <mergeCell ref="C205:D205"/>
    <mergeCell ref="I211:I215"/>
    <mergeCell ref="J211:J215"/>
    <mergeCell ref="C212:D212"/>
    <mergeCell ref="E212:F212"/>
    <mergeCell ref="C213:H213"/>
    <mergeCell ref="C214:H214"/>
    <mergeCell ref="C215:H215"/>
    <mergeCell ref="C210:D210"/>
    <mergeCell ref="E210:F210"/>
    <mergeCell ref="G210:H210"/>
    <mergeCell ref="B211:B215"/>
    <mergeCell ref="C211:D211"/>
    <mergeCell ref="E211:F211"/>
    <mergeCell ref="G211:H211"/>
    <mergeCell ref="I207:I208"/>
    <mergeCell ref="J207:J208"/>
    <mergeCell ref="C208:D208"/>
    <mergeCell ref="E208:F208"/>
    <mergeCell ref="G208:H208"/>
    <mergeCell ref="C209:D209"/>
    <mergeCell ref="E209:F209"/>
    <mergeCell ref="G209:H209"/>
    <mergeCell ref="B231:H231"/>
    <mergeCell ref="B232:H233"/>
    <mergeCell ref="I232:I233"/>
    <mergeCell ref="J232:J233"/>
    <mergeCell ref="B235:H235"/>
    <mergeCell ref="B236:J236"/>
    <mergeCell ref="B223:J223"/>
    <mergeCell ref="C224:H224"/>
    <mergeCell ref="B225:J225"/>
    <mergeCell ref="C226:H226"/>
    <mergeCell ref="B228:H228"/>
    <mergeCell ref="B229:H229"/>
    <mergeCell ref="C216:H216"/>
    <mergeCell ref="C217:H217"/>
    <mergeCell ref="C218:H218"/>
    <mergeCell ref="C219:D219"/>
    <mergeCell ref="B221:H221"/>
    <mergeCell ref="B222:J222"/>
    <mergeCell ref="E241:F241"/>
    <mergeCell ref="G241:H241"/>
    <mergeCell ref="B242:B248"/>
    <mergeCell ref="C242:D242"/>
    <mergeCell ref="E242:F242"/>
    <mergeCell ref="G242:H242"/>
    <mergeCell ref="G245:H245"/>
    <mergeCell ref="C246:D246"/>
    <mergeCell ref="E246:F246"/>
    <mergeCell ref="G246:H246"/>
    <mergeCell ref="B237:J237"/>
    <mergeCell ref="C238:H238"/>
    <mergeCell ref="B239:B241"/>
    <mergeCell ref="C239:D239"/>
    <mergeCell ref="E239:F239"/>
    <mergeCell ref="G239:H239"/>
    <mergeCell ref="I239:I241"/>
    <mergeCell ref="J239:J241"/>
    <mergeCell ref="G240:H240"/>
    <mergeCell ref="C241:D241"/>
    <mergeCell ref="I249:I251"/>
    <mergeCell ref="J249:J251"/>
    <mergeCell ref="C250:D250"/>
    <mergeCell ref="E250:F250"/>
    <mergeCell ref="G250:H250"/>
    <mergeCell ref="C251:D251"/>
    <mergeCell ref="E251:F251"/>
    <mergeCell ref="G251:H251"/>
    <mergeCell ref="C247:D247"/>
    <mergeCell ref="E247:F247"/>
    <mergeCell ref="G247:H247"/>
    <mergeCell ref="C248:H248"/>
    <mergeCell ref="B249:B251"/>
    <mergeCell ref="C249:D249"/>
    <mergeCell ref="E249:F249"/>
    <mergeCell ref="G249:H249"/>
    <mergeCell ref="I242:I248"/>
    <mergeCell ref="J242:J248"/>
    <mergeCell ref="C243:D243"/>
    <mergeCell ref="E243:F243"/>
    <mergeCell ref="G243:H243"/>
    <mergeCell ref="C244:D244"/>
    <mergeCell ref="E244:F244"/>
    <mergeCell ref="G244:H244"/>
    <mergeCell ref="C245:D245"/>
    <mergeCell ref="E245:F245"/>
    <mergeCell ref="E254:F254"/>
    <mergeCell ref="G254:H254"/>
    <mergeCell ref="C255:D255"/>
    <mergeCell ref="E255:F255"/>
    <mergeCell ref="G255:H255"/>
    <mergeCell ref="C256:D256"/>
    <mergeCell ref="E256:F256"/>
    <mergeCell ref="B252:B258"/>
    <mergeCell ref="C252:D252"/>
    <mergeCell ref="E252:F252"/>
    <mergeCell ref="G252:H252"/>
    <mergeCell ref="I252:I258"/>
    <mergeCell ref="J252:J258"/>
    <mergeCell ref="C253:D253"/>
    <mergeCell ref="E253:F253"/>
    <mergeCell ref="G253:H253"/>
    <mergeCell ref="C254:D254"/>
    <mergeCell ref="C264:D264"/>
    <mergeCell ref="E264:F264"/>
    <mergeCell ref="G264:H264"/>
    <mergeCell ref="B265:B266"/>
    <mergeCell ref="C265:D265"/>
    <mergeCell ref="E265:F265"/>
    <mergeCell ref="G265:H265"/>
    <mergeCell ref="I259:I263"/>
    <mergeCell ref="J259:J263"/>
    <mergeCell ref="C260:D260"/>
    <mergeCell ref="E260:F260"/>
    <mergeCell ref="G260:H260"/>
    <mergeCell ref="C262:H262"/>
    <mergeCell ref="C263:H263"/>
    <mergeCell ref="C257:H257"/>
    <mergeCell ref="C258:H258"/>
    <mergeCell ref="B259:B263"/>
    <mergeCell ref="C259:D259"/>
    <mergeCell ref="E259:F259"/>
    <mergeCell ref="G259:H259"/>
    <mergeCell ref="B270:B272"/>
    <mergeCell ref="C270:D270"/>
    <mergeCell ref="E270:F270"/>
    <mergeCell ref="G270:H270"/>
    <mergeCell ref="I270:I272"/>
    <mergeCell ref="J270:J272"/>
    <mergeCell ref="C271:D271"/>
    <mergeCell ref="C272:H272"/>
    <mergeCell ref="B268:B269"/>
    <mergeCell ref="C268:D268"/>
    <mergeCell ref="E268:F268"/>
    <mergeCell ref="G268:H268"/>
    <mergeCell ref="I268:I269"/>
    <mergeCell ref="J268:J269"/>
    <mergeCell ref="C269:D269"/>
    <mergeCell ref="I265:I266"/>
    <mergeCell ref="J265:J266"/>
    <mergeCell ref="C266:D266"/>
    <mergeCell ref="E266:F266"/>
    <mergeCell ref="G266:H266"/>
    <mergeCell ref="C267:D267"/>
    <mergeCell ref="E267:F267"/>
    <mergeCell ref="G267:H267"/>
    <mergeCell ref="J278:J280"/>
    <mergeCell ref="E279:F279"/>
    <mergeCell ref="G279:H279"/>
    <mergeCell ref="C280:D280"/>
    <mergeCell ref="E280:F280"/>
    <mergeCell ref="G280:H280"/>
    <mergeCell ref="C273:H273"/>
    <mergeCell ref="C274:H274"/>
    <mergeCell ref="C275:H275"/>
    <mergeCell ref="C276:D276"/>
    <mergeCell ref="B277:J277"/>
    <mergeCell ref="B278:B280"/>
    <mergeCell ref="C278:D278"/>
    <mergeCell ref="E278:F278"/>
    <mergeCell ref="G278:H278"/>
    <mergeCell ref="I278:I280"/>
    <mergeCell ref="C286:H286"/>
    <mergeCell ref="J287:J289"/>
    <mergeCell ref="E288:F288"/>
    <mergeCell ref="G288:H288"/>
    <mergeCell ref="C289:D289"/>
    <mergeCell ref="E289:F289"/>
    <mergeCell ref="G289:H289"/>
    <mergeCell ref="B287:B289"/>
    <mergeCell ref="C287:D287"/>
    <mergeCell ref="E287:F287"/>
    <mergeCell ref="G287:H287"/>
    <mergeCell ref="I287:I289"/>
    <mergeCell ref="E283:F283"/>
    <mergeCell ref="G283:H283"/>
    <mergeCell ref="C284:D284"/>
    <mergeCell ref="E284:F284"/>
    <mergeCell ref="G284:H284"/>
    <mergeCell ref="C285:D285"/>
    <mergeCell ref="E285:F285"/>
    <mergeCell ref="G285:H285"/>
    <mergeCell ref="B281:B286"/>
    <mergeCell ref="C281:D281"/>
    <mergeCell ref="E281:F281"/>
    <mergeCell ref="G281:H281"/>
    <mergeCell ref="I281:I286"/>
    <mergeCell ref="J281:J286"/>
    <mergeCell ref="C282:D282"/>
    <mergeCell ref="E282:F282"/>
    <mergeCell ref="G282:H282"/>
    <mergeCell ref="C283:D283"/>
    <mergeCell ref="C297:D297"/>
    <mergeCell ref="E297:F297"/>
    <mergeCell ref="B298:B299"/>
    <mergeCell ref="C298:D298"/>
    <mergeCell ref="E298:F298"/>
    <mergeCell ref="G298:H298"/>
    <mergeCell ref="B295:B296"/>
    <mergeCell ref="C295:D295"/>
    <mergeCell ref="E295:F295"/>
    <mergeCell ref="G295:H295"/>
    <mergeCell ref="I295:I296"/>
    <mergeCell ref="J295:J296"/>
    <mergeCell ref="C296:D296"/>
    <mergeCell ref="E296:F296"/>
    <mergeCell ref="G296:H296"/>
    <mergeCell ref="E292:F292"/>
    <mergeCell ref="G292:H292"/>
    <mergeCell ref="C293:D293"/>
    <mergeCell ref="E293:F293"/>
    <mergeCell ref="G293:H293"/>
    <mergeCell ref="C294:D294"/>
    <mergeCell ref="B290:B294"/>
    <mergeCell ref="C290:D290"/>
    <mergeCell ref="E290:F290"/>
    <mergeCell ref="G290:H290"/>
    <mergeCell ref="I290:I294"/>
    <mergeCell ref="J290:J294"/>
    <mergeCell ref="C291:D291"/>
    <mergeCell ref="E291:F291"/>
    <mergeCell ref="G291:H291"/>
    <mergeCell ref="C292:D292"/>
    <mergeCell ref="B305:B307"/>
    <mergeCell ref="C305:D305"/>
    <mergeCell ref="E305:F305"/>
    <mergeCell ref="G305:H305"/>
    <mergeCell ref="I305:I307"/>
    <mergeCell ref="J305:J307"/>
    <mergeCell ref="C306:D306"/>
    <mergeCell ref="C307:H307"/>
    <mergeCell ref="B301:B304"/>
    <mergeCell ref="C301:D301"/>
    <mergeCell ref="E301:F301"/>
    <mergeCell ref="G301:H301"/>
    <mergeCell ref="I301:I304"/>
    <mergeCell ref="J301:J304"/>
    <mergeCell ref="C302:D302"/>
    <mergeCell ref="C304:H304"/>
    <mergeCell ref="I298:I299"/>
    <mergeCell ref="J298:J299"/>
    <mergeCell ref="C299:D299"/>
    <mergeCell ref="G299:H299"/>
    <mergeCell ref="C300:D300"/>
    <mergeCell ref="E300:F300"/>
    <mergeCell ref="G300:H300"/>
    <mergeCell ref="C315:H315"/>
    <mergeCell ref="C316:H316"/>
    <mergeCell ref="C317:H317"/>
    <mergeCell ref="B319:H319"/>
    <mergeCell ref="B320:J320"/>
    <mergeCell ref="B321:B322"/>
    <mergeCell ref="C321:D321"/>
    <mergeCell ref="E321:F321"/>
    <mergeCell ref="G321:H321"/>
    <mergeCell ref="I321:I322"/>
    <mergeCell ref="C328:H328"/>
    <mergeCell ref="C308:H308"/>
    <mergeCell ref="C309:H309"/>
    <mergeCell ref="C310:H310"/>
    <mergeCell ref="C311:D311"/>
    <mergeCell ref="B313:H313"/>
    <mergeCell ref="B314:J314"/>
    <mergeCell ref="C326:D326"/>
    <mergeCell ref="E326:F326"/>
    <mergeCell ref="G326:H326"/>
    <mergeCell ref="C327:D327"/>
    <mergeCell ref="E327:F327"/>
    <mergeCell ref="G327:H327"/>
    <mergeCell ref="C324:D324"/>
    <mergeCell ref="E324:F324"/>
    <mergeCell ref="G324:H324"/>
    <mergeCell ref="C325:D325"/>
    <mergeCell ref="E325:F325"/>
    <mergeCell ref="G325:H325"/>
    <mergeCell ref="J321:J322"/>
    <mergeCell ref="C322:D322"/>
    <mergeCell ref="E322:F322"/>
    <mergeCell ref="G322:H322"/>
    <mergeCell ref="B323:B328"/>
    <mergeCell ref="C323:D323"/>
    <mergeCell ref="E323:F323"/>
    <mergeCell ref="G323:H323"/>
    <mergeCell ref="I323:I328"/>
    <mergeCell ref="J323:J328"/>
    <mergeCell ref="E335:F335"/>
    <mergeCell ref="G335:H335"/>
    <mergeCell ref="B336:B338"/>
    <mergeCell ref="C336:D336"/>
    <mergeCell ref="E336:F336"/>
    <mergeCell ref="G336:H336"/>
    <mergeCell ref="B333:B335"/>
    <mergeCell ref="C333:D333"/>
    <mergeCell ref="E333:F333"/>
    <mergeCell ref="G333:H333"/>
    <mergeCell ref="I333:I335"/>
    <mergeCell ref="J333:J335"/>
    <mergeCell ref="C334:D334"/>
    <mergeCell ref="E334:F334"/>
    <mergeCell ref="G334:H334"/>
    <mergeCell ref="C335:D335"/>
    <mergeCell ref="J329:J332"/>
    <mergeCell ref="C330:D330"/>
    <mergeCell ref="E330:F330"/>
    <mergeCell ref="G330:H330"/>
    <mergeCell ref="C331:D331"/>
    <mergeCell ref="E331:F331"/>
    <mergeCell ref="G331:H331"/>
    <mergeCell ref="C332:D332"/>
    <mergeCell ref="E332:F332"/>
    <mergeCell ref="G332:H332"/>
    <mergeCell ref="B329:B332"/>
    <mergeCell ref="C329:D329"/>
    <mergeCell ref="E329:F329"/>
    <mergeCell ref="G329:H329"/>
    <mergeCell ref="I329:I332"/>
    <mergeCell ref="C341:D341"/>
    <mergeCell ref="E341:F341"/>
    <mergeCell ref="G341:H341"/>
    <mergeCell ref="B342:B343"/>
    <mergeCell ref="C342:D342"/>
    <mergeCell ref="E342:F342"/>
    <mergeCell ref="G342:H342"/>
    <mergeCell ref="B339:B340"/>
    <mergeCell ref="C339:D339"/>
    <mergeCell ref="E339:F339"/>
    <mergeCell ref="G339:H339"/>
    <mergeCell ref="I339:I340"/>
    <mergeCell ref="J339:J340"/>
    <mergeCell ref="C340:D340"/>
    <mergeCell ref="G340:H340"/>
    <mergeCell ref="I336:I338"/>
    <mergeCell ref="J336:J338"/>
    <mergeCell ref="C337:D337"/>
    <mergeCell ref="E337:F337"/>
    <mergeCell ref="G337:H337"/>
    <mergeCell ref="C338:D338"/>
    <mergeCell ref="B349:J349"/>
    <mergeCell ref="B351:H351"/>
    <mergeCell ref="C352:H352"/>
    <mergeCell ref="C353:H353"/>
    <mergeCell ref="B355:H355"/>
    <mergeCell ref="B356:J356"/>
    <mergeCell ref="C345:H345"/>
    <mergeCell ref="C346:D346"/>
    <mergeCell ref="E346:F346"/>
    <mergeCell ref="G346:H346"/>
    <mergeCell ref="B347:B348"/>
    <mergeCell ref="C347:H347"/>
    <mergeCell ref="C348:D348"/>
    <mergeCell ref="E348:F348"/>
    <mergeCell ref="G348:H348"/>
    <mergeCell ref="I342:I343"/>
    <mergeCell ref="J342:J343"/>
    <mergeCell ref="C343:D343"/>
    <mergeCell ref="E343:F343"/>
    <mergeCell ref="C344:D344"/>
    <mergeCell ref="E344:F344"/>
    <mergeCell ref="G344:H344"/>
    <mergeCell ref="C360:H360"/>
    <mergeCell ref="B361:B364"/>
    <mergeCell ref="C361:H361"/>
    <mergeCell ref="I361:I364"/>
    <mergeCell ref="J361:J364"/>
    <mergeCell ref="C362:D362"/>
    <mergeCell ref="E362:F362"/>
    <mergeCell ref="G362:H362"/>
    <mergeCell ref="C363:D363"/>
    <mergeCell ref="E363:F363"/>
    <mergeCell ref="C357:H357"/>
    <mergeCell ref="B358:B359"/>
    <mergeCell ref="C358:H358"/>
    <mergeCell ref="I358:I359"/>
    <mergeCell ref="J358:J359"/>
    <mergeCell ref="C359:D359"/>
    <mergeCell ref="E359:F359"/>
    <mergeCell ref="G359:H359"/>
    <mergeCell ref="C369:H369"/>
    <mergeCell ref="B370:B371"/>
    <mergeCell ref="C370:D370"/>
    <mergeCell ref="E370:F370"/>
    <mergeCell ref="G370:H370"/>
    <mergeCell ref="I370:I371"/>
    <mergeCell ref="J365:J368"/>
    <mergeCell ref="C366:D366"/>
    <mergeCell ref="E366:F366"/>
    <mergeCell ref="G366:H366"/>
    <mergeCell ref="C367:D367"/>
    <mergeCell ref="E367:F367"/>
    <mergeCell ref="C368:H368"/>
    <mergeCell ref="G363:H363"/>
    <mergeCell ref="C364:H364"/>
    <mergeCell ref="B365:B368"/>
    <mergeCell ref="C365:D365"/>
    <mergeCell ref="E365:F365"/>
    <mergeCell ref="I365:I368"/>
    <mergeCell ref="C379:H379"/>
    <mergeCell ref="C380:H380"/>
    <mergeCell ref="C381:H381"/>
    <mergeCell ref="B382:B383"/>
    <mergeCell ref="C382:J382"/>
    <mergeCell ref="C383:H383"/>
    <mergeCell ref="C373:H373"/>
    <mergeCell ref="B374:B375"/>
    <mergeCell ref="C374:J374"/>
    <mergeCell ref="C375:H375"/>
    <mergeCell ref="B376:B381"/>
    <mergeCell ref="C376:H376"/>
    <mergeCell ref="I376:I380"/>
    <mergeCell ref="J376:J380"/>
    <mergeCell ref="C377:H377"/>
    <mergeCell ref="C378:H378"/>
    <mergeCell ref="J370:J371"/>
    <mergeCell ref="C371:D371"/>
    <mergeCell ref="E371:F371"/>
    <mergeCell ref="G371:H371"/>
    <mergeCell ref="B372:B373"/>
    <mergeCell ref="C372:D372"/>
    <mergeCell ref="E372:F372"/>
    <mergeCell ref="G372:H372"/>
    <mergeCell ref="I372:I373"/>
    <mergeCell ref="J372:J373"/>
    <mergeCell ref="C398:D398"/>
    <mergeCell ref="E398:F398"/>
    <mergeCell ref="C399:H399"/>
    <mergeCell ref="C400:H400"/>
    <mergeCell ref="B401:B403"/>
    <mergeCell ref="C401:D401"/>
    <mergeCell ref="E401:F401"/>
    <mergeCell ref="G401:H401"/>
    <mergeCell ref="B392:J392"/>
    <mergeCell ref="B394:H394"/>
    <mergeCell ref="B395:J395"/>
    <mergeCell ref="B396:J396"/>
    <mergeCell ref="C397:D397"/>
    <mergeCell ref="E397:F397"/>
    <mergeCell ref="C384:H384"/>
    <mergeCell ref="B385:J385"/>
    <mergeCell ref="B387:H387"/>
    <mergeCell ref="B388:J388"/>
    <mergeCell ref="B389:B391"/>
    <mergeCell ref="C389:H389"/>
    <mergeCell ref="I389:I391"/>
    <mergeCell ref="J389:J391"/>
    <mergeCell ref="C390:H390"/>
    <mergeCell ref="C391:H391"/>
    <mergeCell ref="C410:D410"/>
    <mergeCell ref="E410:F410"/>
    <mergeCell ref="C411:H411"/>
    <mergeCell ref="C412:H412"/>
    <mergeCell ref="C413:H413"/>
    <mergeCell ref="C414:H414"/>
    <mergeCell ref="C404:H404"/>
    <mergeCell ref="C405:H405"/>
    <mergeCell ref="C406:H406"/>
    <mergeCell ref="B407:J407"/>
    <mergeCell ref="B408:B409"/>
    <mergeCell ref="C408:H408"/>
    <mergeCell ref="C409:H409"/>
    <mergeCell ref="I401:I403"/>
    <mergeCell ref="J401:J403"/>
    <mergeCell ref="C402:D402"/>
    <mergeCell ref="E402:F402"/>
    <mergeCell ref="G402:H402"/>
    <mergeCell ref="E403:F403"/>
    <mergeCell ref="G403:H403"/>
    <mergeCell ref="I423:I425"/>
    <mergeCell ref="J423:J425"/>
    <mergeCell ref="C424:D424"/>
    <mergeCell ref="E424:F424"/>
    <mergeCell ref="G424:H424"/>
    <mergeCell ref="C425:D425"/>
    <mergeCell ref="E425:F425"/>
    <mergeCell ref="G425:H425"/>
    <mergeCell ref="C420:H420"/>
    <mergeCell ref="C421:H421"/>
    <mergeCell ref="C422:H422"/>
    <mergeCell ref="B423:B425"/>
    <mergeCell ref="C423:D423"/>
    <mergeCell ref="E423:F423"/>
    <mergeCell ref="G423:H423"/>
    <mergeCell ref="C415:H415"/>
    <mergeCell ref="C416:H416"/>
    <mergeCell ref="B417:H417"/>
    <mergeCell ref="B418:J418"/>
    <mergeCell ref="C419:E419"/>
    <mergeCell ref="F419:H419"/>
    <mergeCell ref="I434:I436"/>
    <mergeCell ref="J434:J436"/>
    <mergeCell ref="C435:D435"/>
    <mergeCell ref="E435:F435"/>
    <mergeCell ref="G435:H435"/>
    <mergeCell ref="E436:F436"/>
    <mergeCell ref="G436:H436"/>
    <mergeCell ref="C433:D433"/>
    <mergeCell ref="E433:F433"/>
    <mergeCell ref="G433:H433"/>
    <mergeCell ref="B434:B436"/>
    <mergeCell ref="C434:D434"/>
    <mergeCell ref="E434:F434"/>
    <mergeCell ref="G434:H434"/>
    <mergeCell ref="C426:H426"/>
    <mergeCell ref="C427:H427"/>
    <mergeCell ref="C428:H428"/>
    <mergeCell ref="B430:H430"/>
    <mergeCell ref="B431:J431"/>
    <mergeCell ref="B432:J432"/>
    <mergeCell ref="C440:D440"/>
    <mergeCell ref="E440:F440"/>
    <mergeCell ref="G440:H440"/>
    <mergeCell ref="E441:F441"/>
    <mergeCell ref="G441:H441"/>
    <mergeCell ref="C442:D442"/>
    <mergeCell ref="E442:F442"/>
    <mergeCell ref="G442:H442"/>
    <mergeCell ref="B437:J437"/>
    <mergeCell ref="C438:D438"/>
    <mergeCell ref="E438:F438"/>
    <mergeCell ref="G438:H438"/>
    <mergeCell ref="B439:B442"/>
    <mergeCell ref="C439:D439"/>
    <mergeCell ref="E439:F439"/>
    <mergeCell ref="G439:H439"/>
    <mergeCell ref="I439:I442"/>
    <mergeCell ref="J439:J442"/>
    <mergeCell ref="B450:J450"/>
    <mergeCell ref="B452:H452"/>
    <mergeCell ref="B453:J453"/>
    <mergeCell ref="C454:H454"/>
    <mergeCell ref="B455:J455"/>
    <mergeCell ref="C457:H457"/>
    <mergeCell ref="J447:J449"/>
    <mergeCell ref="C448:D448"/>
    <mergeCell ref="E448:F448"/>
    <mergeCell ref="G448:H448"/>
    <mergeCell ref="C449:D449"/>
    <mergeCell ref="E449:F449"/>
    <mergeCell ref="G449:H449"/>
    <mergeCell ref="B443:J443"/>
    <mergeCell ref="B445:J445"/>
    <mergeCell ref="C446:D446"/>
    <mergeCell ref="E446:F446"/>
    <mergeCell ref="G446:H446"/>
    <mergeCell ref="B447:B449"/>
    <mergeCell ref="C447:D447"/>
    <mergeCell ref="E447:F447"/>
    <mergeCell ref="G447:H447"/>
    <mergeCell ref="I447:I449"/>
    <mergeCell ref="B470:J470"/>
    <mergeCell ref="C471:H471"/>
    <mergeCell ref="C472:H472"/>
    <mergeCell ref="B473:J473"/>
    <mergeCell ref="B474:B480"/>
    <mergeCell ref="C474:H474"/>
    <mergeCell ref="C475:H475"/>
    <mergeCell ref="C476:H476"/>
    <mergeCell ref="C477:H477"/>
    <mergeCell ref="C478:H478"/>
    <mergeCell ref="C464:H464"/>
    <mergeCell ref="C465:H465"/>
    <mergeCell ref="B466:J466"/>
    <mergeCell ref="C467:H467"/>
    <mergeCell ref="C468:H468"/>
    <mergeCell ref="C469:H469"/>
    <mergeCell ref="C458:H458"/>
    <mergeCell ref="B459:J459"/>
    <mergeCell ref="C460:H460"/>
    <mergeCell ref="C461:H461"/>
    <mergeCell ref="B462:J462"/>
    <mergeCell ref="C463:H463"/>
    <mergeCell ref="B490:B491"/>
    <mergeCell ref="C490:H490"/>
    <mergeCell ref="C491:H491"/>
    <mergeCell ref="B492:J492"/>
    <mergeCell ref="B494:H494"/>
    <mergeCell ref="B495:J495"/>
    <mergeCell ref="B484:J484"/>
    <mergeCell ref="B485:B489"/>
    <mergeCell ref="C485:H485"/>
    <mergeCell ref="C486:H486"/>
    <mergeCell ref="C487:H487"/>
    <mergeCell ref="C488:H488"/>
    <mergeCell ref="C489:H489"/>
    <mergeCell ref="C479:H479"/>
    <mergeCell ref="C480:H480"/>
    <mergeCell ref="B481:B483"/>
    <mergeCell ref="C481:H481"/>
    <mergeCell ref="C482:H482"/>
    <mergeCell ref="C483:H483"/>
    <mergeCell ref="G502:H502"/>
    <mergeCell ref="C503:D503"/>
    <mergeCell ref="E503:F503"/>
    <mergeCell ref="G503:H503"/>
    <mergeCell ref="V503:V504"/>
    <mergeCell ref="C504:D504"/>
    <mergeCell ref="E504:F504"/>
    <mergeCell ref="G504:H504"/>
    <mergeCell ref="C496:H496"/>
    <mergeCell ref="C497:H497"/>
    <mergeCell ref="B499:H499"/>
    <mergeCell ref="B500:J500"/>
    <mergeCell ref="B501:B506"/>
    <mergeCell ref="G501:H501"/>
    <mergeCell ref="I501:I506"/>
    <mergeCell ref="J501:J506"/>
    <mergeCell ref="C502:D502"/>
    <mergeCell ref="E502:F502"/>
    <mergeCell ref="C514:D514"/>
    <mergeCell ref="E514:F514"/>
    <mergeCell ref="B515:B517"/>
    <mergeCell ref="C515:D515"/>
    <mergeCell ref="E515:F515"/>
    <mergeCell ref="G515:H515"/>
    <mergeCell ref="B511:J511"/>
    <mergeCell ref="B512:B514"/>
    <mergeCell ref="C512:D512"/>
    <mergeCell ref="E512:F512"/>
    <mergeCell ref="G512:H512"/>
    <mergeCell ref="I512:I514"/>
    <mergeCell ref="J512:J514"/>
    <mergeCell ref="C513:D513"/>
    <mergeCell ref="E513:F513"/>
    <mergeCell ref="G513:H513"/>
    <mergeCell ref="C505:D505"/>
    <mergeCell ref="G505:H505"/>
    <mergeCell ref="C506:D506"/>
    <mergeCell ref="C507:H507"/>
    <mergeCell ref="B509:H509"/>
    <mergeCell ref="B510:J510"/>
    <mergeCell ref="B518:J518"/>
    <mergeCell ref="B519:J519"/>
    <mergeCell ref="C520:D520"/>
    <mergeCell ref="E520:F520"/>
    <mergeCell ref="G520:H520"/>
    <mergeCell ref="B521:B522"/>
    <mergeCell ref="C521:D521"/>
    <mergeCell ref="E521:F521"/>
    <mergeCell ref="G521:H521"/>
    <mergeCell ref="I521:I522"/>
    <mergeCell ref="I515:I517"/>
    <mergeCell ref="J515:J517"/>
    <mergeCell ref="C516:D516"/>
    <mergeCell ref="E516:F516"/>
    <mergeCell ref="G516:H516"/>
    <mergeCell ref="C517:D517"/>
    <mergeCell ref="E517:F517"/>
    <mergeCell ref="G517:H517"/>
    <mergeCell ref="C530:D530"/>
    <mergeCell ref="C531:H531"/>
    <mergeCell ref="B532:J532"/>
    <mergeCell ref="C533:D533"/>
    <mergeCell ref="E533:F533"/>
    <mergeCell ref="G533:H533"/>
    <mergeCell ref="B527:J527"/>
    <mergeCell ref="C528:D528"/>
    <mergeCell ref="E528:F528"/>
    <mergeCell ref="G528:H528"/>
    <mergeCell ref="B529:B530"/>
    <mergeCell ref="C529:D529"/>
    <mergeCell ref="E529:F529"/>
    <mergeCell ref="G529:H529"/>
    <mergeCell ref="I529:I530"/>
    <mergeCell ref="J529:J530"/>
    <mergeCell ref="J521:J522"/>
    <mergeCell ref="C522:D522"/>
    <mergeCell ref="C523:H523"/>
    <mergeCell ref="C524:H524"/>
    <mergeCell ref="C525:H525"/>
    <mergeCell ref="C526:H526"/>
    <mergeCell ref="C536:H536"/>
    <mergeCell ref="B538:H538"/>
    <mergeCell ref="B539:J539"/>
    <mergeCell ref="C540:H540"/>
    <mergeCell ref="B542:H542"/>
    <mergeCell ref="B543:B544"/>
    <mergeCell ref="C543:H543"/>
    <mergeCell ref="I543:I544"/>
    <mergeCell ref="J543:J544"/>
    <mergeCell ref="C544:H544"/>
    <mergeCell ref="B534:B535"/>
    <mergeCell ref="C534:D534"/>
    <mergeCell ref="E534:F534"/>
    <mergeCell ref="G534:H534"/>
    <mergeCell ref="I534:I535"/>
    <mergeCell ref="J534:J535"/>
    <mergeCell ref="C535:D535"/>
    <mergeCell ref="B564:H564"/>
    <mergeCell ref="C565:H565"/>
    <mergeCell ref="B567:J567"/>
    <mergeCell ref="B568:J568"/>
    <mergeCell ref="B570:H570"/>
    <mergeCell ref="I570:J570"/>
    <mergeCell ref="B555:J555"/>
    <mergeCell ref="B556:J556"/>
    <mergeCell ref="B558:H558"/>
    <mergeCell ref="B559:J559"/>
    <mergeCell ref="B560:B562"/>
    <mergeCell ref="C560:J560"/>
    <mergeCell ref="C561:H561"/>
    <mergeCell ref="C562:H562"/>
    <mergeCell ref="B546:H546"/>
    <mergeCell ref="C547:H547"/>
    <mergeCell ref="B549:J549"/>
    <mergeCell ref="B550:J550"/>
    <mergeCell ref="B552:J552"/>
    <mergeCell ref="B553:J553"/>
    <mergeCell ref="B584:H584"/>
    <mergeCell ref="B585:J585"/>
    <mergeCell ref="B586:B588"/>
    <mergeCell ref="C586:H586"/>
    <mergeCell ref="I586:I588"/>
    <mergeCell ref="J586:J588"/>
    <mergeCell ref="C587:D587"/>
    <mergeCell ref="E587:F587"/>
    <mergeCell ref="G587:H587"/>
    <mergeCell ref="C588:D588"/>
    <mergeCell ref="B576:H576"/>
    <mergeCell ref="B577:J577"/>
    <mergeCell ref="C578:H578"/>
    <mergeCell ref="B580:H580"/>
    <mergeCell ref="B581:J581"/>
    <mergeCell ref="C582:H582"/>
    <mergeCell ref="B571:H571"/>
    <mergeCell ref="I571:J571"/>
    <mergeCell ref="B573:H573"/>
    <mergeCell ref="I573:J573"/>
    <mergeCell ref="B574:H574"/>
    <mergeCell ref="I574:J574"/>
    <mergeCell ref="C602:H602"/>
    <mergeCell ref="I602:J602"/>
    <mergeCell ref="C603:H603"/>
    <mergeCell ref="I603:J603"/>
    <mergeCell ref="C604:H604"/>
    <mergeCell ref="I604:J604"/>
    <mergeCell ref="C605:H605"/>
    <mergeCell ref="I605:J605"/>
    <mergeCell ref="C606:H606"/>
    <mergeCell ref="C595:H595"/>
    <mergeCell ref="B597:H597"/>
    <mergeCell ref="B598:J598"/>
    <mergeCell ref="C599:H599"/>
    <mergeCell ref="B601:H601"/>
    <mergeCell ref="I601:J601"/>
    <mergeCell ref="E588:F588"/>
    <mergeCell ref="G588:H588"/>
    <mergeCell ref="B590:H590"/>
    <mergeCell ref="B591:H591"/>
    <mergeCell ref="B593:H593"/>
    <mergeCell ref="B594:J594"/>
    <mergeCell ref="B623:J623"/>
    <mergeCell ref="B625:H625"/>
    <mergeCell ref="C627:H627"/>
    <mergeCell ref="B629:H629"/>
    <mergeCell ref="B630:H630"/>
    <mergeCell ref="B632:J632"/>
    <mergeCell ref="B616:J616"/>
    <mergeCell ref="B618:H618"/>
    <mergeCell ref="B619:J619"/>
    <mergeCell ref="C620:H620"/>
    <mergeCell ref="B621:J621"/>
    <mergeCell ref="C622:H622"/>
    <mergeCell ref="C613:H613"/>
    <mergeCell ref="I613:J613"/>
    <mergeCell ref="C614:H614"/>
    <mergeCell ref="I614:J614"/>
    <mergeCell ref="C615:H615"/>
    <mergeCell ref="I615:J615"/>
    <mergeCell ref="B604:B615"/>
    <mergeCell ref="C610:H610"/>
    <mergeCell ref="I610:J610"/>
    <mergeCell ref="C611:H611"/>
    <mergeCell ref="I611:J611"/>
    <mergeCell ref="C612:H612"/>
    <mergeCell ref="I612:J612"/>
    <mergeCell ref="I606:J606"/>
    <mergeCell ref="C607:H607"/>
    <mergeCell ref="I607:J607"/>
    <mergeCell ref="C608:H608"/>
    <mergeCell ref="I608:J608"/>
    <mergeCell ref="C609:H609"/>
    <mergeCell ref="I609:J609"/>
    <mergeCell ref="B648:D648"/>
    <mergeCell ref="E648:F648"/>
    <mergeCell ref="H648:J648"/>
    <mergeCell ref="E649:F649"/>
    <mergeCell ref="H649:J649"/>
    <mergeCell ref="E650:F650"/>
    <mergeCell ref="B642:D642"/>
    <mergeCell ref="E642:F642"/>
    <mergeCell ref="I642:J642"/>
    <mergeCell ref="B644:J644"/>
    <mergeCell ref="B646:J646"/>
    <mergeCell ref="B647:J647"/>
    <mergeCell ref="B634:J634"/>
    <mergeCell ref="B636:J636"/>
    <mergeCell ref="B638:J638"/>
    <mergeCell ref="B640:D640"/>
    <mergeCell ref="E640:F641"/>
    <mergeCell ref="B641:D641"/>
    <mergeCell ref="G641:H641"/>
    <mergeCell ref="I641:J641"/>
    <mergeCell ref="B667:J667"/>
    <mergeCell ref="B669:J669"/>
    <mergeCell ref="B670:J670"/>
    <mergeCell ref="B672:J672"/>
    <mergeCell ref="B674:J674"/>
    <mergeCell ref="B676:J676"/>
    <mergeCell ref="B659:J659"/>
    <mergeCell ref="B660:J660"/>
    <mergeCell ref="B661:J661"/>
    <mergeCell ref="B662:J662"/>
    <mergeCell ref="B663:J663"/>
    <mergeCell ref="B665:J665"/>
    <mergeCell ref="B651:D651"/>
    <mergeCell ref="E651:F651"/>
    <mergeCell ref="B652:D652"/>
    <mergeCell ref="E652:F652"/>
    <mergeCell ref="B654:J654"/>
    <mergeCell ref="D657:J657"/>
  </mergeCells>
  <conditionalFormatting sqref="J6 E4:J5 E6:F6 I18:J19">
    <cfRule type="containsBlanks" dxfId="5" priority="2" stopIfTrue="1">
      <formula>LEN(TRIM(E4))=0</formula>
    </cfRule>
  </conditionalFormatting>
  <conditionalFormatting sqref="E642:F642">
    <cfRule type="containsBlanks" dxfId="4" priority="1" stopIfTrue="1">
      <formula>LEN(TRIM(E642))=0</formula>
    </cfRule>
  </conditionalFormatting>
  <dataValidations count="7">
    <dataValidation allowBlank="1" showInputMessage="1" showErrorMessage="1" prompt="Verificar Aportes" sqref="E642:F642"/>
    <dataValidation errorStyle="warning" allowBlank="1" showInputMessage="1" showErrorMessage="1" errorTitle="Verificar Grupal o Etario" error="Verificar Grupal o Etario" prompt="Verificar Grupal o Etario" sqref="B642:D642"/>
    <dataValidation allowBlank="1" showInputMessage="1" showErrorMessage="1" prompt="Verificar tipo de Plan" sqref="B638:J638"/>
    <dataValidation allowBlank="1" showInputMessage="1" showErrorMessage="1" prompt="Verificar Siniestralidad objetivo" sqref="B649:J652"/>
    <dataValidation allowBlank="1" showInputMessage="1" showErrorMessage="1" prompt="Verificar BMA" sqref="I18:J19"/>
    <dataValidation allowBlank="1" showInputMessage="1" showErrorMessage="1" prompt="Ingresar El tipo de  Plan: Hijastros, Padres, etc." sqref="B3:J3 B8:J9"/>
    <dataValidation allowBlank="1" showInputMessage="1" showErrorMessage="1" prompt="Ingresar Datos De FTPS" sqref="E4:E6 F6:J6"/>
  </dataValidations>
  <printOptions horizontalCentered="1"/>
  <pageMargins left="0.39370078740157483" right="0.39370078740157483" top="1.7716535433070868" bottom="0.98425196850393704" header="0" footer="0"/>
  <pageSetup paperSize="9" scale="73" fitToHeight="0" orientation="portrait" horizontalDpi="300" verticalDpi="300" r:id="rId1"/>
  <headerFooter alignWithMargins="0">
    <oddFooter>Página &amp;P de &amp;N</oddFooter>
  </headerFooter>
  <rowBreaks count="33" manualBreakCount="33">
    <brk id="29" min="1" max="14" man="1"/>
    <brk id="52" min="1" max="14" man="1"/>
    <brk id="77" min="1" max="14" man="1"/>
    <brk id="84" min="1" max="14" man="1"/>
    <brk id="100" min="1" max="14" man="1"/>
    <brk id="114" min="1" max="14" man="1"/>
    <brk id="128" min="1" max="14" man="1"/>
    <brk id="152" min="1" max="14" man="1"/>
    <brk id="173" min="1" max="14" man="1"/>
    <brk id="194" min="1" max="14" man="1"/>
    <brk id="219" min="1" max="14" man="1"/>
    <brk id="238" min="1" max="14" man="1"/>
    <brk id="258" min="1" max="14" man="1"/>
    <brk id="276" min="1" max="14" man="1"/>
    <brk id="297" min="1" max="14" man="1"/>
    <brk id="315" min="1" max="14" man="1"/>
    <brk id="322" min="1" max="14" man="1"/>
    <brk id="345" min="1" max="14" man="1"/>
    <brk id="369" min="1" max="14" man="1"/>
    <brk id="386" min="1" max="14" man="1"/>
    <brk id="410" min="1" max="14" man="1"/>
    <brk id="436" min="1" max="14" man="1"/>
    <brk id="465" min="1" max="14" man="1"/>
    <brk id="492" min="1" max="14" man="1"/>
    <brk id="517" min="1" max="14" man="1"/>
    <brk id="537" min="1" max="14" man="1"/>
    <brk id="548" min="1" max="14" man="1"/>
    <brk id="565" min="1" max="14" man="1"/>
    <brk id="583" min="1" max="14" man="1"/>
    <brk id="600" min="1" max="14" man="1"/>
    <brk id="618" min="1" max="14" man="1"/>
    <brk id="631" min="1" max="14" man="1"/>
    <brk id="654" min="1" max="14" man="1"/>
  </row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rgb="FFFF0000"/>
  </sheetPr>
  <dimension ref="A1:AF672"/>
  <sheetViews>
    <sheetView showGridLines="0" view="pageBreakPreview" topLeftCell="B115" zoomScale="70" zoomScaleNormal="66" zoomScaleSheetLayoutView="70" workbookViewId="0">
      <selection activeCell="B126" sqref="B126:H126"/>
    </sheetView>
  </sheetViews>
  <sheetFormatPr baseColWidth="10" defaultColWidth="16.140625" defaultRowHeight="12.75" x14ac:dyDescent="0.2"/>
  <cols>
    <col min="1" max="1" width="16.7109375" style="66" hidden="1" customWidth="1"/>
    <col min="2" max="2" width="20.7109375" style="148" customWidth="1"/>
    <col min="3" max="5" width="14.28515625" style="148" customWidth="1"/>
    <col min="6" max="6" width="16.140625" style="148" customWidth="1"/>
    <col min="7" max="8" width="14.28515625" style="148" customWidth="1"/>
    <col min="9" max="9" width="11.7109375" style="555" customWidth="1"/>
    <col min="10" max="10" width="11.7109375" style="234" customWidth="1"/>
    <col min="11" max="11" width="26.7109375" style="148" hidden="1" customWidth="1"/>
    <col min="12" max="12" width="16.140625" style="547" hidden="1" customWidth="1"/>
    <col min="13" max="13" width="16.140625" style="68" hidden="1" customWidth="1"/>
    <col min="14" max="14" width="16.140625" style="67" hidden="1" customWidth="1"/>
    <col min="15" max="15" width="16.140625" style="547" hidden="1" customWidth="1"/>
    <col min="16" max="16" width="16.140625" style="66" hidden="1" customWidth="1"/>
    <col min="17" max="17" width="16.140625" style="45" customWidth="1"/>
    <col min="18" max="16384" width="16.140625" style="45"/>
  </cols>
  <sheetData>
    <row r="1" spans="1:32" s="67" customFormat="1" ht="18.75" customHeight="1" x14ac:dyDescent="0.2">
      <c r="A1" s="66"/>
      <c r="B1" s="2004" t="s">
        <v>872</v>
      </c>
      <c r="C1" s="2004"/>
      <c r="D1" s="2004"/>
      <c r="E1" s="2004"/>
      <c r="F1" s="2004"/>
      <c r="G1" s="2004"/>
      <c r="H1" s="2004"/>
      <c r="I1" s="2004"/>
      <c r="J1" s="2004"/>
      <c r="K1" s="148"/>
      <c r="L1" s="547"/>
      <c r="M1" s="68"/>
      <c r="O1" s="547"/>
      <c r="P1" s="66"/>
      <c r="Q1" s="45"/>
      <c r="R1" s="45"/>
      <c r="S1" s="45"/>
      <c r="T1" s="45"/>
      <c r="U1" s="45"/>
      <c r="V1" s="45"/>
      <c r="W1" s="45"/>
      <c r="X1" s="45"/>
      <c r="Y1" s="45"/>
      <c r="Z1" s="45"/>
      <c r="AA1" s="45"/>
      <c r="AB1" s="45"/>
      <c r="AC1" s="45"/>
      <c r="AD1" s="45"/>
      <c r="AE1" s="45"/>
      <c r="AF1" s="45"/>
    </row>
    <row r="2" spans="1:32" s="67" customFormat="1" ht="20.100000000000001" customHeight="1" x14ac:dyDescent="0.2">
      <c r="A2" s="66"/>
      <c r="B2" s="2059"/>
      <c r="C2" s="2059"/>
      <c r="D2" s="2059"/>
      <c r="E2" s="2059"/>
      <c r="F2" s="2059"/>
      <c r="G2" s="2059"/>
      <c r="H2" s="2059"/>
      <c r="I2" s="2059"/>
      <c r="J2" s="2059"/>
      <c r="K2" s="549"/>
      <c r="L2" s="547"/>
      <c r="M2" s="550"/>
      <c r="O2" s="547"/>
      <c r="P2" s="66"/>
      <c r="Q2" s="45"/>
      <c r="R2" s="45"/>
      <c r="S2" s="45"/>
      <c r="T2" s="45"/>
      <c r="U2" s="45"/>
      <c r="V2" s="45"/>
      <c r="W2" s="45"/>
      <c r="X2" s="45"/>
      <c r="Y2" s="45"/>
      <c r="Z2" s="45"/>
      <c r="AA2" s="45"/>
      <c r="AB2" s="45"/>
      <c r="AC2" s="45"/>
      <c r="AD2" s="45"/>
      <c r="AE2" s="45"/>
      <c r="AF2" s="45"/>
    </row>
    <row r="3" spans="1:32" s="67" customFormat="1" ht="18.75" customHeight="1" x14ac:dyDescent="0.2">
      <c r="A3" s="66"/>
      <c r="B3" s="1998" t="s">
        <v>2</v>
      </c>
      <c r="C3" s="1998"/>
      <c r="D3" s="1998"/>
      <c r="E3" s="2000" t="str">
        <f>'[2]Datos REG y HIJOS'!$K$27</f>
        <v>UNIVERSIDAD PERUANA DE CIENCIAS APLICADAS</v>
      </c>
      <c r="F3" s="2000"/>
      <c r="G3" s="2000"/>
      <c r="H3" s="2000"/>
      <c r="I3" s="2000"/>
      <c r="J3" s="2000"/>
      <c r="K3" s="551"/>
      <c r="L3" s="547"/>
      <c r="M3" s="550"/>
      <c r="O3" s="547"/>
      <c r="P3" s="66"/>
      <c r="Q3" s="45"/>
      <c r="R3" s="45"/>
      <c r="S3" s="45"/>
      <c r="T3" s="45"/>
      <c r="U3" s="45"/>
      <c r="V3" s="45"/>
      <c r="W3" s="45"/>
      <c r="X3" s="45"/>
      <c r="Y3" s="45"/>
      <c r="Z3" s="45"/>
      <c r="AA3" s="45"/>
      <c r="AB3" s="45"/>
      <c r="AC3" s="45"/>
      <c r="AD3" s="45"/>
      <c r="AE3" s="45"/>
      <c r="AF3" s="45"/>
    </row>
    <row r="4" spans="1:32" s="67" customFormat="1" ht="30.75" customHeight="1" x14ac:dyDescent="0.2">
      <c r="A4" s="66"/>
      <c r="B4" s="1998" t="s">
        <v>3</v>
      </c>
      <c r="C4" s="1998"/>
      <c r="D4" s="1998"/>
      <c r="E4" s="2006" t="str">
        <f>'[2]Datos REG y HIJOS'!$K$28</f>
        <v>AV. EL DERBY 254 - SANTIAGO DE SURCO</v>
      </c>
      <c r="F4" s="2000"/>
      <c r="G4" s="2000"/>
      <c r="H4" s="2000"/>
      <c r="I4" s="2000"/>
      <c r="J4" s="2000"/>
      <c r="K4" s="551"/>
      <c r="L4" s="547"/>
      <c r="M4" s="550"/>
      <c r="O4" s="547"/>
      <c r="P4" s="66"/>
      <c r="Q4" s="45"/>
      <c r="R4" s="45"/>
      <c r="S4" s="45"/>
      <c r="T4" s="45"/>
      <c r="U4" s="45"/>
      <c r="V4" s="45"/>
      <c r="W4" s="45"/>
      <c r="X4" s="45"/>
      <c r="Y4" s="45"/>
      <c r="Z4" s="45"/>
      <c r="AA4" s="45"/>
      <c r="AB4" s="45"/>
      <c r="AC4" s="45"/>
      <c r="AD4" s="45"/>
      <c r="AE4" s="45"/>
      <c r="AF4" s="45"/>
    </row>
    <row r="5" spans="1:32" s="67" customFormat="1" ht="18.75" customHeight="1" x14ac:dyDescent="0.2">
      <c r="A5" s="66"/>
      <c r="B5" s="1998" t="s">
        <v>4</v>
      </c>
      <c r="C5" s="1998"/>
      <c r="D5" s="1998"/>
      <c r="E5" s="1999">
        <f>'[2]Datos REG y HIJOS'!$K$29</f>
        <v>43922</v>
      </c>
      <c r="F5" s="2000"/>
      <c r="G5" s="552"/>
      <c r="H5" s="2001" t="s">
        <v>5</v>
      </c>
      <c r="I5" s="2001"/>
      <c r="J5" s="9">
        <f>'[2]Datos REG y HIJOS'!$K$30</f>
        <v>231002</v>
      </c>
      <c r="K5" s="148"/>
      <c r="L5" s="547"/>
      <c r="M5" s="68"/>
      <c r="O5" s="547"/>
      <c r="P5" s="66"/>
      <c r="Q5" s="45"/>
      <c r="R5" s="45"/>
      <c r="S5" s="45"/>
      <c r="T5" s="45"/>
      <c r="U5" s="45"/>
      <c r="V5" s="45"/>
      <c r="W5" s="45"/>
      <c r="X5" s="45"/>
      <c r="Y5" s="45"/>
      <c r="Z5" s="45"/>
      <c r="AA5" s="45"/>
      <c r="AB5" s="45"/>
      <c r="AC5" s="45"/>
      <c r="AD5" s="45"/>
      <c r="AE5" s="45"/>
      <c r="AF5" s="45"/>
    </row>
    <row r="6" spans="1:32" s="67" customFormat="1" ht="20.100000000000001" customHeight="1" x14ac:dyDescent="0.2">
      <c r="A6" s="66"/>
      <c r="B6" s="1998"/>
      <c r="C6" s="1998"/>
      <c r="D6" s="1998"/>
      <c r="E6" s="2002"/>
      <c r="F6" s="2002"/>
      <c r="G6" s="554"/>
      <c r="H6" s="148"/>
      <c r="I6" s="555"/>
      <c r="J6" s="9"/>
      <c r="K6" s="148"/>
      <c r="L6" s="547"/>
      <c r="M6" s="68"/>
      <c r="O6" s="547"/>
      <c r="P6" s="66"/>
      <c r="Q6" s="45"/>
      <c r="R6" s="45"/>
      <c r="S6" s="45"/>
      <c r="T6" s="45"/>
      <c r="U6" s="45"/>
      <c r="V6" s="45"/>
      <c r="W6" s="45"/>
      <c r="X6" s="45"/>
      <c r="Y6" s="45"/>
      <c r="Z6" s="45"/>
      <c r="AA6" s="45"/>
      <c r="AB6" s="45"/>
      <c r="AC6" s="45"/>
      <c r="AD6" s="45"/>
      <c r="AE6" s="45"/>
      <c r="AF6" s="45"/>
    </row>
    <row r="7" spans="1:32" s="67" customFormat="1" ht="14.25" customHeight="1" x14ac:dyDescent="0.2">
      <c r="A7" s="66"/>
      <c r="B7" s="2005" t="s">
        <v>900</v>
      </c>
      <c r="C7" s="2005"/>
      <c r="D7" s="2005"/>
      <c r="E7" s="2005"/>
      <c r="F7" s="2005"/>
      <c r="G7" s="2005"/>
      <c r="H7" s="2005"/>
      <c r="I7" s="2005"/>
      <c r="J7" s="2005"/>
      <c r="K7" s="557"/>
      <c r="L7" s="547"/>
      <c r="M7" s="558"/>
      <c r="O7" s="547"/>
      <c r="P7" s="66"/>
      <c r="Q7" s="45"/>
      <c r="R7" s="45"/>
      <c r="S7" s="45"/>
      <c r="T7" s="45"/>
      <c r="U7" s="45"/>
      <c r="V7" s="45"/>
      <c r="W7" s="45"/>
      <c r="X7" s="45"/>
      <c r="Y7" s="45"/>
      <c r="Z7" s="45"/>
      <c r="AA7" s="45"/>
      <c r="AB7" s="45"/>
      <c r="AC7" s="45"/>
      <c r="AD7" s="45"/>
      <c r="AE7" s="45"/>
      <c r="AF7" s="45"/>
    </row>
    <row r="8" spans="1:32" s="67" customFormat="1" ht="20.100000000000001" customHeight="1" x14ac:dyDescent="0.2">
      <c r="A8" s="66"/>
      <c r="B8" s="799"/>
      <c r="C8" s="799"/>
      <c r="D8" s="799"/>
      <c r="E8" s="799"/>
      <c r="F8" s="799"/>
      <c r="G8" s="799"/>
      <c r="H8" s="799"/>
      <c r="I8" s="799"/>
      <c r="J8" s="15"/>
      <c r="K8" s="557"/>
      <c r="L8" s="547"/>
      <c r="M8" s="558"/>
      <c r="O8" s="547"/>
      <c r="P8" s="66"/>
      <c r="Q8" s="45"/>
      <c r="R8" s="45"/>
      <c r="S8" s="45"/>
      <c r="T8" s="45"/>
      <c r="U8" s="45"/>
      <c r="V8" s="45"/>
      <c r="W8" s="45"/>
      <c r="X8" s="45"/>
      <c r="Y8" s="45"/>
      <c r="Z8" s="45"/>
      <c r="AA8" s="45"/>
      <c r="AB8" s="45"/>
      <c r="AC8" s="45"/>
      <c r="AD8" s="45"/>
      <c r="AE8" s="45"/>
      <c r="AF8" s="45"/>
    </row>
    <row r="9" spans="1:32" s="67" customFormat="1" ht="30" customHeight="1" x14ac:dyDescent="0.2">
      <c r="A9" s="66"/>
      <c r="B9" s="1623" t="s">
        <v>7</v>
      </c>
      <c r="C9" s="1624"/>
      <c r="D9" s="1624"/>
      <c r="E9" s="1624"/>
      <c r="F9" s="1624"/>
      <c r="G9" s="1624"/>
      <c r="H9" s="1624"/>
      <c r="I9" s="1624"/>
      <c r="J9" s="1625"/>
      <c r="K9" s="148"/>
      <c r="L9" s="547"/>
      <c r="M9" s="68"/>
      <c r="O9" s="547"/>
      <c r="P9" s="66"/>
      <c r="Q9" s="45"/>
      <c r="R9" s="45"/>
      <c r="S9" s="45"/>
      <c r="T9" s="45"/>
      <c r="U9" s="45"/>
      <c r="V9" s="45"/>
      <c r="W9" s="45"/>
      <c r="X9" s="45"/>
      <c r="Y9" s="45"/>
      <c r="Z9" s="45"/>
      <c r="AA9" s="45"/>
      <c r="AB9" s="45"/>
      <c r="AC9" s="45"/>
      <c r="AD9" s="45"/>
      <c r="AE9" s="45"/>
      <c r="AF9" s="45"/>
    </row>
    <row r="10" spans="1:32" s="67" customFormat="1" ht="51.75" customHeight="1" x14ac:dyDescent="0.2">
      <c r="A10" s="66"/>
      <c r="B10" s="1995" t="s">
        <v>811</v>
      </c>
      <c r="C10" s="1996"/>
      <c r="D10" s="1996"/>
      <c r="E10" s="1996"/>
      <c r="F10" s="1996"/>
      <c r="G10" s="1996"/>
      <c r="H10" s="1996"/>
      <c r="I10" s="1996"/>
      <c r="J10" s="1997"/>
      <c r="K10" s="148"/>
      <c r="L10" s="547"/>
      <c r="M10" s="68"/>
      <c r="O10" s="547"/>
      <c r="P10" s="66"/>
      <c r="Q10" s="45"/>
      <c r="R10" s="45"/>
      <c r="S10" s="45"/>
      <c r="T10" s="45"/>
      <c r="U10" s="45"/>
      <c r="V10" s="45"/>
      <c r="W10" s="45"/>
      <c r="X10" s="45"/>
      <c r="Y10" s="45"/>
      <c r="Z10" s="45"/>
      <c r="AA10" s="45"/>
      <c r="AB10" s="45"/>
      <c r="AC10" s="45"/>
      <c r="AD10" s="45"/>
      <c r="AE10" s="45"/>
      <c r="AF10" s="45"/>
    </row>
    <row r="11" spans="1:32" s="67" customFormat="1" ht="20.100000000000001" customHeight="1" x14ac:dyDescent="0.2">
      <c r="A11" s="66"/>
      <c r="B11" s="559"/>
      <c r="C11" s="559"/>
      <c r="D11" s="559"/>
      <c r="E11" s="559"/>
      <c r="F11" s="559"/>
      <c r="G11" s="559"/>
      <c r="H11" s="559"/>
      <c r="I11" s="559"/>
      <c r="J11" s="17"/>
      <c r="K11" s="148"/>
      <c r="L11" s="547"/>
      <c r="M11" s="68"/>
      <c r="O11" s="547"/>
      <c r="P11" s="66"/>
      <c r="Q11" s="45"/>
      <c r="R11" s="45"/>
      <c r="S11" s="45"/>
      <c r="T11" s="45"/>
      <c r="U11" s="45"/>
      <c r="V11" s="45"/>
      <c r="W11" s="45"/>
      <c r="X11" s="45"/>
      <c r="Y11" s="45"/>
      <c r="Z11" s="45"/>
      <c r="AA11" s="45"/>
      <c r="AB11" s="45"/>
      <c r="AC11" s="45"/>
      <c r="AD11" s="45"/>
      <c r="AE11" s="45"/>
      <c r="AF11" s="45"/>
    </row>
    <row r="12" spans="1:32" s="67" customFormat="1" ht="30" customHeight="1" x14ac:dyDescent="0.2">
      <c r="A12" s="66"/>
      <c r="B12" s="1623" t="s">
        <v>812</v>
      </c>
      <c r="C12" s="1624"/>
      <c r="D12" s="1624"/>
      <c r="E12" s="1624"/>
      <c r="F12" s="1624"/>
      <c r="G12" s="1624"/>
      <c r="H12" s="1624"/>
      <c r="I12" s="1624"/>
      <c r="J12" s="1625"/>
      <c r="K12" s="148"/>
      <c r="L12" s="547"/>
      <c r="M12" s="68"/>
      <c r="O12" s="547"/>
      <c r="P12" s="66"/>
      <c r="Q12" s="45"/>
      <c r="R12" s="45"/>
      <c r="S12" s="45"/>
      <c r="T12" s="45"/>
      <c r="U12" s="45"/>
      <c r="V12" s="45"/>
      <c r="W12" s="45"/>
      <c r="X12" s="45"/>
      <c r="Y12" s="45"/>
      <c r="Z12" s="45"/>
      <c r="AA12" s="45"/>
      <c r="AB12" s="45"/>
      <c r="AC12" s="45"/>
      <c r="AD12" s="45"/>
      <c r="AE12" s="45"/>
      <c r="AF12" s="45"/>
    </row>
    <row r="13" spans="1:32" s="67" customFormat="1" ht="43.5" customHeight="1" x14ac:dyDescent="0.2">
      <c r="A13" s="66"/>
      <c r="B13" s="1995" t="s">
        <v>813</v>
      </c>
      <c r="C13" s="1996"/>
      <c r="D13" s="1996"/>
      <c r="E13" s="1996"/>
      <c r="F13" s="1996"/>
      <c r="G13" s="1996"/>
      <c r="H13" s="1996"/>
      <c r="I13" s="1996"/>
      <c r="J13" s="1997"/>
      <c r="K13" s="148"/>
      <c r="L13" s="547"/>
      <c r="M13" s="68"/>
      <c r="O13" s="547"/>
      <c r="P13" s="66"/>
      <c r="Q13" s="45"/>
      <c r="R13" s="45"/>
      <c r="S13" s="45"/>
      <c r="T13" s="45"/>
      <c r="U13" s="45"/>
      <c r="V13" s="45"/>
      <c r="W13" s="45"/>
      <c r="X13" s="45"/>
      <c r="Y13" s="45"/>
      <c r="Z13" s="45"/>
      <c r="AA13" s="45"/>
      <c r="AB13" s="45"/>
      <c r="AC13" s="45"/>
      <c r="AD13" s="45"/>
      <c r="AE13" s="45"/>
      <c r="AF13" s="45"/>
    </row>
    <row r="14" spans="1:32" s="67" customFormat="1" ht="20.100000000000001" customHeight="1" x14ac:dyDescent="0.2">
      <c r="A14" s="66"/>
      <c r="B14" s="559"/>
      <c r="C14" s="559"/>
      <c r="D14" s="559"/>
      <c r="E14" s="559"/>
      <c r="F14" s="559"/>
      <c r="G14" s="559"/>
      <c r="H14" s="559"/>
      <c r="I14" s="559"/>
      <c r="J14" s="17"/>
      <c r="K14" s="148"/>
      <c r="L14" s="547"/>
      <c r="M14" s="68"/>
      <c r="O14" s="547"/>
      <c r="P14" s="66"/>
      <c r="Q14" s="45"/>
      <c r="R14" s="45"/>
      <c r="S14" s="45"/>
      <c r="T14" s="45"/>
      <c r="U14" s="45"/>
      <c r="V14" s="45"/>
      <c r="W14" s="45"/>
      <c r="X14" s="45"/>
      <c r="Y14" s="45"/>
      <c r="Z14" s="45"/>
      <c r="AA14" s="45"/>
      <c r="AB14" s="45"/>
      <c r="AC14" s="45"/>
      <c r="AD14" s="45"/>
      <c r="AE14" s="45"/>
      <c r="AF14" s="45"/>
    </row>
    <row r="15" spans="1:32" s="67" customFormat="1" ht="30" customHeight="1" x14ac:dyDescent="0.2">
      <c r="A15" s="66"/>
      <c r="B15" s="1623" t="s">
        <v>11</v>
      </c>
      <c r="C15" s="1624"/>
      <c r="D15" s="1624"/>
      <c r="E15" s="1624"/>
      <c r="F15" s="1624"/>
      <c r="G15" s="1624"/>
      <c r="H15" s="1624"/>
      <c r="I15" s="1624"/>
      <c r="J15" s="1625"/>
      <c r="K15" s="148"/>
      <c r="L15" s="547"/>
      <c r="M15" s="68"/>
      <c r="O15" s="547"/>
      <c r="P15" s="66"/>
      <c r="Q15" s="45"/>
      <c r="R15" s="45"/>
      <c r="S15" s="45"/>
      <c r="T15" s="45"/>
      <c r="U15" s="45"/>
      <c r="V15" s="45"/>
      <c r="W15" s="45"/>
      <c r="X15" s="45"/>
      <c r="Y15" s="45"/>
      <c r="Z15" s="45"/>
      <c r="AA15" s="45"/>
      <c r="AB15" s="45"/>
      <c r="AC15" s="45"/>
      <c r="AD15" s="45"/>
      <c r="AE15" s="45"/>
      <c r="AF15" s="45"/>
    </row>
    <row r="16" spans="1:32" ht="20.100000000000001" customHeight="1" x14ac:dyDescent="0.2">
      <c r="B16" s="560"/>
      <c r="C16" s="560"/>
      <c r="D16" s="560"/>
      <c r="E16" s="560"/>
      <c r="F16" s="560"/>
      <c r="G16" s="560"/>
      <c r="H16" s="560"/>
      <c r="I16" s="560"/>
      <c r="J16" s="20"/>
      <c r="L16" s="561"/>
      <c r="M16" s="181"/>
      <c r="N16" s="149"/>
      <c r="O16" s="561"/>
      <c r="P16" s="45"/>
    </row>
    <row r="17" spans="1:16" ht="24.95" customHeight="1" x14ac:dyDescent="0.2">
      <c r="B17" s="562" t="s">
        <v>12</v>
      </c>
      <c r="C17" s="563"/>
      <c r="D17" s="563"/>
      <c r="E17" s="563"/>
      <c r="F17" s="564"/>
      <c r="G17" s="563"/>
      <c r="H17" s="563"/>
      <c r="I17" s="2007" t="s">
        <v>13</v>
      </c>
      <c r="J17" s="2008"/>
    </row>
    <row r="18" spans="1:16" ht="24.95" customHeight="1" x14ac:dyDescent="0.2">
      <c r="B18" s="562" t="s">
        <v>14</v>
      </c>
      <c r="C18" s="563"/>
      <c r="D18" s="563"/>
      <c r="E18" s="563"/>
      <c r="F18" s="564"/>
      <c r="G18" s="563"/>
      <c r="H18" s="563"/>
      <c r="I18" s="2009">
        <f>'[2]Datos REG y HIJOS'!$K$19</f>
        <v>1500000</v>
      </c>
      <c r="J18" s="2010"/>
    </row>
    <row r="19" spans="1:16" ht="20.100000000000001" customHeight="1" x14ac:dyDescent="0.2">
      <c r="B19" s="69"/>
      <c r="C19" s="69"/>
      <c r="D19" s="69"/>
      <c r="E19" s="69"/>
      <c r="F19" s="565"/>
      <c r="G19" s="69"/>
      <c r="H19" s="69"/>
      <c r="I19" s="69"/>
      <c r="J19" s="30"/>
    </row>
    <row r="20" spans="1:16" ht="30" customHeight="1" x14ac:dyDescent="0.2">
      <c r="B20" s="1623" t="s">
        <v>15</v>
      </c>
      <c r="C20" s="1624"/>
      <c r="D20" s="1624"/>
      <c r="E20" s="1624"/>
      <c r="F20" s="1624"/>
      <c r="G20" s="1624"/>
      <c r="H20" s="1624"/>
      <c r="I20" s="1624"/>
      <c r="J20" s="1625"/>
    </row>
    <row r="21" spans="1:16" ht="20.100000000000001" customHeight="1" x14ac:dyDescent="0.2">
      <c r="B21" s="566"/>
      <c r="C21" s="566"/>
      <c r="D21" s="566"/>
      <c r="E21" s="566"/>
      <c r="F21" s="566"/>
      <c r="G21" s="566"/>
      <c r="H21" s="566"/>
      <c r="I21" s="567"/>
      <c r="J21" s="33"/>
    </row>
    <row r="22" spans="1:16" ht="30" customHeight="1" x14ac:dyDescent="0.2">
      <c r="B22" s="1662" t="s">
        <v>16</v>
      </c>
      <c r="C22" s="1663"/>
      <c r="D22" s="1663"/>
      <c r="E22" s="1663"/>
      <c r="F22" s="1663"/>
      <c r="G22" s="1663"/>
      <c r="H22" s="1664"/>
      <c r="I22" s="406" t="s">
        <v>17</v>
      </c>
      <c r="J22" s="35" t="s">
        <v>18</v>
      </c>
      <c r="K22" s="226" t="s">
        <v>19</v>
      </c>
      <c r="L22" s="183">
        <v>1</v>
      </c>
      <c r="O22" s="183">
        <v>1</v>
      </c>
      <c r="P22" s="568" t="s">
        <v>20</v>
      </c>
    </row>
    <row r="23" spans="1:16" ht="36.950000000000003" customHeight="1" x14ac:dyDescent="0.2">
      <c r="B23" s="1913" t="s">
        <v>21</v>
      </c>
      <c r="C23" s="1913"/>
      <c r="D23" s="1913"/>
      <c r="E23" s="1913"/>
      <c r="F23" s="1913"/>
      <c r="G23" s="1913"/>
      <c r="H23" s="1913"/>
      <c r="I23" s="1913"/>
      <c r="J23" s="1913"/>
      <c r="O23" s="183">
        <v>1</v>
      </c>
      <c r="P23" s="568" t="s">
        <v>20</v>
      </c>
    </row>
    <row r="24" spans="1:16" ht="168" customHeight="1" x14ac:dyDescent="0.2">
      <c r="A24" s="39"/>
      <c r="B24" s="569" t="s">
        <v>22</v>
      </c>
      <c r="C24" s="1166" t="s">
        <v>821</v>
      </c>
      <c r="D24" s="1167"/>
      <c r="E24" s="1167"/>
      <c r="F24" s="1167"/>
      <c r="G24" s="1167"/>
      <c r="H24" s="1168"/>
      <c r="I24" s="168">
        <v>40</v>
      </c>
      <c r="J24" s="42">
        <v>1</v>
      </c>
      <c r="K24" s="570" t="s">
        <v>24</v>
      </c>
      <c r="L24" s="571" t="s">
        <v>25</v>
      </c>
      <c r="M24" s="67"/>
      <c r="N24" s="66"/>
      <c r="O24" s="183">
        <v>1</v>
      </c>
      <c r="P24" s="568" t="s">
        <v>20</v>
      </c>
    </row>
    <row r="25" spans="1:16" ht="30" customHeight="1" x14ac:dyDescent="0.2">
      <c r="B25" s="1910" t="s">
        <v>26</v>
      </c>
      <c r="C25" s="1217" t="s">
        <v>27</v>
      </c>
      <c r="D25" s="1016"/>
      <c r="E25" s="1016" t="s">
        <v>28</v>
      </c>
      <c r="F25" s="1016"/>
      <c r="G25" s="1016" t="s">
        <v>29</v>
      </c>
      <c r="H25" s="1125"/>
      <c r="I25" s="1926">
        <f>+'[2]Datos REG y HIJOS'!$D$3</f>
        <v>35</v>
      </c>
      <c r="J25" s="1241">
        <f>+'[2]Datos REG y HIJOS'!$E$3</f>
        <v>0.9</v>
      </c>
      <c r="K25" s="570" t="s">
        <v>26</v>
      </c>
      <c r="L25" s="571" t="s">
        <v>25</v>
      </c>
      <c r="N25" s="182" t="s">
        <v>30</v>
      </c>
      <c r="O25" s="183">
        <v>1</v>
      </c>
      <c r="P25" s="568" t="s">
        <v>20</v>
      </c>
    </row>
    <row r="26" spans="1:16" ht="30" customHeight="1" x14ac:dyDescent="0.2">
      <c r="B26" s="1971"/>
      <c r="C26" s="1046" t="s">
        <v>31</v>
      </c>
      <c r="D26" s="1022"/>
      <c r="E26" s="1108" t="s">
        <v>32</v>
      </c>
      <c r="F26" s="1108"/>
      <c r="G26" s="1022" t="s">
        <v>33</v>
      </c>
      <c r="H26" s="1028"/>
      <c r="I26" s="1927"/>
      <c r="J26" s="1242"/>
      <c r="K26" s="570" t="s">
        <v>26</v>
      </c>
      <c r="L26" s="571" t="s">
        <v>25</v>
      </c>
      <c r="O26" s="183">
        <v>1</v>
      </c>
      <c r="P26" s="568" t="s">
        <v>20</v>
      </c>
    </row>
    <row r="27" spans="1:16" ht="30" customHeight="1" x14ac:dyDescent="0.2">
      <c r="B27" s="1971"/>
      <c r="C27" s="1218" t="s">
        <v>34</v>
      </c>
      <c r="D27" s="1180"/>
      <c r="E27" s="1108" t="s">
        <v>35</v>
      </c>
      <c r="F27" s="1108"/>
      <c r="G27" s="1180" t="s">
        <v>36</v>
      </c>
      <c r="H27" s="1227"/>
      <c r="I27" s="1927"/>
      <c r="J27" s="1242"/>
      <c r="K27" s="570" t="s">
        <v>26</v>
      </c>
      <c r="L27" s="571" t="s">
        <v>25</v>
      </c>
      <c r="O27" s="183">
        <v>1</v>
      </c>
      <c r="P27" s="568" t="s">
        <v>20</v>
      </c>
    </row>
    <row r="28" spans="1:16" ht="30" customHeight="1" x14ac:dyDescent="0.2">
      <c r="B28" s="1911"/>
      <c r="C28" s="1181" t="s">
        <v>37</v>
      </c>
      <c r="D28" s="1182"/>
      <c r="E28" s="1177" t="s">
        <v>38</v>
      </c>
      <c r="F28" s="1177"/>
      <c r="G28" s="1177"/>
      <c r="H28" s="1177"/>
      <c r="I28" s="1928"/>
      <c r="J28" s="1243"/>
      <c r="K28" s="570" t="s">
        <v>26</v>
      </c>
      <c r="L28" s="571" t="s">
        <v>25</v>
      </c>
      <c r="O28" s="183">
        <v>1</v>
      </c>
      <c r="P28" s="568" t="s">
        <v>20</v>
      </c>
    </row>
    <row r="29" spans="1:16" ht="30" customHeight="1" x14ac:dyDescent="0.2">
      <c r="B29" s="1979" t="s">
        <v>40</v>
      </c>
      <c r="C29" s="1014" t="s">
        <v>41</v>
      </c>
      <c r="D29" s="1015"/>
      <c r="E29" s="1188" t="s">
        <v>42</v>
      </c>
      <c r="F29" s="1188"/>
      <c r="G29" s="1016" t="s">
        <v>43</v>
      </c>
      <c r="H29" s="1125"/>
      <c r="I29" s="1986">
        <f>+'[2]Datos REG y HIJOS'!$D$4</f>
        <v>35</v>
      </c>
      <c r="J29" s="1241">
        <f>+'[2]Datos REG y HIJOS'!$E$4</f>
        <v>0.9</v>
      </c>
      <c r="K29" s="570" t="s">
        <v>40</v>
      </c>
      <c r="L29" s="571" t="s">
        <v>25</v>
      </c>
      <c r="N29" s="182" t="s">
        <v>30</v>
      </c>
      <c r="O29" s="183">
        <v>1</v>
      </c>
      <c r="P29" s="568" t="s">
        <v>20</v>
      </c>
    </row>
    <row r="30" spans="1:16" ht="39.950000000000003" customHeight="1" x14ac:dyDescent="0.2">
      <c r="B30" s="1980"/>
      <c r="C30" s="1211" t="s">
        <v>44</v>
      </c>
      <c r="D30" s="1190"/>
      <c r="E30" s="1190" t="s">
        <v>45</v>
      </c>
      <c r="F30" s="1190"/>
      <c r="G30" s="1190" t="s">
        <v>46</v>
      </c>
      <c r="H30" s="1212"/>
      <c r="I30" s="1987"/>
      <c r="J30" s="1242"/>
      <c r="K30" s="570" t="s">
        <v>40</v>
      </c>
      <c r="L30" s="571" t="s">
        <v>25</v>
      </c>
      <c r="O30" s="183">
        <v>1</v>
      </c>
      <c r="P30" s="568" t="s">
        <v>20</v>
      </c>
    </row>
    <row r="31" spans="1:16" ht="39.950000000000003" customHeight="1" x14ac:dyDescent="0.2">
      <c r="B31" s="1980"/>
      <c r="C31" s="1046" t="s">
        <v>47</v>
      </c>
      <c r="D31" s="1022"/>
      <c r="E31" s="1190" t="s">
        <v>48</v>
      </c>
      <c r="F31" s="1190"/>
      <c r="G31" s="1190" t="s">
        <v>49</v>
      </c>
      <c r="H31" s="1212"/>
      <c r="I31" s="1987"/>
      <c r="J31" s="1242"/>
      <c r="K31" s="570" t="s">
        <v>40</v>
      </c>
      <c r="L31" s="571" t="s">
        <v>25</v>
      </c>
      <c r="O31" s="183">
        <v>1</v>
      </c>
      <c r="P31" s="568" t="s">
        <v>20</v>
      </c>
    </row>
    <row r="32" spans="1:16" ht="39.950000000000003" customHeight="1" x14ac:dyDescent="0.2">
      <c r="B32" s="1980"/>
      <c r="C32" s="1133" t="s">
        <v>50</v>
      </c>
      <c r="D32" s="1132"/>
      <c r="E32" s="1132" t="s">
        <v>51</v>
      </c>
      <c r="F32" s="1132"/>
      <c r="G32" s="1132" t="s">
        <v>52</v>
      </c>
      <c r="H32" s="1134"/>
      <c r="I32" s="1987"/>
      <c r="J32" s="1242"/>
      <c r="K32" s="570" t="s">
        <v>40</v>
      </c>
      <c r="L32" s="571" t="s">
        <v>25</v>
      </c>
      <c r="O32" s="183">
        <v>1</v>
      </c>
      <c r="P32" s="568" t="s">
        <v>20</v>
      </c>
    </row>
    <row r="33" spans="1:16" ht="39.950000000000003" customHeight="1" x14ac:dyDescent="0.2">
      <c r="B33" s="1980"/>
      <c r="C33" s="1133" t="s">
        <v>53</v>
      </c>
      <c r="D33" s="1132"/>
      <c r="E33" s="1132" t="s">
        <v>54</v>
      </c>
      <c r="F33" s="1132"/>
      <c r="G33" s="1132" t="s">
        <v>55</v>
      </c>
      <c r="H33" s="1134"/>
      <c r="I33" s="1987"/>
      <c r="J33" s="1242"/>
      <c r="K33" s="570" t="s">
        <v>40</v>
      </c>
      <c r="L33" s="571" t="s">
        <v>25</v>
      </c>
      <c r="O33" s="183">
        <v>1</v>
      </c>
      <c r="P33" s="568" t="s">
        <v>20</v>
      </c>
    </row>
    <row r="34" spans="1:16" ht="39.950000000000003" customHeight="1" x14ac:dyDescent="0.2">
      <c r="B34" s="1980"/>
      <c r="C34" s="1133" t="s">
        <v>56</v>
      </c>
      <c r="D34" s="1132"/>
      <c r="E34" s="1132" t="s">
        <v>57</v>
      </c>
      <c r="F34" s="1132"/>
      <c r="G34" s="1132" t="s">
        <v>58</v>
      </c>
      <c r="H34" s="1134"/>
      <c r="I34" s="1987"/>
      <c r="J34" s="1242"/>
      <c r="K34" s="570" t="s">
        <v>40</v>
      </c>
      <c r="L34" s="571" t="s">
        <v>25</v>
      </c>
      <c r="O34" s="183">
        <v>1</v>
      </c>
      <c r="P34" s="568" t="s">
        <v>20</v>
      </c>
    </row>
    <row r="35" spans="1:16" ht="30" customHeight="1" x14ac:dyDescent="0.2">
      <c r="B35" s="1980"/>
      <c r="C35" s="1046" t="s">
        <v>59</v>
      </c>
      <c r="D35" s="1022"/>
      <c r="E35" s="1132" t="s">
        <v>60</v>
      </c>
      <c r="F35" s="1132"/>
      <c r="G35" s="1132" t="s">
        <v>61</v>
      </c>
      <c r="H35" s="1134"/>
      <c r="I35" s="1987"/>
      <c r="J35" s="1242"/>
      <c r="K35" s="570" t="s">
        <v>40</v>
      </c>
      <c r="L35" s="571" t="s">
        <v>25</v>
      </c>
      <c r="O35" s="183">
        <v>1</v>
      </c>
      <c r="P35" s="568" t="s">
        <v>20</v>
      </c>
    </row>
    <row r="36" spans="1:16" ht="30" customHeight="1" x14ac:dyDescent="0.2">
      <c r="B36" s="1980"/>
      <c r="C36" s="1046" t="s">
        <v>62</v>
      </c>
      <c r="D36" s="1022"/>
      <c r="E36" s="1022" t="s">
        <v>63</v>
      </c>
      <c r="F36" s="1022"/>
      <c r="G36" s="1132" t="s">
        <v>64</v>
      </c>
      <c r="H36" s="1134"/>
      <c r="I36" s="1987"/>
      <c r="J36" s="1242"/>
      <c r="K36" s="570" t="s">
        <v>40</v>
      </c>
      <c r="L36" s="571" t="s">
        <v>25</v>
      </c>
      <c r="O36" s="183">
        <v>1</v>
      </c>
      <c r="P36" s="568" t="s">
        <v>20</v>
      </c>
    </row>
    <row r="37" spans="1:16" ht="39.950000000000003" customHeight="1" x14ac:dyDescent="0.2">
      <c r="B37" s="1980"/>
      <c r="C37" s="1133" t="s">
        <v>65</v>
      </c>
      <c r="D37" s="1132"/>
      <c r="E37" s="1132" t="s">
        <v>66</v>
      </c>
      <c r="F37" s="1132"/>
      <c r="G37" s="1132" t="s">
        <v>67</v>
      </c>
      <c r="H37" s="1134"/>
      <c r="I37" s="1987"/>
      <c r="J37" s="1242"/>
      <c r="K37" s="570" t="s">
        <v>40</v>
      </c>
      <c r="L37" s="571" t="s">
        <v>25</v>
      </c>
      <c r="O37" s="183">
        <v>1</v>
      </c>
      <c r="P37" s="568" t="s">
        <v>20</v>
      </c>
    </row>
    <row r="38" spans="1:16" ht="43.9" customHeight="1" x14ac:dyDescent="0.2">
      <c r="B38" s="1980"/>
      <c r="C38" s="1133" t="s">
        <v>68</v>
      </c>
      <c r="D38" s="1132"/>
      <c r="E38" s="1"/>
      <c r="F38" s="1"/>
      <c r="G38" s="47"/>
      <c r="H38" s="48"/>
      <c r="I38" s="1987"/>
      <c r="J38" s="1242"/>
      <c r="K38" s="570" t="s">
        <v>40</v>
      </c>
      <c r="L38" s="571" t="s">
        <v>25</v>
      </c>
      <c r="O38" s="183">
        <v>1</v>
      </c>
      <c r="P38" s="568" t="s">
        <v>20</v>
      </c>
    </row>
    <row r="39" spans="1:16" ht="39.950000000000003" customHeight="1" x14ac:dyDescent="0.2">
      <c r="A39" s="572" t="s">
        <v>69</v>
      </c>
      <c r="B39" s="1992"/>
      <c r="C39" s="1206" t="s">
        <v>70</v>
      </c>
      <c r="D39" s="1207"/>
      <c r="E39" s="1207"/>
      <c r="F39" s="1207"/>
      <c r="G39" s="1207"/>
      <c r="H39" s="1222"/>
      <c r="I39" s="1994"/>
      <c r="J39" s="1243"/>
      <c r="K39" s="570" t="s">
        <v>40</v>
      </c>
      <c r="L39" s="571" t="s">
        <v>25</v>
      </c>
      <c r="O39" s="183">
        <v>1</v>
      </c>
      <c r="P39" s="568" t="s">
        <v>20</v>
      </c>
    </row>
    <row r="40" spans="1:16" ht="30" customHeight="1" x14ac:dyDescent="0.2">
      <c r="B40" s="1865" t="s">
        <v>71</v>
      </c>
      <c r="C40" s="1187" t="s">
        <v>72</v>
      </c>
      <c r="D40" s="1188"/>
      <c r="E40" s="1188" t="s">
        <v>73</v>
      </c>
      <c r="F40" s="1188"/>
      <c r="G40" s="1188" t="s">
        <v>74</v>
      </c>
      <c r="H40" s="1189"/>
      <c r="I40" s="1926">
        <f>+'[2]Datos REG y HIJOS'!$D$5</f>
        <v>40</v>
      </c>
      <c r="J40" s="1241">
        <f>+'[2]Datos REG y HIJOS'!$E$5</f>
        <v>0.9</v>
      </c>
      <c r="K40" s="570" t="s">
        <v>71</v>
      </c>
      <c r="L40" s="571" t="s">
        <v>25</v>
      </c>
      <c r="N40" s="182" t="s">
        <v>30</v>
      </c>
      <c r="O40" s="183">
        <v>1</v>
      </c>
      <c r="P40" s="568" t="s">
        <v>20</v>
      </c>
    </row>
    <row r="41" spans="1:16" ht="30" customHeight="1" x14ac:dyDescent="0.2">
      <c r="B41" s="1866"/>
      <c r="C41" s="1218" t="s">
        <v>75</v>
      </c>
      <c r="D41" s="1180"/>
      <c r="E41" s="1180" t="s">
        <v>76</v>
      </c>
      <c r="F41" s="1180"/>
      <c r="G41" s="890" t="s">
        <v>77</v>
      </c>
      <c r="H41" s="890"/>
      <c r="I41" s="1927"/>
      <c r="J41" s="1242"/>
      <c r="K41" s="570" t="s">
        <v>71</v>
      </c>
      <c r="L41" s="571" t="s">
        <v>25</v>
      </c>
      <c r="O41" s="183">
        <v>1</v>
      </c>
      <c r="P41" s="568" t="s">
        <v>20</v>
      </c>
    </row>
    <row r="42" spans="1:16" ht="30" customHeight="1" x14ac:dyDescent="0.2">
      <c r="B42" s="1866"/>
      <c r="C42" s="1218" t="s">
        <v>39</v>
      </c>
      <c r="D42" s="1180"/>
      <c r="E42" s="1180" t="s">
        <v>79</v>
      </c>
      <c r="F42" s="1180"/>
      <c r="G42" s="1180" t="s">
        <v>80</v>
      </c>
      <c r="H42" s="1227"/>
      <c r="I42" s="1927"/>
      <c r="J42" s="1242"/>
      <c r="K42" s="570" t="s">
        <v>71</v>
      </c>
      <c r="L42" s="571" t="s">
        <v>25</v>
      </c>
      <c r="O42" s="183">
        <v>1</v>
      </c>
      <c r="P42" s="568" t="s">
        <v>20</v>
      </c>
    </row>
    <row r="43" spans="1:16" ht="30" customHeight="1" x14ac:dyDescent="0.2">
      <c r="B43" s="1866"/>
      <c r="C43" s="968" t="s">
        <v>81</v>
      </c>
      <c r="D43" s="969"/>
      <c r="E43" s="969" t="s">
        <v>82</v>
      </c>
      <c r="F43" s="969"/>
      <c r="G43" s="969" t="s">
        <v>83</v>
      </c>
      <c r="H43" s="1193"/>
      <c r="I43" s="1927"/>
      <c r="J43" s="1242"/>
      <c r="K43" s="570" t="s">
        <v>71</v>
      </c>
      <c r="L43" s="571" t="s">
        <v>25</v>
      </c>
      <c r="O43" s="183">
        <v>1</v>
      </c>
      <c r="P43" s="568" t="s">
        <v>20</v>
      </c>
    </row>
    <row r="44" spans="1:16" ht="30" customHeight="1" x14ac:dyDescent="0.2">
      <c r="B44" s="1867"/>
      <c r="C44" s="1181" t="s">
        <v>84</v>
      </c>
      <c r="D44" s="1182"/>
      <c r="E44" s="50" t="s">
        <v>78</v>
      </c>
      <c r="H44" s="50"/>
      <c r="I44" s="1928"/>
      <c r="J44" s="1243"/>
      <c r="K44" s="570" t="s">
        <v>71</v>
      </c>
      <c r="L44" s="571" t="s">
        <v>25</v>
      </c>
      <c r="O44" s="183">
        <v>1</v>
      </c>
      <c r="P44" s="568" t="s">
        <v>20</v>
      </c>
    </row>
    <row r="45" spans="1:16" ht="39.950000000000003" customHeight="1" x14ac:dyDescent="0.2">
      <c r="B45" s="1979" t="s">
        <v>85</v>
      </c>
      <c r="C45" s="1214" t="s">
        <v>572</v>
      </c>
      <c r="D45" s="1195"/>
      <c r="E45" s="1195" t="s">
        <v>378</v>
      </c>
      <c r="F45" s="1195"/>
      <c r="G45" s="1130" t="s">
        <v>342</v>
      </c>
      <c r="H45" s="1131"/>
      <c r="I45" s="1986">
        <f>+'[2]Datos REG y HIJOS'!$D$6</f>
        <v>40</v>
      </c>
      <c r="J45" s="1241">
        <f>+'[2]Datos REG y HIJOS'!$E$6</f>
        <v>0.85</v>
      </c>
      <c r="K45" s="570" t="s">
        <v>85</v>
      </c>
      <c r="L45" s="571" t="s">
        <v>25</v>
      </c>
      <c r="N45" s="182" t="s">
        <v>30</v>
      </c>
      <c r="O45" s="183">
        <v>1</v>
      </c>
      <c r="P45" s="568" t="s">
        <v>20</v>
      </c>
    </row>
    <row r="46" spans="1:16" ht="39.950000000000003" customHeight="1" x14ac:dyDescent="0.2">
      <c r="B46" s="1980"/>
      <c r="C46" s="1211" t="s">
        <v>86</v>
      </c>
      <c r="D46" s="1190"/>
      <c r="E46" s="1190" t="s">
        <v>574</v>
      </c>
      <c r="F46" s="1190"/>
      <c r="G46" s="1190" t="s">
        <v>624</v>
      </c>
      <c r="H46" s="1212"/>
      <c r="I46" s="1987"/>
      <c r="J46" s="1242"/>
      <c r="K46" s="570" t="s">
        <v>85</v>
      </c>
      <c r="L46" s="571" t="s">
        <v>25</v>
      </c>
      <c r="O46" s="183">
        <v>1</v>
      </c>
      <c r="P46" s="568" t="s">
        <v>20</v>
      </c>
    </row>
    <row r="47" spans="1:16" ht="39.950000000000003" customHeight="1" x14ac:dyDescent="0.2">
      <c r="B47" s="1980"/>
      <c r="C47" s="1211" t="s">
        <v>576</v>
      </c>
      <c r="D47" s="1190"/>
      <c r="E47" s="1190" t="s">
        <v>577</v>
      </c>
      <c r="F47" s="1190"/>
      <c r="G47" s="1132" t="s">
        <v>578</v>
      </c>
      <c r="H47" s="1134"/>
      <c r="I47" s="1987"/>
      <c r="J47" s="1242"/>
      <c r="K47" s="570" t="s">
        <v>85</v>
      </c>
      <c r="L47" s="571" t="s">
        <v>25</v>
      </c>
      <c r="O47" s="183">
        <v>1</v>
      </c>
      <c r="P47" s="568" t="s">
        <v>20</v>
      </c>
    </row>
    <row r="48" spans="1:16" ht="39.950000000000003" customHeight="1" x14ac:dyDescent="0.2">
      <c r="B48" s="1980"/>
      <c r="C48" s="1211" t="s">
        <v>402</v>
      </c>
      <c r="D48" s="1190"/>
      <c r="E48" s="1190" t="s">
        <v>579</v>
      </c>
      <c r="F48" s="1190"/>
      <c r="G48" s="1022" t="s">
        <v>580</v>
      </c>
      <c r="H48" s="1028"/>
      <c r="I48" s="1987"/>
      <c r="J48" s="1242"/>
      <c r="K48" s="570" t="s">
        <v>85</v>
      </c>
      <c r="L48" s="571" t="s">
        <v>25</v>
      </c>
      <c r="O48" s="183">
        <v>1</v>
      </c>
      <c r="P48" s="568" t="s">
        <v>20</v>
      </c>
    </row>
    <row r="49" spans="1:16" ht="39.950000000000003" customHeight="1" x14ac:dyDescent="0.2">
      <c r="B49" s="1980"/>
      <c r="C49" s="1046" t="s">
        <v>581</v>
      </c>
      <c r="D49" s="1022"/>
      <c r="E49" s="1190" t="s">
        <v>582</v>
      </c>
      <c r="F49" s="1190"/>
      <c r="G49" s="1190" t="s">
        <v>573</v>
      </c>
      <c r="H49" s="1212"/>
      <c r="I49" s="1987"/>
      <c r="J49" s="1242"/>
      <c r="K49" s="570" t="s">
        <v>85</v>
      </c>
      <c r="L49" s="571" t="s">
        <v>25</v>
      </c>
      <c r="O49" s="183">
        <v>1</v>
      </c>
      <c r="P49" s="568" t="s">
        <v>20</v>
      </c>
    </row>
    <row r="50" spans="1:16" ht="39.950000000000003" customHeight="1" x14ac:dyDescent="0.2">
      <c r="B50" s="1980"/>
      <c r="C50" s="1218" t="s">
        <v>98</v>
      </c>
      <c r="D50" s="1180"/>
      <c r="E50" s="1180"/>
      <c r="F50" s="1180"/>
      <c r="G50" s="1180"/>
      <c r="H50" s="1227"/>
      <c r="I50" s="1987"/>
      <c r="J50" s="1242"/>
      <c r="K50" s="570" t="s">
        <v>85</v>
      </c>
      <c r="L50" s="571" t="s">
        <v>25</v>
      </c>
      <c r="O50" s="183">
        <v>1</v>
      </c>
      <c r="P50" s="568" t="s">
        <v>20</v>
      </c>
    </row>
    <row r="51" spans="1:16" ht="35.25" customHeight="1" x14ac:dyDescent="0.2">
      <c r="A51" s="183" t="s">
        <v>97</v>
      </c>
      <c r="B51" s="1992"/>
      <c r="C51" s="1306" t="s">
        <v>583</v>
      </c>
      <c r="D51" s="1307"/>
      <c r="E51" s="1307"/>
      <c r="F51" s="1307"/>
      <c r="G51" s="1307"/>
      <c r="H51" s="1308"/>
      <c r="I51" s="1994"/>
      <c r="J51" s="1243"/>
      <c r="K51" s="570" t="s">
        <v>85</v>
      </c>
      <c r="L51" s="571" t="s">
        <v>25</v>
      </c>
      <c r="O51" s="183">
        <v>1</v>
      </c>
      <c r="P51" s="568" t="s">
        <v>20</v>
      </c>
    </row>
    <row r="52" spans="1:16" ht="30" customHeight="1" x14ac:dyDescent="0.2">
      <c r="B52" s="1865" t="s">
        <v>87</v>
      </c>
      <c r="C52" s="1993" t="s">
        <v>88</v>
      </c>
      <c r="D52" s="1984"/>
      <c r="E52" s="1984" t="s">
        <v>89</v>
      </c>
      <c r="F52" s="1984"/>
      <c r="G52" s="1984" t="s">
        <v>90</v>
      </c>
      <c r="H52" s="1985"/>
      <c r="I52" s="1926">
        <f>+'[2]Datos REG y HIJOS'!$D$7</f>
        <v>45</v>
      </c>
      <c r="J52" s="1241">
        <f>+'[2]Datos REG y HIJOS'!$E$7</f>
        <v>0.85</v>
      </c>
      <c r="K52" s="570" t="s">
        <v>87</v>
      </c>
      <c r="L52" s="571" t="s">
        <v>25</v>
      </c>
      <c r="N52" s="182" t="s">
        <v>30</v>
      </c>
      <c r="O52" s="183">
        <v>1</v>
      </c>
      <c r="P52" s="568" t="s">
        <v>20</v>
      </c>
    </row>
    <row r="53" spans="1:16" ht="30" customHeight="1" x14ac:dyDescent="0.2">
      <c r="B53" s="1866"/>
      <c r="C53" s="1989" t="s">
        <v>91</v>
      </c>
      <c r="D53" s="1990"/>
      <c r="E53" s="1990" t="s">
        <v>92</v>
      </c>
      <c r="F53" s="1990"/>
      <c r="G53" s="1990" t="s">
        <v>93</v>
      </c>
      <c r="H53" s="1991"/>
      <c r="I53" s="1927"/>
      <c r="J53" s="1242"/>
      <c r="K53" s="570" t="s">
        <v>87</v>
      </c>
      <c r="L53" s="571" t="s">
        <v>25</v>
      </c>
      <c r="O53" s="183">
        <v>1</v>
      </c>
      <c r="P53" s="568" t="s">
        <v>20</v>
      </c>
    </row>
    <row r="54" spans="1:16" ht="30" customHeight="1" x14ac:dyDescent="0.2">
      <c r="B54" s="1866"/>
      <c r="C54" s="1989" t="s">
        <v>94</v>
      </c>
      <c r="D54" s="1990"/>
      <c r="E54" s="1990" t="s">
        <v>96</v>
      </c>
      <c r="F54" s="1990"/>
      <c r="G54" s="1990" t="s">
        <v>95</v>
      </c>
      <c r="H54" s="1991"/>
      <c r="I54" s="1927"/>
      <c r="J54" s="1242"/>
      <c r="K54" s="570" t="s">
        <v>87</v>
      </c>
      <c r="L54" s="571" t="s">
        <v>25</v>
      </c>
      <c r="O54" s="183">
        <v>1</v>
      </c>
      <c r="P54" s="568" t="s">
        <v>20</v>
      </c>
    </row>
    <row r="55" spans="1:16" ht="30" customHeight="1" x14ac:dyDescent="0.2">
      <c r="A55" s="183" t="s">
        <v>97</v>
      </c>
      <c r="B55" s="1866"/>
      <c r="C55" s="573" t="s">
        <v>98</v>
      </c>
      <c r="D55" s="574"/>
      <c r="E55" s="56"/>
      <c r="F55" s="56"/>
      <c r="G55" s="574"/>
      <c r="H55" s="575"/>
      <c r="I55" s="1927"/>
      <c r="J55" s="1242"/>
      <c r="K55" s="570" t="s">
        <v>87</v>
      </c>
      <c r="L55" s="571" t="s">
        <v>25</v>
      </c>
      <c r="O55" s="183">
        <v>1</v>
      </c>
      <c r="P55" s="568" t="s">
        <v>20</v>
      </c>
    </row>
    <row r="56" spans="1:16" ht="30" customHeight="1" x14ac:dyDescent="0.2">
      <c r="A56" s="183" t="s">
        <v>97</v>
      </c>
      <c r="B56" s="1866"/>
      <c r="C56" s="2053" t="s">
        <v>99</v>
      </c>
      <c r="D56" s="2054"/>
      <c r="E56" s="2054"/>
      <c r="F56" s="2054"/>
      <c r="G56" s="2054"/>
      <c r="H56" s="2055"/>
      <c r="I56" s="1927"/>
      <c r="J56" s="1242"/>
      <c r="K56" s="570" t="s">
        <v>87</v>
      </c>
      <c r="L56" s="571" t="s">
        <v>25</v>
      </c>
      <c r="O56" s="183">
        <v>1</v>
      </c>
      <c r="P56" s="568" t="s">
        <v>20</v>
      </c>
    </row>
    <row r="57" spans="1:16" ht="30" customHeight="1" x14ac:dyDescent="0.2">
      <c r="A57" s="67"/>
      <c r="B57" s="1979" t="s">
        <v>567</v>
      </c>
      <c r="C57" s="2056" t="s">
        <v>134</v>
      </c>
      <c r="D57" s="2057"/>
      <c r="E57" s="2058" t="s">
        <v>239</v>
      </c>
      <c r="F57" s="2058"/>
      <c r="G57" s="1984" t="s">
        <v>570</v>
      </c>
      <c r="H57" s="1985"/>
      <c r="I57" s="1986">
        <f>+'[2]Datos REG y HIJOS'!$D$8</f>
        <v>45</v>
      </c>
      <c r="J57" s="1241">
        <f>+'[2]Datos REG y HIJOS'!$E$8</f>
        <v>0.85</v>
      </c>
      <c r="K57" s="570" t="s">
        <v>567</v>
      </c>
      <c r="L57" s="571" t="s">
        <v>25</v>
      </c>
      <c r="N57" s="182" t="s">
        <v>30</v>
      </c>
      <c r="O57" s="183">
        <v>1</v>
      </c>
      <c r="P57" s="568" t="s">
        <v>20</v>
      </c>
    </row>
    <row r="58" spans="1:16" ht="30" customHeight="1" x14ac:dyDescent="0.2">
      <c r="A58" s="67"/>
      <c r="B58" s="1980"/>
      <c r="C58" s="1989" t="s">
        <v>568</v>
      </c>
      <c r="D58" s="1990"/>
      <c r="E58" s="1990" t="s">
        <v>569</v>
      </c>
      <c r="F58" s="1990"/>
      <c r="G58" s="1990"/>
      <c r="H58" s="1991"/>
      <c r="I58" s="1987"/>
      <c r="J58" s="1242"/>
      <c r="K58" s="570" t="s">
        <v>567</v>
      </c>
      <c r="L58" s="571" t="s">
        <v>25</v>
      </c>
      <c r="O58" s="183">
        <v>1</v>
      </c>
      <c r="P58" s="568" t="s">
        <v>20</v>
      </c>
    </row>
    <row r="59" spans="1:16" ht="30" customHeight="1" x14ac:dyDescent="0.2">
      <c r="A59" s="67"/>
      <c r="B59" s="1992"/>
      <c r="C59" s="894"/>
      <c r="D59" s="895"/>
      <c r="E59" s="800"/>
      <c r="F59" s="800"/>
      <c r="G59" s="800"/>
      <c r="H59" s="801"/>
      <c r="I59" s="1994"/>
      <c r="J59" s="1243"/>
      <c r="K59" s="570" t="s">
        <v>567</v>
      </c>
      <c r="L59" s="571" t="s">
        <v>25</v>
      </c>
      <c r="O59" s="183">
        <v>1</v>
      </c>
      <c r="P59" s="568" t="s">
        <v>20</v>
      </c>
    </row>
    <row r="60" spans="1:16" s="803" customFormat="1" ht="30" customHeight="1" x14ac:dyDescent="0.2">
      <c r="A60" s="67"/>
      <c r="B60" s="1910" t="s">
        <v>584</v>
      </c>
      <c r="C60" s="1457" t="s">
        <v>585</v>
      </c>
      <c r="D60" s="1219"/>
      <c r="E60" s="2050" t="s">
        <v>588</v>
      </c>
      <c r="F60" s="2050"/>
      <c r="G60" s="2050" t="s">
        <v>587</v>
      </c>
      <c r="H60" s="2051"/>
      <c r="I60" s="1926">
        <f>+'[2]Datos REG y HIJOS'!$D$10</f>
        <v>50</v>
      </c>
      <c r="J60" s="1241">
        <f>+'[2]Datos REG y HIJOS'!$E$10</f>
        <v>0.85</v>
      </c>
      <c r="K60" s="570" t="s">
        <v>584</v>
      </c>
      <c r="L60" s="571" t="s">
        <v>25</v>
      </c>
      <c r="M60" s="802"/>
      <c r="N60" s="182" t="s">
        <v>30</v>
      </c>
      <c r="O60" s="183">
        <v>1</v>
      </c>
      <c r="P60" s="568" t="s">
        <v>20</v>
      </c>
    </row>
    <row r="61" spans="1:16" s="803" customFormat="1" ht="30" customHeight="1" x14ac:dyDescent="0.2">
      <c r="A61" s="67"/>
      <c r="B61" s="1971"/>
      <c r="C61" s="2052" t="s">
        <v>589</v>
      </c>
      <c r="D61" s="2050"/>
      <c r="E61" s="1192" t="s">
        <v>138</v>
      </c>
      <c r="F61" s="1192"/>
      <c r="G61" s="1975" t="s">
        <v>586</v>
      </c>
      <c r="H61" s="1976"/>
      <c r="I61" s="1927"/>
      <c r="J61" s="1242"/>
      <c r="K61" s="570" t="s">
        <v>584</v>
      </c>
      <c r="L61" s="571" t="s">
        <v>25</v>
      </c>
      <c r="M61" s="802"/>
      <c r="O61" s="183">
        <v>1</v>
      </c>
      <c r="P61" s="568" t="s">
        <v>20</v>
      </c>
    </row>
    <row r="62" spans="1:16" s="803" customFormat="1" ht="30" customHeight="1" x14ac:dyDescent="0.2">
      <c r="A62" s="183" t="s">
        <v>97</v>
      </c>
      <c r="B62" s="1971"/>
      <c r="C62" s="1452" t="s">
        <v>98</v>
      </c>
      <c r="D62" s="1977"/>
      <c r="E62" s="1977"/>
      <c r="F62" s="1977"/>
      <c r="G62" s="1977"/>
      <c r="H62" s="1978"/>
      <c r="I62" s="1927"/>
      <c r="J62" s="1242"/>
      <c r="K62" s="570" t="s">
        <v>584</v>
      </c>
      <c r="L62" s="571" t="s">
        <v>25</v>
      </c>
      <c r="M62" s="802"/>
      <c r="O62" s="183">
        <v>1</v>
      </c>
      <c r="P62" s="568" t="s">
        <v>20</v>
      </c>
    </row>
    <row r="63" spans="1:16" s="803" customFormat="1" ht="30" customHeight="1" x14ac:dyDescent="0.2">
      <c r="A63" s="183" t="s">
        <v>97</v>
      </c>
      <c r="B63" s="1971"/>
      <c r="C63" s="1452" t="s">
        <v>590</v>
      </c>
      <c r="D63" s="1192"/>
      <c r="E63" s="1192"/>
      <c r="F63" s="1192"/>
      <c r="G63" s="1192"/>
      <c r="H63" s="1215"/>
      <c r="I63" s="1927"/>
      <c r="J63" s="1242"/>
      <c r="K63" s="570" t="s">
        <v>584</v>
      </c>
      <c r="L63" s="571" t="s">
        <v>25</v>
      </c>
      <c r="M63" s="802"/>
      <c r="O63" s="183">
        <v>1</v>
      </c>
      <c r="P63" s="568" t="s">
        <v>20</v>
      </c>
    </row>
    <row r="64" spans="1:16" s="803" customFormat="1" ht="30" customHeight="1" x14ac:dyDescent="0.2">
      <c r="A64" s="67"/>
      <c r="B64" s="1910" t="s">
        <v>571</v>
      </c>
      <c r="C64" s="1410" t="s">
        <v>596</v>
      </c>
      <c r="D64" s="1411"/>
      <c r="E64" s="1896" t="s">
        <v>597</v>
      </c>
      <c r="F64" s="1896"/>
      <c r="G64" s="1809" t="s">
        <v>598</v>
      </c>
      <c r="H64" s="1810"/>
      <c r="I64" s="1397">
        <f>+'[2]Datos REG y HIJOS'!$D$9</f>
        <v>40</v>
      </c>
      <c r="J64" s="915">
        <f>+'[2]Datos REG y HIJOS'!$E$9</f>
        <v>0.85</v>
      </c>
      <c r="K64" s="570" t="s">
        <v>571</v>
      </c>
      <c r="L64" s="571" t="s">
        <v>25</v>
      </c>
      <c r="M64" s="802"/>
      <c r="N64" s="182" t="s">
        <v>30</v>
      </c>
      <c r="O64" s="183">
        <v>1</v>
      </c>
      <c r="P64" s="568" t="s">
        <v>20</v>
      </c>
    </row>
    <row r="65" spans="1:16" s="803" customFormat="1" ht="30" customHeight="1" x14ac:dyDescent="0.2">
      <c r="A65" s="67"/>
      <c r="B65" s="1911"/>
      <c r="C65" s="1399" t="s">
        <v>599</v>
      </c>
      <c r="D65" s="1400"/>
      <c r="E65" s="1400" t="s">
        <v>600</v>
      </c>
      <c r="F65" s="1400"/>
      <c r="G65" s="325"/>
      <c r="H65" s="326"/>
      <c r="I65" s="1398"/>
      <c r="J65" s="916"/>
      <c r="K65" s="570" t="s">
        <v>571</v>
      </c>
      <c r="L65" s="571" t="s">
        <v>25</v>
      </c>
      <c r="M65" s="802"/>
      <c r="O65" s="183">
        <v>1</v>
      </c>
      <c r="P65" s="568" t="s">
        <v>20</v>
      </c>
    </row>
    <row r="66" spans="1:16" s="66" customFormat="1" ht="39.950000000000003" customHeight="1" x14ac:dyDescent="0.2">
      <c r="B66" s="1865" t="s">
        <v>591</v>
      </c>
      <c r="C66" s="1461" t="s">
        <v>592</v>
      </c>
      <c r="D66" s="1462"/>
      <c r="E66" s="1462" t="s">
        <v>176</v>
      </c>
      <c r="F66" s="1462"/>
      <c r="G66" s="1462" t="s">
        <v>593</v>
      </c>
      <c r="H66" s="1463"/>
      <c r="I66" s="1868">
        <f>+'[2]Datos REG y HIJOS'!$D$11</f>
        <v>80</v>
      </c>
      <c r="J66" s="1449">
        <f>+'[2]Datos REG y HIJOS'!$E$11</f>
        <v>0.75</v>
      </c>
      <c r="K66" s="570" t="s">
        <v>591</v>
      </c>
      <c r="L66" s="571" t="s">
        <v>25</v>
      </c>
      <c r="N66" s="182" t="s">
        <v>30</v>
      </c>
      <c r="O66" s="183">
        <v>1</v>
      </c>
      <c r="P66" s="568" t="s">
        <v>20</v>
      </c>
    </row>
    <row r="67" spans="1:16" s="66" customFormat="1" ht="39.950000000000003" customHeight="1" x14ac:dyDescent="0.2">
      <c r="B67" s="1867"/>
      <c r="C67" s="1453" t="s">
        <v>594</v>
      </c>
      <c r="D67" s="1213"/>
      <c r="E67" s="166"/>
      <c r="F67" s="166"/>
      <c r="G67" s="166"/>
      <c r="H67" s="442"/>
      <c r="I67" s="1870"/>
      <c r="J67" s="1451"/>
      <c r="K67" s="570" t="s">
        <v>591</v>
      </c>
      <c r="L67" s="571" t="s">
        <v>25</v>
      </c>
      <c r="N67" s="67"/>
      <c r="O67" s="183">
        <v>1</v>
      </c>
      <c r="P67" s="568" t="s">
        <v>20</v>
      </c>
    </row>
    <row r="68" spans="1:16" s="66" customFormat="1" ht="45.75" customHeight="1" x14ac:dyDescent="0.2">
      <c r="A68" s="537"/>
      <c r="B68" s="1865" t="s">
        <v>758</v>
      </c>
      <c r="C68" s="1461" t="s">
        <v>759</v>
      </c>
      <c r="D68" s="1462"/>
      <c r="E68" s="1462" t="s">
        <v>779</v>
      </c>
      <c r="F68" s="1462"/>
      <c r="G68" s="1462" t="s">
        <v>761</v>
      </c>
      <c r="H68" s="1463"/>
      <c r="I68" s="1868">
        <f>+'[2]Datos REG y HIJOS'!$D$12</f>
        <v>90</v>
      </c>
      <c r="J68" s="1449">
        <f>+'[2]Datos REG y HIJOS'!$E$12</f>
        <v>0.7</v>
      </c>
      <c r="K68" s="570" t="s">
        <v>758</v>
      </c>
      <c r="L68" s="571" t="s">
        <v>25</v>
      </c>
      <c r="N68" s="182" t="s">
        <v>30</v>
      </c>
      <c r="O68" s="183">
        <v>1</v>
      </c>
      <c r="P68" s="568" t="s">
        <v>20</v>
      </c>
    </row>
    <row r="69" spans="1:16" s="66" customFormat="1" ht="30" customHeight="1" x14ac:dyDescent="0.2">
      <c r="A69" s="537"/>
      <c r="B69" s="1866"/>
      <c r="C69" s="1452" t="s">
        <v>762</v>
      </c>
      <c r="D69" s="1192"/>
      <c r="E69" s="1192" t="s">
        <v>606</v>
      </c>
      <c r="F69" s="1192"/>
      <c r="G69" s="1192" t="s">
        <v>763</v>
      </c>
      <c r="H69" s="1215"/>
      <c r="I69" s="1869"/>
      <c r="J69" s="1450"/>
      <c r="K69" s="570" t="s">
        <v>758</v>
      </c>
      <c r="L69" s="571" t="s">
        <v>25</v>
      </c>
      <c r="O69" s="183">
        <v>1</v>
      </c>
      <c r="P69" s="568" t="s">
        <v>20</v>
      </c>
    </row>
    <row r="70" spans="1:16" s="66" customFormat="1" ht="30" customHeight="1" x14ac:dyDescent="0.2">
      <c r="A70" s="537"/>
      <c r="B70" s="1866"/>
      <c r="C70" s="1452" t="s">
        <v>764</v>
      </c>
      <c r="D70" s="1192"/>
      <c r="E70" s="346"/>
      <c r="F70" s="346"/>
      <c r="G70" s="346"/>
      <c r="H70" s="347"/>
      <c r="I70" s="1869"/>
      <c r="J70" s="1450"/>
      <c r="K70" s="570" t="s">
        <v>758</v>
      </c>
      <c r="L70" s="571" t="s">
        <v>25</v>
      </c>
      <c r="O70" s="183">
        <v>1</v>
      </c>
      <c r="P70" s="568" t="s">
        <v>20</v>
      </c>
    </row>
    <row r="71" spans="1:16" s="66" customFormat="1" ht="30" customHeight="1" x14ac:dyDescent="0.2">
      <c r="A71" s="572" t="s">
        <v>69</v>
      </c>
      <c r="B71" s="1866"/>
      <c r="C71" s="1452" t="s">
        <v>765</v>
      </c>
      <c r="D71" s="1192"/>
      <c r="E71" s="1192"/>
      <c r="F71" s="1192"/>
      <c r="G71" s="1192"/>
      <c r="H71" s="1215"/>
      <c r="I71" s="1869"/>
      <c r="J71" s="1450"/>
      <c r="K71" s="570" t="s">
        <v>758</v>
      </c>
      <c r="L71" s="571" t="s">
        <v>25</v>
      </c>
      <c r="O71" s="183">
        <v>1</v>
      </c>
      <c r="P71" s="568" t="s">
        <v>20</v>
      </c>
    </row>
    <row r="72" spans="1:16" s="66" customFormat="1" ht="30" customHeight="1" x14ac:dyDescent="0.2">
      <c r="A72" s="183" t="s">
        <v>97</v>
      </c>
      <c r="B72" s="1866"/>
      <c r="C72" s="1452" t="s">
        <v>98</v>
      </c>
      <c r="D72" s="1192"/>
      <c r="E72" s="1192"/>
      <c r="F72" s="1192"/>
      <c r="G72" s="1192"/>
      <c r="H72" s="1215"/>
      <c r="I72" s="1869"/>
      <c r="J72" s="1450"/>
      <c r="K72" s="570" t="s">
        <v>758</v>
      </c>
      <c r="L72" s="571" t="s">
        <v>25</v>
      </c>
      <c r="O72" s="183">
        <v>1</v>
      </c>
      <c r="P72" s="568" t="s">
        <v>20</v>
      </c>
    </row>
    <row r="73" spans="1:16" s="66" customFormat="1" ht="30" customHeight="1" x14ac:dyDescent="0.2">
      <c r="A73" s="183" t="s">
        <v>97</v>
      </c>
      <c r="B73" s="1867"/>
      <c r="C73" s="1453" t="s">
        <v>766</v>
      </c>
      <c r="D73" s="1213"/>
      <c r="E73" s="1213"/>
      <c r="F73" s="1213"/>
      <c r="G73" s="1213"/>
      <c r="H73" s="1454"/>
      <c r="I73" s="1870"/>
      <c r="J73" s="1451"/>
      <c r="K73" s="570" t="s">
        <v>758</v>
      </c>
      <c r="L73" s="571" t="s">
        <v>25</v>
      </c>
      <c r="O73" s="183">
        <v>1</v>
      </c>
      <c r="P73" s="568" t="s">
        <v>20</v>
      </c>
    </row>
    <row r="74" spans="1:16" s="66" customFormat="1" ht="39.950000000000003" customHeight="1" x14ac:dyDescent="0.2">
      <c r="A74" s="67"/>
      <c r="B74" s="541" t="s">
        <v>601</v>
      </c>
      <c r="C74" s="1252" t="s">
        <v>602</v>
      </c>
      <c r="D74" s="1252"/>
      <c r="E74" s="1252"/>
      <c r="F74" s="1252"/>
      <c r="G74" s="1252"/>
      <c r="H74" s="1252"/>
      <c r="I74" s="580">
        <f>+'[2]Datos REG y HIJOS'!$D$13</f>
        <v>35</v>
      </c>
      <c r="J74" s="353">
        <f>+'[2]Datos REG y HIJOS'!$E$13</f>
        <v>0.9</v>
      </c>
      <c r="K74" s="570" t="s">
        <v>601</v>
      </c>
      <c r="L74" s="571" t="s">
        <v>25</v>
      </c>
      <c r="M74" s="67"/>
      <c r="N74" s="182" t="s">
        <v>30</v>
      </c>
      <c r="O74" s="183">
        <v>1</v>
      </c>
      <c r="P74" s="568" t="s">
        <v>20</v>
      </c>
    </row>
    <row r="75" spans="1:16" ht="39.950000000000003" customHeight="1" x14ac:dyDescent="0.2">
      <c r="A75" s="149"/>
      <c r="B75" s="471" t="s">
        <v>603</v>
      </c>
      <c r="C75" s="1252" t="s">
        <v>604</v>
      </c>
      <c r="D75" s="1252"/>
      <c r="E75" s="1252"/>
      <c r="F75" s="1252"/>
      <c r="G75" s="1252"/>
      <c r="H75" s="1252"/>
      <c r="I75" s="580">
        <f>+'[2]Datos REG y HIJOS'!$D$14</f>
        <v>55</v>
      </c>
      <c r="J75" s="353">
        <f>+'[2]Datos REG y HIJOS'!$E$14</f>
        <v>0.85</v>
      </c>
      <c r="K75" s="570" t="s">
        <v>603</v>
      </c>
      <c r="L75" s="571" t="s">
        <v>25</v>
      </c>
      <c r="M75" s="149"/>
      <c r="N75" s="182" t="s">
        <v>30</v>
      </c>
      <c r="O75" s="183">
        <v>1</v>
      </c>
      <c r="P75" s="568" t="s">
        <v>20</v>
      </c>
    </row>
    <row r="76" spans="1:16" ht="39.950000000000003" customHeight="1" x14ac:dyDescent="0.2">
      <c r="A76" s="45"/>
      <c r="B76" s="804" t="s">
        <v>769</v>
      </c>
      <c r="C76" s="2049" t="s">
        <v>770</v>
      </c>
      <c r="D76" s="2049"/>
      <c r="E76" s="2049"/>
      <c r="F76" s="2049"/>
      <c r="G76" s="2049"/>
      <c r="H76" s="2049"/>
      <c r="I76" s="805">
        <f>+'[2]Datos REG y HIJOS'!$D$15</f>
        <v>115</v>
      </c>
      <c r="J76" s="806">
        <f>+'[2]Datos REG y HIJOS'!$E$15</f>
        <v>0.65</v>
      </c>
      <c r="K76" s="570" t="s">
        <v>769</v>
      </c>
      <c r="L76" s="571" t="s">
        <v>25</v>
      </c>
      <c r="M76" s="66"/>
      <c r="N76" s="182" t="s">
        <v>30</v>
      </c>
      <c r="O76" s="183">
        <v>1</v>
      </c>
      <c r="P76" s="568" t="s">
        <v>20</v>
      </c>
    </row>
    <row r="77" spans="1:16" s="66" customFormat="1" ht="30" customHeight="1" x14ac:dyDescent="0.2">
      <c r="A77" s="183"/>
      <c r="B77" s="807" t="s">
        <v>767</v>
      </c>
      <c r="C77" s="2046" t="s">
        <v>768</v>
      </c>
      <c r="D77" s="2047"/>
      <c r="E77" s="808"/>
      <c r="F77" s="808"/>
      <c r="G77" s="808"/>
      <c r="H77" s="809"/>
      <c r="I77" s="810">
        <v>120</v>
      </c>
      <c r="J77" s="436">
        <v>0.6</v>
      </c>
      <c r="L77" s="661"/>
      <c r="O77" s="67"/>
      <c r="P77" s="586"/>
    </row>
    <row r="78" spans="1:16" s="24" customFormat="1" ht="20.100000000000001" customHeight="1" x14ac:dyDescent="0.2">
      <c r="B78" s="1300"/>
      <c r="C78" s="1300"/>
      <c r="D78" s="1300"/>
      <c r="E78" s="1300"/>
      <c r="F78" s="1300"/>
      <c r="G78" s="1300"/>
      <c r="H78" s="1300"/>
      <c r="I78" s="1300"/>
      <c r="J78" s="1300"/>
      <c r="K78" s="1"/>
      <c r="L78" s="2"/>
      <c r="M78" s="3"/>
      <c r="N78" s="4"/>
      <c r="O78" s="2"/>
      <c r="P78" s="18"/>
    </row>
    <row r="79" spans="1:16" s="66" customFormat="1" ht="30" customHeight="1" x14ac:dyDescent="0.2">
      <c r="A79" s="183"/>
      <c r="B79" s="904" t="s">
        <v>100</v>
      </c>
      <c r="C79" s="905"/>
      <c r="D79" s="905"/>
      <c r="E79" s="905"/>
      <c r="F79" s="905"/>
      <c r="G79" s="905"/>
      <c r="H79" s="906"/>
      <c r="I79" s="34" t="s">
        <v>17</v>
      </c>
      <c r="J79" s="35" t="s">
        <v>18</v>
      </c>
      <c r="L79" s="661"/>
      <c r="O79" s="67"/>
      <c r="P79" s="586"/>
    </row>
    <row r="80" spans="1:16" ht="361.5" customHeight="1" x14ac:dyDescent="0.2">
      <c r="A80" s="45"/>
      <c r="B80" s="1783" t="s">
        <v>101</v>
      </c>
      <c r="C80" s="1250" t="s">
        <v>816</v>
      </c>
      <c r="D80" s="1015"/>
      <c r="E80" s="1015"/>
      <c r="F80" s="1015"/>
      <c r="G80" s="1015"/>
      <c r="H80" s="2048"/>
      <c r="I80" s="1698">
        <v>0</v>
      </c>
      <c r="J80" s="915">
        <v>1</v>
      </c>
      <c r="K80" s="226" t="s">
        <v>103</v>
      </c>
      <c r="L80" s="183">
        <v>3</v>
      </c>
      <c r="N80" s="182" t="s">
        <v>30</v>
      </c>
      <c r="O80" s="183">
        <v>3</v>
      </c>
      <c r="P80" s="568" t="s">
        <v>20</v>
      </c>
    </row>
    <row r="81" spans="1:25" ht="192.75" customHeight="1" x14ac:dyDescent="0.2">
      <c r="A81" s="45"/>
      <c r="B81" s="1785"/>
      <c r="C81" s="1264" t="s">
        <v>867</v>
      </c>
      <c r="D81" s="1265"/>
      <c r="E81" s="1265"/>
      <c r="F81" s="1265"/>
      <c r="G81" s="1265"/>
      <c r="H81" s="1266"/>
      <c r="I81" s="1700"/>
      <c r="J81" s="916"/>
      <c r="K81" s="226" t="s">
        <v>103</v>
      </c>
      <c r="L81" s="183">
        <v>3</v>
      </c>
      <c r="N81" s="182" t="s">
        <v>30</v>
      </c>
      <c r="O81" s="183">
        <v>3</v>
      </c>
      <c r="P81" s="568" t="s">
        <v>20</v>
      </c>
    </row>
    <row r="82" spans="1:25" s="24" customFormat="1" ht="20.100000000000001" customHeight="1" x14ac:dyDescent="0.2">
      <c r="B82" s="1300"/>
      <c r="C82" s="1300"/>
      <c r="D82" s="1300"/>
      <c r="E82" s="1300"/>
      <c r="F82" s="1300"/>
      <c r="G82" s="1300"/>
      <c r="H82" s="1300"/>
      <c r="I82" s="1300"/>
      <c r="J82" s="1300"/>
      <c r="K82" s="1"/>
      <c r="L82" s="2"/>
      <c r="M82" s="3"/>
      <c r="N82" s="4"/>
      <c r="O82" s="2"/>
      <c r="P82" s="18"/>
    </row>
    <row r="83" spans="1:25" s="24" customFormat="1" ht="30" customHeight="1" x14ac:dyDescent="0.2">
      <c r="A83" s="4"/>
      <c r="B83" s="904" t="s">
        <v>105</v>
      </c>
      <c r="C83" s="905"/>
      <c r="D83" s="905"/>
      <c r="E83" s="905"/>
      <c r="F83" s="905"/>
      <c r="G83" s="905"/>
      <c r="H83" s="906"/>
      <c r="I83" s="34" t="s">
        <v>17</v>
      </c>
      <c r="J83" s="35" t="s">
        <v>18</v>
      </c>
      <c r="K83" s="18"/>
      <c r="L83" s="58"/>
      <c r="M83" s="3"/>
      <c r="N83" s="4"/>
      <c r="O83" s="4"/>
      <c r="P83" s="59"/>
    </row>
    <row r="84" spans="1:25" s="24" customFormat="1" ht="214.5" customHeight="1" x14ac:dyDescent="0.2">
      <c r="B84" s="60" t="s">
        <v>106</v>
      </c>
      <c r="C84" s="1292" t="s">
        <v>107</v>
      </c>
      <c r="D84" s="1292"/>
      <c r="E84" s="1292"/>
      <c r="F84" s="1292"/>
      <c r="G84" s="1292"/>
      <c r="H84" s="1292"/>
      <c r="I84" s="61">
        <f>+'[2]Datos REG y HIJOS'!$G$33</f>
        <v>50</v>
      </c>
      <c r="J84" s="42">
        <v>1</v>
      </c>
      <c r="K84" s="36" t="s">
        <v>108</v>
      </c>
      <c r="L84" s="37">
        <v>4</v>
      </c>
      <c r="M84" s="22"/>
      <c r="N84" s="46" t="s">
        <v>30</v>
      </c>
      <c r="O84" s="37">
        <v>4</v>
      </c>
      <c r="P84" s="38" t="s">
        <v>20</v>
      </c>
    </row>
    <row r="85" spans="1:25" s="24" customFormat="1" ht="96" customHeight="1" x14ac:dyDescent="0.2">
      <c r="B85" s="60" t="s">
        <v>109</v>
      </c>
      <c r="C85" s="1293" t="s">
        <v>110</v>
      </c>
      <c r="D85" s="1293"/>
      <c r="E85" s="1293"/>
      <c r="F85" s="1293"/>
      <c r="G85" s="1293"/>
      <c r="H85" s="1293"/>
      <c r="I85" s="61">
        <f>+'[2]Datos REG y HIJOS'!$G$34</f>
        <v>80</v>
      </c>
      <c r="J85" s="42">
        <v>1</v>
      </c>
      <c r="K85" s="36" t="s">
        <v>111</v>
      </c>
      <c r="L85" s="37">
        <v>5</v>
      </c>
      <c r="M85" s="3"/>
      <c r="N85" s="46" t="s">
        <v>30</v>
      </c>
      <c r="O85" s="37">
        <v>5</v>
      </c>
      <c r="P85" s="38" t="s">
        <v>20</v>
      </c>
    </row>
    <row r="86" spans="1:25" s="24" customFormat="1" ht="60" customHeight="1" x14ac:dyDescent="0.2">
      <c r="B86" s="60" t="s">
        <v>112</v>
      </c>
      <c r="C86" s="1294" t="s">
        <v>113</v>
      </c>
      <c r="D86" s="1295"/>
      <c r="E86" s="1295"/>
      <c r="F86" s="1295"/>
      <c r="G86" s="1295"/>
      <c r="H86" s="1296"/>
      <c r="I86" s="61">
        <f>+'[2]Datos REG y HIJOS'!$G$35</f>
        <v>40</v>
      </c>
      <c r="J86" s="42">
        <v>1</v>
      </c>
      <c r="K86" s="36" t="s">
        <v>114</v>
      </c>
      <c r="L86" s="37">
        <v>6</v>
      </c>
      <c r="M86" s="3"/>
      <c r="N86" s="46" t="s">
        <v>30</v>
      </c>
      <c r="O86" s="37">
        <v>6</v>
      </c>
      <c r="P86" s="38" t="s">
        <v>20</v>
      </c>
    </row>
    <row r="87" spans="1:25" s="24" customFormat="1" x14ac:dyDescent="0.2">
      <c r="B87" s="162"/>
      <c r="C87" s="63"/>
      <c r="D87" s="63"/>
      <c r="E87" s="63"/>
      <c r="F87" s="63"/>
      <c r="G87" s="63"/>
      <c r="H87" s="63"/>
      <c r="I87" s="127"/>
      <c r="J87" s="128"/>
      <c r="K87" s="18"/>
      <c r="L87" s="4"/>
      <c r="M87" s="3"/>
      <c r="N87" s="4"/>
      <c r="O87" s="4"/>
      <c r="P87" s="59"/>
    </row>
    <row r="88" spans="1:25" s="24" customFormat="1" ht="30" customHeight="1" x14ac:dyDescent="0.2">
      <c r="A88" s="4"/>
      <c r="B88" s="1223" t="s">
        <v>115</v>
      </c>
      <c r="C88" s="1223"/>
      <c r="D88" s="1223"/>
      <c r="E88" s="1223"/>
      <c r="F88" s="1223"/>
      <c r="G88" s="1223"/>
      <c r="H88" s="1223"/>
      <c r="I88" s="34" t="s">
        <v>17</v>
      </c>
      <c r="J88" s="35" t="s">
        <v>18</v>
      </c>
      <c r="K88" s="66"/>
      <c r="L88" s="67"/>
      <c r="M88" s="68"/>
      <c r="N88" s="46" t="s">
        <v>30</v>
      </c>
      <c r="O88" s="67"/>
      <c r="P88" s="66"/>
    </row>
    <row r="89" spans="1:25" ht="30" customHeight="1" x14ac:dyDescent="0.2">
      <c r="A89" s="45"/>
      <c r="B89" s="1297" t="s">
        <v>116</v>
      </c>
      <c r="C89" s="1298"/>
      <c r="D89" s="1298"/>
      <c r="E89" s="1298"/>
      <c r="F89" s="1298"/>
      <c r="G89" s="1298"/>
      <c r="H89" s="1298"/>
      <c r="I89" s="1298"/>
      <c r="J89" s="1299"/>
      <c r="K89" s="66"/>
      <c r="L89" s="67"/>
      <c r="O89" s="67"/>
      <c r="R89" s="69"/>
      <c r="U89" s="70"/>
      <c r="V89" s="71"/>
      <c r="W89" s="71"/>
      <c r="X89" s="72"/>
      <c r="Y89" s="69"/>
    </row>
    <row r="90" spans="1:25" ht="30" customHeight="1" x14ac:dyDescent="0.2">
      <c r="A90" s="45"/>
      <c r="B90" s="1268" t="s">
        <v>117</v>
      </c>
      <c r="C90" s="1268"/>
      <c r="D90" s="1268"/>
      <c r="E90" s="1268"/>
      <c r="F90" s="1268"/>
      <c r="G90" s="1268"/>
      <c r="H90" s="1268"/>
      <c r="I90" s="1268"/>
      <c r="J90" s="1268"/>
      <c r="K90" s="66"/>
      <c r="L90" s="67"/>
      <c r="O90" s="67"/>
      <c r="R90" s="69"/>
      <c r="U90" s="70"/>
      <c r="V90" s="71"/>
      <c r="W90" s="71"/>
      <c r="X90" s="72"/>
      <c r="Y90" s="69"/>
    </row>
    <row r="91" spans="1:25" ht="30" customHeight="1" x14ac:dyDescent="0.2">
      <c r="A91" s="45"/>
      <c r="B91" s="1065" t="s">
        <v>118</v>
      </c>
      <c r="C91" s="1065"/>
      <c r="D91" s="1065"/>
      <c r="E91" s="1065"/>
      <c r="F91" s="1065"/>
      <c r="G91" s="1065"/>
      <c r="H91" s="1065"/>
      <c r="I91" s="61">
        <v>0</v>
      </c>
      <c r="J91" s="42">
        <v>1</v>
      </c>
      <c r="K91" s="66"/>
      <c r="L91" s="67"/>
      <c r="O91" s="67"/>
      <c r="R91" s="69"/>
      <c r="U91" s="70"/>
      <c r="V91" s="71"/>
      <c r="W91" s="71"/>
      <c r="X91" s="72"/>
      <c r="Y91" s="69"/>
    </row>
    <row r="92" spans="1:25" ht="30" customHeight="1" x14ac:dyDescent="0.2">
      <c r="A92" s="1268" t="s">
        <v>119</v>
      </c>
      <c r="B92" s="1268"/>
      <c r="C92" s="1268"/>
      <c r="D92" s="1268"/>
      <c r="E92" s="1268"/>
      <c r="F92" s="1268"/>
      <c r="G92" s="1268"/>
      <c r="H92" s="1268"/>
      <c r="I92" s="1268"/>
      <c r="J92" s="1268"/>
      <c r="K92" s="66"/>
      <c r="L92" s="67"/>
      <c r="N92" s="46" t="s">
        <v>30</v>
      </c>
      <c r="O92" s="67"/>
      <c r="R92" s="69"/>
      <c r="U92" s="70"/>
      <c r="V92" s="71"/>
      <c r="W92" s="71"/>
      <c r="X92" s="72"/>
      <c r="Y92" s="69"/>
    </row>
    <row r="93" spans="1:25" ht="75.75" customHeight="1" x14ac:dyDescent="0.2">
      <c r="A93" s="1065" t="s">
        <v>120</v>
      </c>
      <c r="B93" s="1065"/>
      <c r="C93" s="1065"/>
      <c r="D93" s="1065"/>
      <c r="E93" s="1065"/>
      <c r="F93" s="1065"/>
      <c r="G93" s="1065"/>
      <c r="H93" s="1065"/>
      <c r="I93" s="61">
        <v>0</v>
      </c>
      <c r="J93" s="42">
        <v>1</v>
      </c>
      <c r="K93" s="66"/>
      <c r="L93" s="67"/>
      <c r="O93" s="67"/>
      <c r="R93" s="69"/>
      <c r="U93" s="70"/>
      <c r="V93" s="71"/>
      <c r="W93" s="71"/>
      <c r="X93" s="72"/>
      <c r="Y93" s="69"/>
    </row>
    <row r="94" spans="1:25" ht="228.75" customHeight="1" x14ac:dyDescent="0.2">
      <c r="A94" s="73"/>
      <c r="B94" s="1065" t="s">
        <v>121</v>
      </c>
      <c r="C94" s="1065"/>
      <c r="D94" s="1065"/>
      <c r="E94" s="1065"/>
      <c r="F94" s="1065"/>
      <c r="G94" s="1065"/>
      <c r="H94" s="1065"/>
      <c r="I94" s="1065"/>
      <c r="J94" s="1065"/>
      <c r="K94" s="66"/>
      <c r="L94" s="67"/>
      <c r="O94" s="67"/>
      <c r="R94" s="69"/>
      <c r="U94" s="70"/>
      <c r="V94" s="71"/>
      <c r="W94" s="71"/>
      <c r="X94" s="72"/>
      <c r="Y94" s="69"/>
    </row>
    <row r="95" spans="1:25" s="24" customFormat="1" ht="20.100000000000001" customHeight="1" x14ac:dyDescent="0.2">
      <c r="B95" s="1300"/>
      <c r="C95" s="1300"/>
      <c r="D95" s="1300"/>
      <c r="E95" s="1300"/>
      <c r="F95" s="1300"/>
      <c r="G95" s="1300"/>
      <c r="H95" s="1300"/>
      <c r="I95" s="1300"/>
      <c r="J95" s="1300"/>
      <c r="K95" s="1"/>
      <c r="L95" s="2"/>
      <c r="M95" s="3"/>
      <c r="N95" s="4"/>
      <c r="O95" s="2"/>
      <c r="P95" s="18"/>
    </row>
    <row r="96" spans="1:25" s="24" customFormat="1" ht="30" customHeight="1" x14ac:dyDescent="0.2">
      <c r="A96" s="4"/>
      <c r="B96" s="904" t="s">
        <v>122</v>
      </c>
      <c r="C96" s="905"/>
      <c r="D96" s="905"/>
      <c r="E96" s="905"/>
      <c r="F96" s="905"/>
      <c r="G96" s="905"/>
      <c r="H96" s="906"/>
      <c r="I96" s="34" t="s">
        <v>17</v>
      </c>
      <c r="J96" s="35" t="s">
        <v>18</v>
      </c>
      <c r="K96" s="18"/>
      <c r="L96" s="58"/>
      <c r="M96" s="3"/>
      <c r="N96" s="4"/>
      <c r="O96" s="4"/>
      <c r="P96" s="59"/>
    </row>
    <row r="97" spans="1:19" s="24" customFormat="1" ht="50.1" customHeight="1" x14ac:dyDescent="0.2">
      <c r="B97" s="1279" t="s">
        <v>124</v>
      </c>
      <c r="C97" s="1285" t="s">
        <v>125</v>
      </c>
      <c r="D97" s="1286"/>
      <c r="E97" s="1286"/>
      <c r="F97" s="1286"/>
      <c r="G97" s="1286"/>
      <c r="H97" s="1286"/>
      <c r="I97" s="1286"/>
      <c r="J97" s="1287"/>
      <c r="K97" s="36" t="s">
        <v>123</v>
      </c>
      <c r="L97" s="37">
        <v>50</v>
      </c>
      <c r="M97" s="3"/>
      <c r="N97" s="46" t="s">
        <v>30</v>
      </c>
      <c r="O97" s="37">
        <v>50</v>
      </c>
      <c r="P97" s="38" t="s">
        <v>20</v>
      </c>
    </row>
    <row r="98" spans="1:19" s="24" customFormat="1" ht="24.95" customHeight="1" x14ac:dyDescent="0.2">
      <c r="B98" s="1284"/>
      <c r="C98" s="1285" t="s">
        <v>126</v>
      </c>
      <c r="D98" s="1286"/>
      <c r="E98" s="1286"/>
      <c r="F98" s="1286"/>
      <c r="G98" s="1286"/>
      <c r="H98" s="1287"/>
      <c r="I98" s="74">
        <v>70</v>
      </c>
      <c r="J98" s="75" t="s">
        <v>127</v>
      </c>
      <c r="K98" s="36" t="s">
        <v>123</v>
      </c>
      <c r="L98" s="37">
        <v>50</v>
      </c>
      <c r="M98" s="3"/>
      <c r="N98" s="4"/>
      <c r="O98" s="37">
        <v>50</v>
      </c>
      <c r="P98" s="38" t="s">
        <v>20</v>
      </c>
    </row>
    <row r="99" spans="1:19" s="24" customFormat="1" ht="24.95" customHeight="1" x14ac:dyDescent="0.2">
      <c r="B99" s="1280"/>
      <c r="C99" s="1285" t="s">
        <v>128</v>
      </c>
      <c r="D99" s="1286"/>
      <c r="E99" s="1286"/>
      <c r="F99" s="1286"/>
      <c r="G99" s="1286"/>
      <c r="H99" s="1287"/>
      <c r="I99" s="74">
        <v>50</v>
      </c>
      <c r="J99" s="75" t="s">
        <v>127</v>
      </c>
      <c r="K99" s="36" t="s">
        <v>123</v>
      </c>
      <c r="L99" s="37">
        <v>50</v>
      </c>
      <c r="M99" s="3"/>
      <c r="N99" s="4"/>
      <c r="O99" s="37">
        <v>50</v>
      </c>
      <c r="P99" s="38" t="s">
        <v>20</v>
      </c>
    </row>
    <row r="100" spans="1:19" s="80" customFormat="1" ht="19.5" customHeight="1" x14ac:dyDescent="0.2">
      <c r="A100" s="18"/>
      <c r="B100" s="76"/>
      <c r="C100" s="55"/>
      <c r="D100" s="55"/>
      <c r="E100" s="55"/>
      <c r="F100" s="55"/>
      <c r="G100" s="24"/>
      <c r="H100" s="24"/>
      <c r="I100" s="77"/>
      <c r="J100" s="78"/>
      <c r="K100" s="18"/>
      <c r="L100" s="58"/>
      <c r="M100" s="79"/>
      <c r="N100" s="4"/>
      <c r="O100" s="4"/>
      <c r="P100" s="59"/>
      <c r="Q100" s="24"/>
      <c r="R100" s="24"/>
      <c r="S100" s="24"/>
    </row>
    <row r="101" spans="1:19" ht="30" customHeight="1" x14ac:dyDescent="0.2">
      <c r="A101" s="45"/>
      <c r="B101" s="1662" t="s">
        <v>145</v>
      </c>
      <c r="C101" s="1956"/>
      <c r="D101" s="1956"/>
      <c r="E101" s="1956"/>
      <c r="F101" s="1956"/>
      <c r="G101" s="1956"/>
      <c r="H101" s="1957"/>
      <c r="I101" s="406" t="s">
        <v>17</v>
      </c>
      <c r="J101" s="35" t="s">
        <v>18</v>
      </c>
      <c r="K101" s="66"/>
      <c r="L101" s="67"/>
      <c r="O101" s="67"/>
      <c r="P101" s="586"/>
    </row>
    <row r="102" spans="1:19" ht="36.75" customHeight="1" x14ac:dyDescent="0.2">
      <c r="A102" s="45"/>
      <c r="B102" s="1835" t="s">
        <v>26</v>
      </c>
      <c r="C102" s="1944" t="s">
        <v>146</v>
      </c>
      <c r="D102" s="1945"/>
      <c r="E102" s="1945" t="s">
        <v>147</v>
      </c>
      <c r="F102" s="1945"/>
      <c r="G102" s="1945" t="s">
        <v>90</v>
      </c>
      <c r="H102" s="1946"/>
      <c r="I102" s="1949">
        <v>0</v>
      </c>
      <c r="J102" s="962">
        <v>0.9</v>
      </c>
      <c r="K102" s="66"/>
      <c r="L102" s="67"/>
      <c r="O102" s="67"/>
      <c r="P102" s="586"/>
    </row>
    <row r="103" spans="1:19" ht="30" customHeight="1" x14ac:dyDescent="0.2">
      <c r="A103" s="45"/>
      <c r="B103" s="1837"/>
      <c r="C103" s="1938" t="s">
        <v>74</v>
      </c>
      <c r="D103" s="1939"/>
      <c r="E103" s="1180"/>
      <c r="F103" s="1180"/>
      <c r="G103" s="584"/>
      <c r="H103" s="590"/>
      <c r="I103" s="1950"/>
      <c r="J103" s="964"/>
      <c r="K103" s="66"/>
      <c r="L103" s="67"/>
      <c r="O103" s="67"/>
      <c r="P103" s="586"/>
    </row>
    <row r="104" spans="1:19" ht="31.5" customHeight="1" x14ac:dyDescent="0.2">
      <c r="A104" s="45"/>
      <c r="B104" s="1827" t="s">
        <v>71</v>
      </c>
      <c r="C104" s="1944" t="s">
        <v>134</v>
      </c>
      <c r="D104" s="1945"/>
      <c r="E104" s="1945" t="s">
        <v>92</v>
      </c>
      <c r="F104" s="1945"/>
      <c r="G104" s="1945" t="s">
        <v>78</v>
      </c>
      <c r="H104" s="1946"/>
      <c r="I104" s="1765">
        <v>0</v>
      </c>
      <c r="J104" s="962">
        <v>0.85</v>
      </c>
      <c r="K104" s="66"/>
      <c r="L104" s="67"/>
      <c r="O104" s="67"/>
      <c r="P104" s="586"/>
    </row>
    <row r="105" spans="1:19" ht="31.5" customHeight="1" x14ac:dyDescent="0.2">
      <c r="A105" s="45"/>
      <c r="B105" s="1828"/>
      <c r="C105" s="1929" t="s">
        <v>148</v>
      </c>
      <c r="D105" s="1930"/>
      <c r="E105" s="1930" t="s">
        <v>149</v>
      </c>
      <c r="F105" s="1930"/>
      <c r="G105" s="1930" t="s">
        <v>150</v>
      </c>
      <c r="H105" s="1931"/>
      <c r="I105" s="1766"/>
      <c r="J105" s="963"/>
      <c r="K105" s="66"/>
      <c r="L105" s="67"/>
      <c r="O105" s="67"/>
      <c r="P105" s="586"/>
    </row>
    <row r="106" spans="1:19" s="66" customFormat="1" ht="30" customHeight="1" x14ac:dyDescent="0.2">
      <c r="A106" s="149"/>
      <c r="B106" s="1827" t="s">
        <v>87</v>
      </c>
      <c r="C106" s="1938" t="s">
        <v>215</v>
      </c>
      <c r="D106" s="2044"/>
      <c r="E106" s="1939" t="s">
        <v>592</v>
      </c>
      <c r="F106" s="1939"/>
      <c r="G106" s="1939" t="s">
        <v>593</v>
      </c>
      <c r="H106" s="2045"/>
      <c r="I106" s="1949">
        <v>0</v>
      </c>
      <c r="J106" s="1951">
        <v>0.7</v>
      </c>
      <c r="M106" s="67"/>
    </row>
    <row r="107" spans="1:19" s="66" customFormat="1" ht="30" customHeight="1" x14ac:dyDescent="0.2">
      <c r="A107" s="149"/>
      <c r="B107" s="1829"/>
      <c r="C107" s="1929" t="s">
        <v>669</v>
      </c>
      <c r="D107" s="1953"/>
      <c r="E107" s="1388" t="s">
        <v>586</v>
      </c>
      <c r="F107" s="1388"/>
      <c r="G107" s="1930"/>
      <c r="H107" s="1954"/>
      <c r="I107" s="1950"/>
      <c r="J107" s="1952"/>
      <c r="M107" s="67"/>
    </row>
    <row r="108" spans="1:19" ht="20.100000000000001" customHeight="1" x14ac:dyDescent="0.2">
      <c r="A108" s="45"/>
      <c r="B108" s="591"/>
      <c r="C108" s="592"/>
      <c r="D108" s="592"/>
      <c r="E108" s="592"/>
      <c r="F108" s="592"/>
      <c r="G108" s="592"/>
      <c r="H108" s="592"/>
      <c r="I108" s="593"/>
      <c r="J108" s="65"/>
    </row>
    <row r="109" spans="1:19" ht="30" customHeight="1" x14ac:dyDescent="0.2">
      <c r="A109" s="45"/>
      <c r="B109" s="1662" t="s">
        <v>155</v>
      </c>
      <c r="C109" s="1663"/>
      <c r="D109" s="1663"/>
      <c r="E109" s="1663"/>
      <c r="F109" s="1663"/>
      <c r="G109" s="1663"/>
      <c r="H109" s="1664"/>
      <c r="I109" s="406" t="s">
        <v>17</v>
      </c>
      <c r="J109" s="35" t="s">
        <v>18</v>
      </c>
      <c r="K109" s="226" t="s">
        <v>156</v>
      </c>
      <c r="L109" s="183">
        <v>7</v>
      </c>
      <c r="N109" s="182" t="s">
        <v>30</v>
      </c>
      <c r="O109" s="183">
        <v>7</v>
      </c>
      <c r="P109" s="568" t="s">
        <v>157</v>
      </c>
    </row>
    <row r="110" spans="1:19" ht="42" customHeight="1" x14ac:dyDescent="0.2">
      <c r="B110" s="1736" t="s">
        <v>21</v>
      </c>
      <c r="C110" s="1737"/>
      <c r="D110" s="1737"/>
      <c r="E110" s="1737"/>
      <c r="F110" s="1737"/>
      <c r="G110" s="1737"/>
      <c r="H110" s="1737"/>
      <c r="I110" s="1737"/>
      <c r="J110" s="1738"/>
      <c r="L110" s="594"/>
      <c r="O110" s="183">
        <v>7</v>
      </c>
      <c r="P110" s="568" t="s">
        <v>157</v>
      </c>
    </row>
    <row r="111" spans="1:19" ht="78" customHeight="1" x14ac:dyDescent="0.2">
      <c r="A111" s="595"/>
      <c r="B111" s="1166" t="s">
        <v>819</v>
      </c>
      <c r="C111" s="933"/>
      <c r="D111" s="933"/>
      <c r="E111" s="933"/>
      <c r="F111" s="933"/>
      <c r="G111" s="933"/>
      <c r="H111" s="933"/>
      <c r="I111" s="1167"/>
      <c r="J111" s="1168"/>
      <c r="K111" s="596" t="s">
        <v>160</v>
      </c>
      <c r="L111" s="597" t="s">
        <v>161</v>
      </c>
      <c r="O111" s="183">
        <v>7</v>
      </c>
      <c r="P111" s="568" t="s">
        <v>157</v>
      </c>
    </row>
    <row r="112" spans="1:19" ht="30" customHeight="1" x14ac:dyDescent="0.2">
      <c r="B112" s="1718" t="s">
        <v>162</v>
      </c>
      <c r="C112" s="1944" t="s">
        <v>29</v>
      </c>
      <c r="D112" s="1945"/>
      <c r="E112" s="1945" t="s">
        <v>94</v>
      </c>
      <c r="F112" s="1945"/>
      <c r="G112" s="1945" t="s">
        <v>163</v>
      </c>
      <c r="H112" s="1946"/>
      <c r="I112" s="1922">
        <f>+'[2]Datos REG y HIJOS'!$D$31</f>
        <v>20</v>
      </c>
      <c r="J112" s="915">
        <f>+'[2]Datos REG y HIJOS'!$E$31</f>
        <v>0.9</v>
      </c>
      <c r="K112" s="596" t="s">
        <v>160</v>
      </c>
      <c r="L112" s="597" t="s">
        <v>161</v>
      </c>
      <c r="M112" s="598"/>
      <c r="O112" s="183">
        <v>7</v>
      </c>
      <c r="P112" s="568" t="s">
        <v>157</v>
      </c>
    </row>
    <row r="113" spans="1:16" ht="39.950000000000003" customHeight="1" x14ac:dyDescent="0.2">
      <c r="B113" s="1891"/>
      <c r="C113" s="1938" t="s">
        <v>135</v>
      </c>
      <c r="D113" s="1939"/>
      <c r="E113" s="1939" t="s">
        <v>133</v>
      </c>
      <c r="F113" s="1939"/>
      <c r="G113" s="1939" t="s">
        <v>136</v>
      </c>
      <c r="H113" s="1940"/>
      <c r="I113" s="1923"/>
      <c r="J113" s="1045"/>
      <c r="K113" s="596" t="s">
        <v>160</v>
      </c>
      <c r="L113" s="597" t="s">
        <v>161</v>
      </c>
      <c r="M113" s="598"/>
      <c r="O113" s="183">
        <v>7</v>
      </c>
      <c r="P113" s="568" t="s">
        <v>157</v>
      </c>
    </row>
    <row r="114" spans="1:16" ht="30" customHeight="1" x14ac:dyDescent="0.2">
      <c r="A114" s="45"/>
      <c r="B114" s="1719"/>
      <c r="C114" s="1941" t="s">
        <v>164</v>
      </c>
      <c r="D114" s="1942"/>
      <c r="E114" s="1265" t="s">
        <v>165</v>
      </c>
      <c r="F114" s="1265"/>
      <c r="G114" s="102" t="s">
        <v>166</v>
      </c>
      <c r="H114" s="103"/>
      <c r="I114" s="1924"/>
      <c r="J114" s="916"/>
      <c r="K114" s="596" t="s">
        <v>160</v>
      </c>
      <c r="L114" s="597" t="s">
        <v>161</v>
      </c>
      <c r="M114" s="598"/>
      <c r="O114" s="183">
        <v>7</v>
      </c>
      <c r="P114" s="568" t="s">
        <v>157</v>
      </c>
    </row>
    <row r="115" spans="1:16" ht="39.950000000000003" customHeight="1" x14ac:dyDescent="0.2">
      <c r="A115" s="599"/>
      <c r="B115" s="930" t="s">
        <v>168</v>
      </c>
      <c r="C115" s="1939" t="s">
        <v>27</v>
      </c>
      <c r="D115" s="1939"/>
      <c r="E115" s="1939" t="s">
        <v>169</v>
      </c>
      <c r="F115" s="1939"/>
      <c r="G115" s="1939" t="s">
        <v>170</v>
      </c>
      <c r="H115" s="1940"/>
      <c r="I115" s="2034">
        <f>+'[2]Datos REG y HIJOS'!$D$32</f>
        <v>20</v>
      </c>
      <c r="J115" s="915">
        <f>+'[2]Datos REG y HIJOS'!$E$32</f>
        <v>0.9</v>
      </c>
      <c r="K115" s="596" t="s">
        <v>171</v>
      </c>
      <c r="L115" s="597" t="s">
        <v>161</v>
      </c>
      <c r="M115" s="598"/>
      <c r="N115" s="182" t="s">
        <v>30</v>
      </c>
      <c r="O115" s="183">
        <v>7</v>
      </c>
      <c r="P115" s="568" t="s">
        <v>157</v>
      </c>
    </row>
    <row r="116" spans="1:16" ht="38.25" customHeight="1" x14ac:dyDescent="0.2">
      <c r="A116" s="599"/>
      <c r="B116" s="2043"/>
      <c r="C116" s="1938" t="s">
        <v>172</v>
      </c>
      <c r="D116" s="1939"/>
      <c r="E116" s="1939" t="s">
        <v>173</v>
      </c>
      <c r="F116" s="1939"/>
      <c r="G116" s="1939" t="s">
        <v>174</v>
      </c>
      <c r="H116" s="1940"/>
      <c r="I116" s="2035"/>
      <c r="J116" s="1045"/>
      <c r="K116" s="596" t="s">
        <v>171</v>
      </c>
      <c r="L116" s="597" t="s">
        <v>161</v>
      </c>
      <c r="M116" s="598"/>
      <c r="O116" s="183">
        <v>7</v>
      </c>
      <c r="P116" s="568" t="s">
        <v>157</v>
      </c>
    </row>
    <row r="117" spans="1:16" ht="39.950000000000003" customHeight="1" x14ac:dyDescent="0.2">
      <c r="A117" s="599"/>
      <c r="B117" s="2043"/>
      <c r="C117" s="1938" t="s">
        <v>175</v>
      </c>
      <c r="D117" s="1939"/>
      <c r="E117" s="1939" t="s">
        <v>176</v>
      </c>
      <c r="F117" s="1939"/>
      <c r="G117" s="1939" t="s">
        <v>81</v>
      </c>
      <c r="H117" s="1939"/>
      <c r="I117" s="2035"/>
      <c r="J117" s="1045"/>
      <c r="K117" s="596" t="s">
        <v>171</v>
      </c>
      <c r="L117" s="597" t="s">
        <v>161</v>
      </c>
      <c r="M117" s="598"/>
      <c r="O117" s="183">
        <v>7</v>
      </c>
      <c r="P117" s="568" t="s">
        <v>157</v>
      </c>
    </row>
    <row r="118" spans="1:16" ht="30" customHeight="1" x14ac:dyDescent="0.2">
      <c r="A118" s="599"/>
      <c r="B118" s="2043"/>
      <c r="C118" s="1938" t="s">
        <v>82</v>
      </c>
      <c r="D118" s="1939"/>
      <c r="E118" s="1939" t="s">
        <v>177</v>
      </c>
      <c r="F118" s="1939"/>
      <c r="G118" s="1180" t="s">
        <v>84</v>
      </c>
      <c r="H118" s="1227"/>
      <c r="I118" s="2035"/>
      <c r="J118" s="1045"/>
      <c r="K118" s="596" t="s">
        <v>171</v>
      </c>
      <c r="L118" s="597" t="s">
        <v>161</v>
      </c>
      <c r="M118" s="598"/>
      <c r="O118" s="183">
        <v>7</v>
      </c>
      <c r="P118" s="568" t="s">
        <v>157</v>
      </c>
    </row>
    <row r="119" spans="1:16" ht="36.75" customHeight="1" x14ac:dyDescent="0.2">
      <c r="A119" s="572" t="s">
        <v>69</v>
      </c>
      <c r="B119" s="931"/>
      <c r="C119" s="1929" t="s">
        <v>178</v>
      </c>
      <c r="D119" s="1930"/>
      <c r="E119" s="1930"/>
      <c r="F119" s="1930"/>
      <c r="G119" s="1930"/>
      <c r="H119" s="1931"/>
      <c r="I119" s="2036"/>
      <c r="J119" s="916"/>
      <c r="K119" s="596" t="s">
        <v>171</v>
      </c>
      <c r="L119" s="597" t="s">
        <v>161</v>
      </c>
      <c r="M119" s="598"/>
      <c r="O119" s="183">
        <v>7</v>
      </c>
      <c r="P119" s="568" t="s">
        <v>157</v>
      </c>
    </row>
    <row r="120" spans="1:16" s="66" customFormat="1" ht="73.5" customHeight="1" x14ac:dyDescent="0.2">
      <c r="A120" s="572"/>
      <c r="B120" s="533" t="s">
        <v>179</v>
      </c>
      <c r="C120" s="1932" t="s">
        <v>180</v>
      </c>
      <c r="D120" s="1933"/>
      <c r="E120" s="1933" t="s">
        <v>181</v>
      </c>
      <c r="F120" s="1933"/>
      <c r="G120" s="601"/>
      <c r="H120" s="602"/>
      <c r="I120" s="811">
        <v>60</v>
      </c>
      <c r="J120" s="271">
        <v>0.7</v>
      </c>
      <c r="K120" s="597" t="s">
        <v>182</v>
      </c>
      <c r="L120" s="597" t="s">
        <v>161</v>
      </c>
      <c r="M120" s="67"/>
      <c r="N120" s="182" t="s">
        <v>30</v>
      </c>
      <c r="O120" s="183">
        <v>7</v>
      </c>
      <c r="P120" s="568" t="s">
        <v>157</v>
      </c>
    </row>
    <row r="121" spans="1:16" s="66" customFormat="1" ht="54.95" customHeight="1" x14ac:dyDescent="0.2">
      <c r="A121" s="572"/>
      <c r="B121" s="533" t="s">
        <v>898</v>
      </c>
      <c r="C121" s="2037" t="s">
        <v>616</v>
      </c>
      <c r="D121" s="2038"/>
      <c r="E121" s="2038"/>
      <c r="F121" s="2038"/>
      <c r="G121" s="2038"/>
      <c r="H121" s="2039"/>
      <c r="I121" s="604">
        <f>+'[2]Datos REG y HIJOS'!$D$33</f>
        <v>50</v>
      </c>
      <c r="J121" s="605">
        <f>+'[2]Datos REG y HIJOS'!$E$33</f>
        <v>0.8</v>
      </c>
      <c r="K121" s="597" t="s">
        <v>617</v>
      </c>
      <c r="L121" s="606" t="s">
        <v>618</v>
      </c>
      <c r="M121" s="67"/>
      <c r="N121" s="182" t="s">
        <v>30</v>
      </c>
      <c r="O121" s="183">
        <v>7</v>
      </c>
      <c r="P121" s="568" t="s">
        <v>157</v>
      </c>
    </row>
    <row r="122" spans="1:16" s="66" customFormat="1" ht="54.95" customHeight="1" x14ac:dyDescent="0.2">
      <c r="A122" s="572"/>
      <c r="B122" s="533" t="s">
        <v>615</v>
      </c>
      <c r="C122" s="2040" t="s">
        <v>773</v>
      </c>
      <c r="D122" s="2041"/>
      <c r="E122" s="2041"/>
      <c r="F122" s="2041"/>
      <c r="G122" s="2041"/>
      <c r="H122" s="2042"/>
      <c r="I122" s="604">
        <f>+'[2]Datos REG y HIJOS'!$D$34</f>
        <v>50</v>
      </c>
      <c r="J122" s="605">
        <f>+'[2]Datos REG y HIJOS'!$E$34</f>
        <v>0.8</v>
      </c>
      <c r="K122" s="597" t="s">
        <v>774</v>
      </c>
      <c r="L122" s="606" t="s">
        <v>618</v>
      </c>
      <c r="M122" s="67"/>
      <c r="N122" s="182" t="s">
        <v>30</v>
      </c>
      <c r="O122" s="183">
        <v>7</v>
      </c>
      <c r="P122" s="568" t="s">
        <v>157</v>
      </c>
    </row>
    <row r="123" spans="1:16" s="66" customFormat="1" ht="92.25" customHeight="1" x14ac:dyDescent="0.2">
      <c r="A123" s="572"/>
      <c r="B123" s="1161" t="s">
        <v>183</v>
      </c>
      <c r="C123" s="1162"/>
      <c r="D123" s="1162"/>
      <c r="E123" s="1162"/>
      <c r="F123" s="1162"/>
      <c r="G123" s="1162"/>
      <c r="H123" s="1162"/>
      <c r="I123" s="1162"/>
      <c r="J123" s="1163"/>
      <c r="K123" s="597"/>
      <c r="L123" s="606"/>
      <c r="M123" s="67"/>
      <c r="N123" s="182"/>
      <c r="O123" s="183"/>
      <c r="P123" s="568"/>
    </row>
    <row r="124" spans="1:16" s="66" customFormat="1" ht="18.75" customHeight="1" x14ac:dyDescent="0.2">
      <c r="A124" s="572"/>
      <c r="B124" s="1252" t="s">
        <v>184</v>
      </c>
      <c r="C124" s="1252"/>
      <c r="D124" s="1252"/>
      <c r="E124" s="1252"/>
      <c r="F124" s="1252"/>
      <c r="G124" s="1252"/>
      <c r="H124" s="1252"/>
      <c r="I124" s="1252"/>
      <c r="J124" s="1252"/>
      <c r="K124" s="597"/>
      <c r="L124" s="606"/>
      <c r="M124" s="67"/>
      <c r="N124" s="182"/>
      <c r="O124" s="183"/>
      <c r="P124" s="568"/>
    </row>
    <row r="125" spans="1:16" ht="20.100000000000001" customHeight="1" x14ac:dyDescent="0.2">
      <c r="A125" s="45"/>
      <c r="B125" s="609"/>
      <c r="C125" s="610"/>
      <c r="D125" s="611"/>
      <c r="E125" s="611"/>
      <c r="F125" s="611"/>
      <c r="G125" s="611"/>
      <c r="H125" s="611"/>
      <c r="I125" s="612"/>
      <c r="J125" s="114"/>
      <c r="L125" s="561"/>
      <c r="M125" s="181"/>
      <c r="O125" s="561"/>
      <c r="P125" s="45"/>
    </row>
    <row r="126" spans="1:16" ht="30" customHeight="1" x14ac:dyDescent="0.2">
      <c r="A126" s="45"/>
      <c r="B126" s="1662" t="s">
        <v>185</v>
      </c>
      <c r="C126" s="1663"/>
      <c r="D126" s="1663"/>
      <c r="E126" s="1663"/>
      <c r="F126" s="1663"/>
      <c r="G126" s="1663"/>
      <c r="H126" s="1664"/>
      <c r="I126" s="406" t="s">
        <v>17</v>
      </c>
      <c r="J126" s="35" t="s">
        <v>18</v>
      </c>
      <c r="K126" s="226" t="s">
        <v>186</v>
      </c>
      <c r="L126" s="183">
        <v>8</v>
      </c>
      <c r="N126" s="182" t="s">
        <v>30</v>
      </c>
      <c r="O126" s="183">
        <v>8</v>
      </c>
      <c r="P126" s="568" t="s">
        <v>187</v>
      </c>
    </row>
    <row r="127" spans="1:16" ht="36" customHeight="1" x14ac:dyDescent="0.2">
      <c r="A127" s="45"/>
      <c r="B127" s="1736" t="s">
        <v>21</v>
      </c>
      <c r="C127" s="1737"/>
      <c r="D127" s="1737"/>
      <c r="E127" s="1737"/>
      <c r="F127" s="1737"/>
      <c r="G127" s="1737"/>
      <c r="H127" s="1737"/>
      <c r="I127" s="1737"/>
      <c r="J127" s="1738"/>
      <c r="O127" s="183">
        <v>8</v>
      </c>
      <c r="P127" s="568" t="s">
        <v>187</v>
      </c>
    </row>
    <row r="128" spans="1:16" ht="175.5" customHeight="1" x14ac:dyDescent="0.2">
      <c r="A128" s="39"/>
      <c r="B128" s="163" t="s">
        <v>188</v>
      </c>
      <c r="C128" s="1166" t="s">
        <v>821</v>
      </c>
      <c r="D128" s="1167"/>
      <c r="E128" s="1167"/>
      <c r="F128" s="1167"/>
      <c r="G128" s="1167"/>
      <c r="H128" s="1168"/>
      <c r="I128" s="164">
        <v>40</v>
      </c>
      <c r="J128" s="42">
        <v>1</v>
      </c>
      <c r="K128" s="613" t="s">
        <v>24</v>
      </c>
      <c r="L128" s="613" t="s">
        <v>190</v>
      </c>
      <c r="M128" s="67"/>
      <c r="N128" s="182" t="s">
        <v>30</v>
      </c>
      <c r="O128" s="183">
        <v>8</v>
      </c>
      <c r="P128" s="568" t="s">
        <v>187</v>
      </c>
    </row>
    <row r="129" spans="1:16" ht="30" customHeight="1" x14ac:dyDescent="0.2">
      <c r="A129" s="45"/>
      <c r="B129" s="1236" t="s">
        <v>191</v>
      </c>
      <c r="C129" s="1217" t="s">
        <v>192</v>
      </c>
      <c r="D129" s="1016"/>
      <c r="E129" s="1016" t="s">
        <v>193</v>
      </c>
      <c r="F129" s="1016"/>
      <c r="G129" s="1016" t="s">
        <v>194</v>
      </c>
      <c r="H129" s="1125"/>
      <c r="I129" s="1926">
        <f>'[2]Datos REG y HIJOS'!$D$3</f>
        <v>35</v>
      </c>
      <c r="J129" s="1241">
        <f>'[2]Datos REG y HIJOS'!$E$3</f>
        <v>0.9</v>
      </c>
      <c r="K129" s="614" t="s">
        <v>26</v>
      </c>
      <c r="L129" s="613" t="s">
        <v>190</v>
      </c>
      <c r="M129" s="598"/>
      <c r="N129" s="182" t="s">
        <v>30</v>
      </c>
      <c r="O129" s="183">
        <v>8</v>
      </c>
      <c r="P129" s="568" t="s">
        <v>187</v>
      </c>
    </row>
    <row r="130" spans="1:16" ht="30" customHeight="1" x14ac:dyDescent="0.2">
      <c r="A130" s="45"/>
      <c r="B130" s="1237"/>
      <c r="C130" s="1244" t="s">
        <v>195</v>
      </c>
      <c r="D130" s="1245"/>
      <c r="E130" s="1245" t="s">
        <v>196</v>
      </c>
      <c r="F130" s="1245"/>
      <c r="G130" s="1245" t="s">
        <v>197</v>
      </c>
      <c r="H130" s="1246"/>
      <c r="I130" s="1927"/>
      <c r="J130" s="1242"/>
      <c r="K130" s="614" t="s">
        <v>26</v>
      </c>
      <c r="L130" s="613" t="s">
        <v>190</v>
      </c>
      <c r="M130" s="598"/>
      <c r="O130" s="183">
        <v>8</v>
      </c>
      <c r="P130" s="568" t="s">
        <v>187</v>
      </c>
    </row>
    <row r="131" spans="1:16" ht="30" customHeight="1" x14ac:dyDescent="0.2">
      <c r="A131" s="45"/>
      <c r="B131" s="1237"/>
      <c r="C131" s="1247" t="s">
        <v>31</v>
      </c>
      <c r="D131" s="1248"/>
      <c r="E131" s="1022" t="s">
        <v>198</v>
      </c>
      <c r="F131" s="1022"/>
      <c r="G131" s="1245" t="s">
        <v>199</v>
      </c>
      <c r="H131" s="1246"/>
      <c r="I131" s="1927"/>
      <c r="J131" s="1242"/>
      <c r="K131" s="614" t="s">
        <v>26</v>
      </c>
      <c r="L131" s="613" t="s">
        <v>190</v>
      </c>
      <c r="M131" s="598"/>
      <c r="O131" s="183">
        <v>8</v>
      </c>
      <c r="P131" s="568" t="s">
        <v>187</v>
      </c>
    </row>
    <row r="132" spans="1:16" ht="30" customHeight="1" x14ac:dyDescent="0.2">
      <c r="A132" s="45"/>
      <c r="B132" s="1237"/>
      <c r="C132" s="1046" t="s">
        <v>32</v>
      </c>
      <c r="D132" s="1022"/>
      <c r="E132" s="1022" t="s">
        <v>29</v>
      </c>
      <c r="F132" s="1022"/>
      <c r="G132" s="1022" t="s">
        <v>200</v>
      </c>
      <c r="H132" s="1028"/>
      <c r="I132" s="1927"/>
      <c r="J132" s="1242"/>
      <c r="K132" s="614" t="s">
        <v>26</v>
      </c>
      <c r="L132" s="613" t="s">
        <v>190</v>
      </c>
      <c r="M132" s="598"/>
      <c r="O132" s="183">
        <v>8</v>
      </c>
      <c r="P132" s="568" t="s">
        <v>187</v>
      </c>
    </row>
    <row r="133" spans="1:16" ht="30" customHeight="1" x14ac:dyDescent="0.2">
      <c r="A133" s="45"/>
      <c r="B133" s="1237"/>
      <c r="C133" s="1046" t="s">
        <v>38</v>
      </c>
      <c r="D133" s="1022"/>
      <c r="E133" s="1180" t="s">
        <v>34</v>
      </c>
      <c r="F133" s="1180"/>
      <c r="G133" s="1022" t="s">
        <v>27</v>
      </c>
      <c r="H133" s="1028"/>
      <c r="I133" s="1927"/>
      <c r="J133" s="1242"/>
      <c r="K133" s="614" t="s">
        <v>26</v>
      </c>
      <c r="L133" s="613" t="s">
        <v>190</v>
      </c>
      <c r="M133" s="598"/>
      <c r="O133" s="183">
        <v>8</v>
      </c>
      <c r="P133" s="568" t="s">
        <v>187</v>
      </c>
    </row>
    <row r="134" spans="1:16" ht="30" customHeight="1" x14ac:dyDescent="0.2">
      <c r="A134" s="45"/>
      <c r="B134" s="1238"/>
      <c r="C134" s="1181" t="s">
        <v>37</v>
      </c>
      <c r="D134" s="1182"/>
      <c r="E134" s="1177"/>
      <c r="F134" s="1177"/>
      <c r="G134" s="1034"/>
      <c r="H134" s="1035"/>
      <c r="I134" s="1928"/>
      <c r="J134" s="1243"/>
      <c r="K134" s="614" t="s">
        <v>26</v>
      </c>
      <c r="L134" s="613" t="s">
        <v>190</v>
      </c>
      <c r="M134" s="598"/>
      <c r="O134" s="183">
        <v>8</v>
      </c>
      <c r="P134" s="568" t="s">
        <v>187</v>
      </c>
    </row>
    <row r="135" spans="1:16" ht="39.950000000000003" customHeight="1" x14ac:dyDescent="0.2">
      <c r="A135" s="45"/>
      <c r="B135" s="1236" t="s">
        <v>201</v>
      </c>
      <c r="C135" s="1150" t="s">
        <v>42</v>
      </c>
      <c r="D135" s="1149"/>
      <c r="E135" s="1188" t="s">
        <v>202</v>
      </c>
      <c r="F135" s="1188"/>
      <c r="G135" s="1188" t="s">
        <v>203</v>
      </c>
      <c r="H135" s="1189"/>
      <c r="I135" s="1926">
        <f>'[2]Datos REG y HIJOS'!$D$4</f>
        <v>35</v>
      </c>
      <c r="J135" s="1241">
        <f>'[2]Datos REG y HIJOS'!$E$4</f>
        <v>0.9</v>
      </c>
      <c r="K135" s="614" t="s">
        <v>40</v>
      </c>
      <c r="L135" s="613" t="s">
        <v>190</v>
      </c>
      <c r="M135" s="598"/>
      <c r="N135" s="182" t="s">
        <v>30</v>
      </c>
      <c r="O135" s="183">
        <v>8</v>
      </c>
      <c r="P135" s="568" t="s">
        <v>187</v>
      </c>
    </row>
    <row r="136" spans="1:16" ht="39.950000000000003" customHeight="1" x14ac:dyDescent="0.2">
      <c r="A136" s="45"/>
      <c r="B136" s="1237"/>
      <c r="C136" s="1144" t="s">
        <v>204</v>
      </c>
      <c r="D136" s="1145"/>
      <c r="E136" s="1145" t="s">
        <v>234</v>
      </c>
      <c r="F136" s="1145"/>
      <c r="G136" s="1145" t="s">
        <v>206</v>
      </c>
      <c r="H136" s="1146"/>
      <c r="I136" s="1927"/>
      <c r="J136" s="1242"/>
      <c r="K136" s="614" t="s">
        <v>40</v>
      </c>
      <c r="L136" s="613" t="s">
        <v>190</v>
      </c>
      <c r="M136" s="598"/>
      <c r="O136" s="183">
        <v>8</v>
      </c>
      <c r="P136" s="568" t="s">
        <v>187</v>
      </c>
    </row>
    <row r="137" spans="1:16" ht="39.950000000000003" customHeight="1" x14ac:dyDescent="0.2">
      <c r="A137" s="45"/>
      <c r="B137" s="1237"/>
      <c r="C137" s="1144" t="s">
        <v>207</v>
      </c>
      <c r="D137" s="1145"/>
      <c r="E137" s="1145" t="s">
        <v>208</v>
      </c>
      <c r="F137" s="1145"/>
      <c r="G137" s="957" t="s">
        <v>63</v>
      </c>
      <c r="H137" s="958"/>
      <c r="I137" s="1927"/>
      <c r="J137" s="1242"/>
      <c r="K137" s="614" t="s">
        <v>40</v>
      </c>
      <c r="L137" s="613" t="s">
        <v>190</v>
      </c>
      <c r="M137" s="598"/>
      <c r="O137" s="183">
        <v>8</v>
      </c>
      <c r="P137" s="568" t="s">
        <v>187</v>
      </c>
    </row>
    <row r="138" spans="1:16" ht="39.950000000000003" customHeight="1" x14ac:dyDescent="0.2">
      <c r="A138" s="45"/>
      <c r="B138" s="1237"/>
      <c r="C138" s="1144" t="s">
        <v>209</v>
      </c>
      <c r="D138" s="1145"/>
      <c r="E138" s="1145" t="s">
        <v>44</v>
      </c>
      <c r="F138" s="1145"/>
      <c r="G138" s="1145" t="s">
        <v>48</v>
      </c>
      <c r="H138" s="1146"/>
      <c r="I138" s="1927"/>
      <c r="J138" s="1242"/>
      <c r="K138" s="614" t="s">
        <v>40</v>
      </c>
      <c r="L138" s="613" t="s">
        <v>190</v>
      </c>
      <c r="M138" s="598"/>
      <c r="O138" s="183">
        <v>8</v>
      </c>
      <c r="P138" s="568" t="s">
        <v>187</v>
      </c>
    </row>
    <row r="139" spans="1:16" ht="39.950000000000003" customHeight="1" x14ac:dyDescent="0.2">
      <c r="A139" s="45"/>
      <c r="B139" s="1237"/>
      <c r="C139" s="965" t="s">
        <v>54</v>
      </c>
      <c r="D139" s="957"/>
      <c r="E139" s="957" t="s">
        <v>58</v>
      </c>
      <c r="F139" s="957"/>
      <c r="G139" s="1145"/>
      <c r="H139" s="1146"/>
      <c r="I139" s="1927"/>
      <c r="J139" s="1242"/>
      <c r="K139" s="614" t="s">
        <v>40</v>
      </c>
      <c r="L139" s="613" t="s">
        <v>190</v>
      </c>
      <c r="M139" s="598"/>
      <c r="O139" s="183">
        <v>8</v>
      </c>
      <c r="P139" s="568" t="s">
        <v>187</v>
      </c>
    </row>
    <row r="140" spans="1:16" ht="39.950000000000003" customHeight="1" x14ac:dyDescent="0.2">
      <c r="A140" s="45"/>
      <c r="B140" s="1238"/>
      <c r="C140" s="1147" t="s">
        <v>210</v>
      </c>
      <c r="D140" s="1148"/>
      <c r="E140" s="1148"/>
      <c r="F140" s="1148"/>
      <c r="G140" s="1148"/>
      <c r="H140" s="1152"/>
      <c r="I140" s="1928"/>
      <c r="J140" s="1243"/>
      <c r="K140" s="614" t="s">
        <v>40</v>
      </c>
      <c r="L140" s="613" t="s">
        <v>190</v>
      </c>
      <c r="M140" s="598"/>
      <c r="O140" s="183">
        <v>8</v>
      </c>
      <c r="P140" s="568" t="s">
        <v>187</v>
      </c>
    </row>
    <row r="141" spans="1:16" ht="30" customHeight="1" x14ac:dyDescent="0.2">
      <c r="A141" s="45"/>
      <c r="B141" s="1047" t="s">
        <v>211</v>
      </c>
      <c r="C141" s="1217" t="s">
        <v>212</v>
      </c>
      <c r="D141" s="1016"/>
      <c r="E141" s="1016" t="s">
        <v>213</v>
      </c>
      <c r="F141" s="1016"/>
      <c r="G141" s="1016" t="s">
        <v>877</v>
      </c>
      <c r="H141" s="1125"/>
      <c r="I141" s="1698">
        <f>'[2]Datos REG y HIJOS'!$D$5</f>
        <v>40</v>
      </c>
      <c r="J141" s="915">
        <f>'[2]Datos REG y HIJOS'!$E$5</f>
        <v>0.9</v>
      </c>
      <c r="K141" s="614" t="s">
        <v>71</v>
      </c>
      <c r="L141" s="613" t="s">
        <v>190</v>
      </c>
      <c r="M141" s="598"/>
      <c r="N141" s="182" t="s">
        <v>30</v>
      </c>
      <c r="O141" s="183">
        <v>8</v>
      </c>
      <c r="P141" s="568" t="s">
        <v>187</v>
      </c>
    </row>
    <row r="142" spans="1:16" ht="30" customHeight="1" x14ac:dyDescent="0.2">
      <c r="A142" s="45"/>
      <c r="B142" s="1109"/>
      <c r="C142" s="1216" t="s">
        <v>215</v>
      </c>
      <c r="D142" s="1108"/>
      <c r="E142" s="1180" t="s">
        <v>216</v>
      </c>
      <c r="F142" s="1180"/>
      <c r="G142" s="1180" t="s">
        <v>79</v>
      </c>
      <c r="H142" s="1227"/>
      <c r="I142" s="1699"/>
      <c r="J142" s="1045"/>
      <c r="K142" s="614" t="s">
        <v>71</v>
      </c>
      <c r="L142" s="613" t="s">
        <v>190</v>
      </c>
      <c r="M142" s="598"/>
      <c r="O142" s="183">
        <v>8</v>
      </c>
      <c r="P142" s="568" t="s">
        <v>187</v>
      </c>
    </row>
    <row r="143" spans="1:16" ht="30" customHeight="1" x14ac:dyDescent="0.2">
      <c r="A143" s="45"/>
      <c r="B143" s="1109"/>
      <c r="C143" s="1218" t="s">
        <v>74</v>
      </c>
      <c r="D143" s="1180"/>
      <c r="E143" s="1180" t="s">
        <v>217</v>
      </c>
      <c r="F143" s="1180"/>
      <c r="G143" s="1022" t="s">
        <v>82</v>
      </c>
      <c r="H143" s="1028"/>
      <c r="I143" s="1699"/>
      <c r="J143" s="1045"/>
      <c r="K143" s="614" t="s">
        <v>71</v>
      </c>
      <c r="L143" s="613" t="s">
        <v>190</v>
      </c>
      <c r="M143" s="598"/>
      <c r="O143" s="183">
        <v>8</v>
      </c>
      <c r="P143" s="568" t="s">
        <v>187</v>
      </c>
    </row>
    <row r="144" spans="1:16" ht="30" customHeight="1" x14ac:dyDescent="0.2">
      <c r="A144" s="45"/>
      <c r="B144" s="1109"/>
      <c r="C144" s="1046" t="s">
        <v>80</v>
      </c>
      <c r="D144" s="1022"/>
      <c r="E144" s="1180" t="s">
        <v>72</v>
      </c>
      <c r="F144" s="1180"/>
      <c r="G144" s="1180" t="s">
        <v>75</v>
      </c>
      <c r="H144" s="1227"/>
      <c r="I144" s="1699"/>
      <c r="J144" s="1045"/>
      <c r="K144" s="614" t="s">
        <v>71</v>
      </c>
      <c r="L144" s="613" t="s">
        <v>190</v>
      </c>
      <c r="M144" s="598"/>
      <c r="O144" s="183">
        <v>8</v>
      </c>
      <c r="P144" s="568" t="s">
        <v>187</v>
      </c>
    </row>
    <row r="145" spans="1:16" ht="30" customHeight="1" x14ac:dyDescent="0.2">
      <c r="A145" s="45"/>
      <c r="B145" s="1109"/>
      <c r="C145" s="1218" t="s">
        <v>76</v>
      </c>
      <c r="D145" s="1180"/>
      <c r="E145" s="1022" t="s">
        <v>81</v>
      </c>
      <c r="F145" s="1022"/>
      <c r="G145" s="1180" t="s">
        <v>73</v>
      </c>
      <c r="H145" s="1227"/>
      <c r="I145" s="1699"/>
      <c r="J145" s="1045"/>
      <c r="K145" s="614" t="s">
        <v>71</v>
      </c>
      <c r="L145" s="613" t="s">
        <v>190</v>
      </c>
      <c r="M145" s="598"/>
      <c r="O145" s="183">
        <v>8</v>
      </c>
      <c r="P145" s="568" t="s">
        <v>187</v>
      </c>
    </row>
    <row r="146" spans="1:16" ht="30" customHeight="1" x14ac:dyDescent="0.2">
      <c r="A146" s="45"/>
      <c r="B146" s="1109"/>
      <c r="C146" s="1046" t="s">
        <v>39</v>
      </c>
      <c r="D146" s="1022"/>
      <c r="E146" s="1180" t="s">
        <v>77</v>
      </c>
      <c r="F146" s="1180"/>
      <c r="G146" s="1022" t="s">
        <v>218</v>
      </c>
      <c r="H146" s="1028"/>
      <c r="I146" s="1699"/>
      <c r="J146" s="1045"/>
      <c r="K146" s="614" t="s">
        <v>71</v>
      </c>
      <c r="L146" s="613" t="s">
        <v>190</v>
      </c>
      <c r="M146" s="598"/>
      <c r="O146" s="183">
        <v>8</v>
      </c>
      <c r="P146" s="568" t="s">
        <v>187</v>
      </c>
    </row>
    <row r="147" spans="1:16" ht="30" customHeight="1" x14ac:dyDescent="0.2">
      <c r="A147" s="45"/>
      <c r="B147" s="1048"/>
      <c r="C147" s="1116" t="s">
        <v>78</v>
      </c>
      <c r="D147" s="1034"/>
      <c r="E147" s="50"/>
      <c r="F147" s="50"/>
      <c r="G147" s="1034"/>
      <c r="H147" s="1035"/>
      <c r="I147" s="1700"/>
      <c r="J147" s="916"/>
      <c r="K147" s="614" t="s">
        <v>71</v>
      </c>
      <c r="L147" s="613" t="s">
        <v>190</v>
      </c>
      <c r="M147" s="598"/>
      <c r="O147" s="183">
        <v>8</v>
      </c>
      <c r="P147" s="568" t="s">
        <v>187</v>
      </c>
    </row>
    <row r="148" spans="1:16" ht="39.950000000000003" customHeight="1" x14ac:dyDescent="0.2">
      <c r="B148" s="1120" t="s">
        <v>219</v>
      </c>
      <c r="C148" s="1211" t="s">
        <v>572</v>
      </c>
      <c r="D148" s="1190"/>
      <c r="E148" s="1108" t="s">
        <v>378</v>
      </c>
      <c r="F148" s="1108"/>
      <c r="G148" s="969" t="s">
        <v>342</v>
      </c>
      <c r="H148" s="1193"/>
      <c r="I148" s="1887">
        <f>'[2]Datos REG y HIJOS'!$D$6</f>
        <v>40</v>
      </c>
      <c r="J148" s="915">
        <f>'[2]Datos REG y HIJOS'!$E$6</f>
        <v>0.85</v>
      </c>
      <c r="K148" s="614" t="s">
        <v>85</v>
      </c>
      <c r="L148" s="613" t="s">
        <v>190</v>
      </c>
      <c r="M148" s="598"/>
      <c r="N148" s="182" t="s">
        <v>30</v>
      </c>
      <c r="O148" s="183">
        <v>8</v>
      </c>
      <c r="P148" s="568" t="s">
        <v>187</v>
      </c>
    </row>
    <row r="149" spans="1:16" ht="39.950000000000003" customHeight="1" x14ac:dyDescent="0.2">
      <c r="B149" s="1121"/>
      <c r="C149" s="1211" t="s">
        <v>86</v>
      </c>
      <c r="D149" s="1190"/>
      <c r="E149" s="1190" t="s">
        <v>574</v>
      </c>
      <c r="F149" s="1190"/>
      <c r="G149" s="1022" t="s">
        <v>402</v>
      </c>
      <c r="H149" s="1028"/>
      <c r="I149" s="1892"/>
      <c r="J149" s="1045"/>
      <c r="K149" s="614" t="s">
        <v>85</v>
      </c>
      <c r="L149" s="613" t="s">
        <v>190</v>
      </c>
      <c r="M149" s="598"/>
      <c r="O149" s="183">
        <v>8</v>
      </c>
      <c r="P149" s="568" t="s">
        <v>187</v>
      </c>
    </row>
    <row r="150" spans="1:16" ht="39.950000000000003" customHeight="1" x14ac:dyDescent="0.2">
      <c r="B150" s="1121"/>
      <c r="C150" s="1211" t="s">
        <v>576</v>
      </c>
      <c r="D150" s="1190"/>
      <c r="E150" s="1190" t="s">
        <v>577</v>
      </c>
      <c r="F150" s="1190"/>
      <c r="G150" s="1190" t="s">
        <v>575</v>
      </c>
      <c r="H150" s="1212"/>
      <c r="I150" s="1892"/>
      <c r="J150" s="1045"/>
      <c r="K150" s="614" t="s">
        <v>85</v>
      </c>
      <c r="L150" s="613" t="s">
        <v>190</v>
      </c>
      <c r="M150" s="598"/>
      <c r="O150" s="183">
        <v>8</v>
      </c>
      <c r="P150" s="568" t="s">
        <v>187</v>
      </c>
    </row>
    <row r="151" spans="1:16" ht="39.950000000000003" customHeight="1" x14ac:dyDescent="0.2">
      <c r="B151" s="1121"/>
      <c r="C151" s="1211" t="s">
        <v>579</v>
      </c>
      <c r="D151" s="1190"/>
      <c r="E151" s="1190" t="s">
        <v>578</v>
      </c>
      <c r="F151" s="1190"/>
      <c r="G151" s="1190" t="s">
        <v>580</v>
      </c>
      <c r="H151" s="1212"/>
      <c r="I151" s="1892"/>
      <c r="J151" s="1045"/>
      <c r="K151" s="614" t="s">
        <v>85</v>
      </c>
      <c r="L151" s="613" t="s">
        <v>190</v>
      </c>
      <c r="M151" s="598"/>
      <c r="O151" s="183">
        <v>8</v>
      </c>
      <c r="P151" s="568" t="s">
        <v>187</v>
      </c>
    </row>
    <row r="152" spans="1:16" ht="39.950000000000003" customHeight="1" x14ac:dyDescent="0.2">
      <c r="B152" s="1122"/>
      <c r="C152" s="1211" t="s">
        <v>581</v>
      </c>
      <c r="D152" s="1190"/>
      <c r="E152" s="1180" t="s">
        <v>573</v>
      </c>
      <c r="F152" s="1180"/>
      <c r="G152" s="1022"/>
      <c r="H152" s="1028"/>
      <c r="I152" s="1888"/>
      <c r="J152" s="916"/>
      <c r="K152" s="614" t="s">
        <v>85</v>
      </c>
      <c r="L152" s="613" t="s">
        <v>190</v>
      </c>
      <c r="M152" s="598"/>
      <c r="O152" s="183">
        <v>8</v>
      </c>
      <c r="P152" s="568" t="s">
        <v>187</v>
      </c>
    </row>
    <row r="153" spans="1:16" ht="30" customHeight="1" x14ac:dyDescent="0.2">
      <c r="B153" s="1236" t="s">
        <v>220</v>
      </c>
      <c r="C153" s="1187" t="s">
        <v>88</v>
      </c>
      <c r="D153" s="1188"/>
      <c r="E153" s="1130" t="s">
        <v>89</v>
      </c>
      <c r="F153" s="1130"/>
      <c r="G153" s="1195" t="s">
        <v>90</v>
      </c>
      <c r="H153" s="1226"/>
      <c r="I153" s="2034">
        <f>'[2]Datos REG y HIJOS'!$D$7</f>
        <v>45</v>
      </c>
      <c r="J153" s="915">
        <f>'[2]Datos REG y HIJOS'!$E$7</f>
        <v>0.85</v>
      </c>
      <c r="K153" s="614" t="s">
        <v>87</v>
      </c>
      <c r="L153" s="613" t="s">
        <v>190</v>
      </c>
      <c r="M153" s="598"/>
      <c r="N153" s="182" t="s">
        <v>30</v>
      </c>
      <c r="O153" s="183">
        <v>8</v>
      </c>
      <c r="P153" s="568" t="s">
        <v>187</v>
      </c>
    </row>
    <row r="154" spans="1:16" ht="30" customHeight="1" x14ac:dyDescent="0.2">
      <c r="B154" s="1237"/>
      <c r="C154" s="1211" t="s">
        <v>92</v>
      </c>
      <c r="D154" s="1190"/>
      <c r="E154" s="969" t="s">
        <v>221</v>
      </c>
      <c r="F154" s="969"/>
      <c r="G154" s="969" t="s">
        <v>222</v>
      </c>
      <c r="H154" s="1193"/>
      <c r="I154" s="2035"/>
      <c r="J154" s="1045"/>
      <c r="K154" s="614" t="s">
        <v>87</v>
      </c>
      <c r="L154" s="613" t="s">
        <v>190</v>
      </c>
      <c r="M154" s="598"/>
      <c r="N154" s="537"/>
      <c r="O154" s="183">
        <v>8</v>
      </c>
      <c r="P154" s="568" t="s">
        <v>187</v>
      </c>
    </row>
    <row r="155" spans="1:16" ht="30" customHeight="1" x14ac:dyDescent="0.2">
      <c r="B155" s="1237"/>
      <c r="C155" s="1046" t="s">
        <v>223</v>
      </c>
      <c r="D155" s="1022"/>
      <c r="E155" s="1022" t="s">
        <v>224</v>
      </c>
      <c r="F155" s="1022"/>
      <c r="G155" s="957" t="s">
        <v>225</v>
      </c>
      <c r="H155" s="958"/>
      <c r="I155" s="2035"/>
      <c r="J155" s="1045"/>
      <c r="K155" s="614" t="s">
        <v>87</v>
      </c>
      <c r="L155" s="613" t="s">
        <v>190</v>
      </c>
      <c r="M155" s="598"/>
      <c r="N155" s="537"/>
      <c r="O155" s="183">
        <v>8</v>
      </c>
      <c r="P155" s="568" t="s">
        <v>187</v>
      </c>
    </row>
    <row r="156" spans="1:16" ht="30" customHeight="1" x14ac:dyDescent="0.2">
      <c r="B156" s="1237"/>
      <c r="C156" s="1046" t="s">
        <v>226</v>
      </c>
      <c r="D156" s="1022"/>
      <c r="E156" s="1022" t="s">
        <v>227</v>
      </c>
      <c r="F156" s="1022"/>
      <c r="G156" s="24" t="s">
        <v>94</v>
      </c>
      <c r="H156" s="123"/>
      <c r="I156" s="2035"/>
      <c r="J156" s="1045"/>
      <c r="K156" s="614" t="s">
        <v>87</v>
      </c>
      <c r="L156" s="613" t="s">
        <v>190</v>
      </c>
      <c r="M156" s="598"/>
      <c r="N156" s="537"/>
      <c r="O156" s="183">
        <v>8</v>
      </c>
      <c r="P156" s="568" t="s">
        <v>187</v>
      </c>
    </row>
    <row r="157" spans="1:16" ht="30" customHeight="1" x14ac:dyDescent="0.2">
      <c r="B157" s="1238"/>
      <c r="C157" s="1116" t="s">
        <v>95</v>
      </c>
      <c r="D157" s="1034"/>
      <c r="E157" s="90"/>
      <c r="F157" s="90"/>
      <c r="G157" s="50"/>
      <c r="H157" s="124"/>
      <c r="I157" s="2036"/>
      <c r="J157" s="916"/>
      <c r="K157" s="614" t="s">
        <v>87</v>
      </c>
      <c r="L157" s="613" t="s">
        <v>190</v>
      </c>
      <c r="M157" s="598"/>
      <c r="N157" s="537"/>
      <c r="O157" s="183">
        <v>8</v>
      </c>
      <c r="P157" s="568" t="s">
        <v>187</v>
      </c>
    </row>
    <row r="158" spans="1:16" ht="39.75" customHeight="1" x14ac:dyDescent="0.2">
      <c r="B158" s="1479" t="s">
        <v>619</v>
      </c>
      <c r="C158" s="1211" t="s">
        <v>134</v>
      </c>
      <c r="D158" s="1190"/>
      <c r="E158" s="1190" t="s">
        <v>570</v>
      </c>
      <c r="F158" s="1190"/>
      <c r="G158" s="1190" t="s">
        <v>569</v>
      </c>
      <c r="H158" s="1212"/>
      <c r="I158" s="1921">
        <f>'[2]Datos REG y HIJOS'!$D$8</f>
        <v>45</v>
      </c>
      <c r="J158" s="1225">
        <f>'[2]Datos REG y HIJOS'!$E$8</f>
        <v>0.85</v>
      </c>
      <c r="K158" s="614" t="s">
        <v>567</v>
      </c>
      <c r="L158" s="613" t="s">
        <v>190</v>
      </c>
      <c r="M158" s="598"/>
      <c r="N158" s="182" t="s">
        <v>30</v>
      </c>
      <c r="O158" s="183">
        <v>8</v>
      </c>
      <c r="P158" s="568" t="s">
        <v>187</v>
      </c>
    </row>
    <row r="159" spans="1:16" ht="39.75" customHeight="1" x14ac:dyDescent="0.2">
      <c r="B159" s="1479"/>
      <c r="C159" s="1481" t="s">
        <v>620</v>
      </c>
      <c r="D159" s="1482"/>
      <c r="E159" s="1482" t="s">
        <v>621</v>
      </c>
      <c r="F159" s="1482"/>
      <c r="G159" s="1022" t="s">
        <v>622</v>
      </c>
      <c r="H159" s="1028"/>
      <c r="I159" s="1921"/>
      <c r="J159" s="1225"/>
      <c r="K159" s="614" t="s">
        <v>567</v>
      </c>
      <c r="L159" s="613" t="s">
        <v>190</v>
      </c>
      <c r="M159" s="598"/>
      <c r="N159" s="615"/>
      <c r="O159" s="183">
        <v>8</v>
      </c>
      <c r="P159" s="568" t="s">
        <v>187</v>
      </c>
    </row>
    <row r="160" spans="1:16" ht="39.75" customHeight="1" x14ac:dyDescent="0.2">
      <c r="B160" s="1479"/>
      <c r="C160" s="1206" t="s">
        <v>568</v>
      </c>
      <c r="D160" s="1207"/>
      <c r="E160" s="1207"/>
      <c r="F160" s="1207"/>
      <c r="G160" s="344"/>
      <c r="H160" s="345"/>
      <c r="I160" s="1921"/>
      <c r="J160" s="1225"/>
      <c r="K160" s="614" t="s">
        <v>567</v>
      </c>
      <c r="L160" s="613" t="s">
        <v>190</v>
      </c>
      <c r="M160" s="598"/>
      <c r="N160" s="615"/>
      <c r="O160" s="183">
        <v>8</v>
      </c>
      <c r="P160" s="568" t="s">
        <v>187</v>
      </c>
    </row>
    <row r="161" spans="1:16" s="66" customFormat="1" ht="39.950000000000003" customHeight="1" x14ac:dyDescent="0.2">
      <c r="A161" s="67"/>
      <c r="B161" s="1309" t="s">
        <v>625</v>
      </c>
      <c r="C161" s="1476" t="s">
        <v>585</v>
      </c>
      <c r="D161" s="1477"/>
      <c r="E161" s="1896" t="s">
        <v>587</v>
      </c>
      <c r="F161" s="1896"/>
      <c r="G161" s="1896" t="s">
        <v>588</v>
      </c>
      <c r="H161" s="1900"/>
      <c r="I161" s="1887">
        <f>'[2]Datos REG y HIJOS'!$D$10</f>
        <v>50</v>
      </c>
      <c r="J161" s="915">
        <f>'[2]Datos REG y HIJOS'!$E$10</f>
        <v>0.85</v>
      </c>
      <c r="K161" s="614" t="s">
        <v>584</v>
      </c>
      <c r="L161" s="613" t="s">
        <v>190</v>
      </c>
      <c r="M161" s="67"/>
      <c r="N161" s="182" t="s">
        <v>30</v>
      </c>
      <c r="O161" s="183">
        <v>8</v>
      </c>
      <c r="P161" s="568" t="s">
        <v>187</v>
      </c>
    </row>
    <row r="162" spans="1:16" s="66" customFormat="1" ht="30" customHeight="1" x14ac:dyDescent="0.2">
      <c r="A162" s="67"/>
      <c r="B162" s="1310"/>
      <c r="C162" s="1704" t="s">
        <v>586</v>
      </c>
      <c r="D162" s="1685"/>
      <c r="E162" s="82"/>
      <c r="F162" s="82"/>
      <c r="G162" s="1685"/>
      <c r="H162" s="1686"/>
      <c r="I162" s="1892"/>
      <c r="J162" s="1045"/>
      <c r="K162" s="614" t="s">
        <v>584</v>
      </c>
      <c r="L162" s="613" t="s">
        <v>190</v>
      </c>
      <c r="M162" s="67"/>
      <c r="O162" s="183">
        <v>8</v>
      </c>
      <c r="P162" s="568" t="s">
        <v>187</v>
      </c>
    </row>
    <row r="163" spans="1:16" s="803" customFormat="1" ht="30" customHeight="1" x14ac:dyDescent="0.2">
      <c r="A163" s="67"/>
      <c r="B163" s="1236" t="s">
        <v>623</v>
      </c>
      <c r="C163" s="2033" t="s">
        <v>596</v>
      </c>
      <c r="D163" s="2032"/>
      <c r="E163" s="1702" t="s">
        <v>597</v>
      </c>
      <c r="F163" s="1702"/>
      <c r="G163" s="1919" t="s">
        <v>598</v>
      </c>
      <c r="H163" s="1920"/>
      <c r="I163" s="1397">
        <f>'[2]Datos REG y HIJOS'!$D$9</f>
        <v>40</v>
      </c>
      <c r="J163" s="915">
        <f>'[2]Datos REG y HIJOS'!$E$9</f>
        <v>0.85</v>
      </c>
      <c r="K163" s="614" t="s">
        <v>571</v>
      </c>
      <c r="L163" s="613" t="s">
        <v>190</v>
      </c>
      <c r="M163" s="802"/>
      <c r="N163" s="182" t="s">
        <v>30</v>
      </c>
      <c r="O163" s="183">
        <v>8</v>
      </c>
      <c r="P163" s="568" t="s">
        <v>187</v>
      </c>
    </row>
    <row r="164" spans="1:16" s="803" customFormat="1" ht="30" customHeight="1" x14ac:dyDescent="0.2">
      <c r="A164" s="67"/>
      <c r="B164" s="1238"/>
      <c r="C164" s="2033" t="s">
        <v>599</v>
      </c>
      <c r="D164" s="2032"/>
      <c r="E164" s="2032" t="s">
        <v>600</v>
      </c>
      <c r="F164" s="2032"/>
      <c r="G164" s="812"/>
      <c r="H164" s="813"/>
      <c r="I164" s="1398"/>
      <c r="J164" s="916"/>
      <c r="K164" s="614" t="s">
        <v>571</v>
      </c>
      <c r="L164" s="613" t="s">
        <v>190</v>
      </c>
      <c r="M164" s="802"/>
      <c r="N164" s="67"/>
      <c r="O164" s="183">
        <v>8</v>
      </c>
      <c r="P164" s="568" t="s">
        <v>187</v>
      </c>
    </row>
    <row r="165" spans="1:16" s="803" customFormat="1" ht="30" customHeight="1" x14ac:dyDescent="0.2">
      <c r="A165" s="67"/>
      <c r="B165" s="1236" t="s">
        <v>626</v>
      </c>
      <c r="C165" s="1461" t="s">
        <v>592</v>
      </c>
      <c r="D165" s="1462"/>
      <c r="E165" s="1462" t="s">
        <v>176</v>
      </c>
      <c r="F165" s="1462"/>
      <c r="G165" s="1462" t="s">
        <v>593</v>
      </c>
      <c r="H165" s="1463"/>
      <c r="I165" s="2022">
        <f>'[2]Datos REG y HIJOS'!$D$11</f>
        <v>80</v>
      </c>
      <c r="J165" s="1449">
        <f>'[2]Datos REG y HIJOS'!$E$11</f>
        <v>0.75</v>
      </c>
      <c r="K165" s="614" t="s">
        <v>591</v>
      </c>
      <c r="L165" s="613" t="s">
        <v>190</v>
      </c>
      <c r="M165" s="66"/>
      <c r="N165" s="182" t="s">
        <v>30</v>
      </c>
      <c r="O165" s="183">
        <v>8</v>
      </c>
      <c r="P165" s="568" t="s">
        <v>187</v>
      </c>
    </row>
    <row r="166" spans="1:16" s="66" customFormat="1" ht="39.950000000000003" customHeight="1" x14ac:dyDescent="0.2">
      <c r="B166" s="1238"/>
      <c r="C166" s="1453" t="s">
        <v>594</v>
      </c>
      <c r="D166" s="1213"/>
      <c r="E166" s="166"/>
      <c r="F166" s="166"/>
      <c r="G166" s="166"/>
      <c r="H166" s="442"/>
      <c r="I166" s="2023"/>
      <c r="J166" s="1451"/>
      <c r="K166" s="614" t="s">
        <v>591</v>
      </c>
      <c r="L166" s="613" t="s">
        <v>190</v>
      </c>
      <c r="N166" s="67"/>
      <c r="O166" s="183">
        <v>8</v>
      </c>
      <c r="P166" s="568" t="s">
        <v>187</v>
      </c>
    </row>
    <row r="167" spans="1:16" s="66" customFormat="1" ht="30" customHeight="1" x14ac:dyDescent="0.2">
      <c r="A167" s="595"/>
      <c r="B167" s="1236" t="s">
        <v>775</v>
      </c>
      <c r="C167" s="1452" t="s">
        <v>776</v>
      </c>
      <c r="D167" s="1192"/>
      <c r="E167" s="346"/>
      <c r="F167" s="346"/>
      <c r="G167" s="346"/>
      <c r="H167" s="347"/>
      <c r="I167" s="1918">
        <f>+'[2]Datos REG y HIJOS'!$D$12</f>
        <v>90</v>
      </c>
      <c r="J167" s="1538">
        <f>'[2]Datos REG y HIJOS'!$E$12</f>
        <v>0.7</v>
      </c>
      <c r="K167" s="614" t="s">
        <v>758</v>
      </c>
      <c r="L167" s="613" t="s">
        <v>190</v>
      </c>
      <c r="N167" s="182" t="s">
        <v>30</v>
      </c>
      <c r="O167" s="183">
        <v>8</v>
      </c>
      <c r="P167" s="568" t="s">
        <v>187</v>
      </c>
    </row>
    <row r="168" spans="1:16" s="66" customFormat="1" ht="30" customHeight="1" x14ac:dyDescent="0.2">
      <c r="A168" s="572" t="s">
        <v>69</v>
      </c>
      <c r="B168" s="1238"/>
      <c r="C168" s="1453" t="s">
        <v>765</v>
      </c>
      <c r="D168" s="1213"/>
      <c r="E168" s="1213"/>
      <c r="F168" s="1213"/>
      <c r="G168" s="1213"/>
      <c r="H168" s="1454"/>
      <c r="I168" s="1918"/>
      <c r="J168" s="1538"/>
      <c r="K168" s="614" t="s">
        <v>758</v>
      </c>
      <c r="L168" s="613" t="s">
        <v>190</v>
      </c>
      <c r="N168" s="67"/>
      <c r="O168" s="183">
        <v>8</v>
      </c>
      <c r="P168" s="568" t="s">
        <v>187</v>
      </c>
    </row>
    <row r="169" spans="1:16" s="66" customFormat="1" ht="39.950000000000003" customHeight="1" x14ac:dyDescent="0.2">
      <c r="A169" s="67"/>
      <c r="B169" s="327" t="s">
        <v>628</v>
      </c>
      <c r="C169" s="1252" t="s">
        <v>602</v>
      </c>
      <c r="D169" s="1252"/>
      <c r="E169" s="1252"/>
      <c r="F169" s="1252"/>
      <c r="G169" s="1252"/>
      <c r="H169" s="1252"/>
      <c r="I169" s="409">
        <f>'[2]Datos REG y HIJOS'!$D$13</f>
        <v>35</v>
      </c>
      <c r="J169" s="42">
        <f>'[2]Datos REG y HIJOS'!$E$13</f>
        <v>0.9</v>
      </c>
      <c r="K169" s="614" t="s">
        <v>601</v>
      </c>
      <c r="L169" s="613" t="s">
        <v>190</v>
      </c>
      <c r="M169" s="67"/>
      <c r="N169" s="182" t="s">
        <v>30</v>
      </c>
      <c r="O169" s="183">
        <v>8</v>
      </c>
      <c r="P169" s="568" t="s">
        <v>187</v>
      </c>
    </row>
    <row r="170" spans="1:16" s="66" customFormat="1" ht="39.950000000000003" customHeight="1" x14ac:dyDescent="0.2">
      <c r="A170" s="67"/>
      <c r="B170" s="327" t="s">
        <v>629</v>
      </c>
      <c r="C170" s="1252" t="s">
        <v>604</v>
      </c>
      <c r="D170" s="1252"/>
      <c r="E170" s="1252"/>
      <c r="F170" s="1252"/>
      <c r="G170" s="1252"/>
      <c r="H170" s="1252"/>
      <c r="I170" s="409">
        <f>'[2]Datos REG y HIJOS'!$D$14</f>
        <v>55</v>
      </c>
      <c r="J170" s="42">
        <f>'[2]Datos REG y HIJOS'!$E$14</f>
        <v>0.85</v>
      </c>
      <c r="K170" s="614" t="s">
        <v>603</v>
      </c>
      <c r="L170" s="613" t="s">
        <v>190</v>
      </c>
      <c r="M170" s="67"/>
      <c r="N170" s="182" t="s">
        <v>30</v>
      </c>
      <c r="O170" s="183">
        <v>8</v>
      </c>
      <c r="P170" s="568" t="s">
        <v>187</v>
      </c>
    </row>
    <row r="171" spans="1:16" ht="39.950000000000003" customHeight="1" x14ac:dyDescent="0.2">
      <c r="A171" s="45"/>
      <c r="B171" s="327" t="s">
        <v>778</v>
      </c>
      <c r="C171" s="1252" t="s">
        <v>770</v>
      </c>
      <c r="D171" s="1252"/>
      <c r="E171" s="1252"/>
      <c r="F171" s="1252"/>
      <c r="G171" s="1252"/>
      <c r="H171" s="1252"/>
      <c r="I171" s="580">
        <f>'[2]Datos REG y HIJOS'!$D$15</f>
        <v>115</v>
      </c>
      <c r="J171" s="353">
        <f>'[2]Datos REG y HIJOS'!$E$15</f>
        <v>0.65</v>
      </c>
      <c r="K171" s="614" t="s">
        <v>769</v>
      </c>
      <c r="L171" s="613" t="s">
        <v>190</v>
      </c>
      <c r="M171" s="66"/>
      <c r="N171" s="182" t="s">
        <v>30</v>
      </c>
      <c r="O171" s="183">
        <v>8</v>
      </c>
      <c r="P171" s="568" t="s">
        <v>187</v>
      </c>
    </row>
    <row r="172" spans="1:16" s="66" customFormat="1" ht="30" customHeight="1" x14ac:dyDescent="0.2">
      <c r="A172" s="572"/>
      <c r="B172" s="327" t="s">
        <v>777</v>
      </c>
      <c r="C172" s="1432" t="s">
        <v>768</v>
      </c>
      <c r="D172" s="1433"/>
      <c r="E172" s="166"/>
      <c r="F172" s="166"/>
      <c r="G172" s="166"/>
      <c r="H172" s="442"/>
      <c r="I172" s="580">
        <v>120</v>
      </c>
      <c r="J172" s="353">
        <v>0.6</v>
      </c>
      <c r="L172" s="661"/>
      <c r="N172" s="67"/>
      <c r="O172" s="67"/>
      <c r="P172" s="586"/>
    </row>
    <row r="173" spans="1:16" ht="19.5" customHeight="1" x14ac:dyDescent="0.2">
      <c r="B173" s="616"/>
      <c r="C173" s="617"/>
      <c r="D173" s="617"/>
      <c r="E173" s="617"/>
      <c r="F173" s="617"/>
      <c r="G173" s="617"/>
      <c r="H173" s="617"/>
      <c r="I173" s="618"/>
      <c r="J173" s="128"/>
      <c r="L173" s="594"/>
      <c r="O173" s="594"/>
    </row>
    <row r="174" spans="1:16" ht="30" customHeight="1" x14ac:dyDescent="0.2">
      <c r="B174" s="1662" t="s">
        <v>228</v>
      </c>
      <c r="C174" s="1663"/>
      <c r="D174" s="1663"/>
      <c r="E174" s="1663"/>
      <c r="F174" s="1663"/>
      <c r="G174" s="1663"/>
      <c r="H174" s="1664"/>
      <c r="I174" s="406" t="s">
        <v>229</v>
      </c>
      <c r="J174" s="35" t="s">
        <v>18</v>
      </c>
      <c r="K174" s="226" t="s">
        <v>230</v>
      </c>
      <c r="L174" s="183">
        <v>9</v>
      </c>
      <c r="N174" s="182" t="s">
        <v>30</v>
      </c>
      <c r="O174" s="183">
        <v>9</v>
      </c>
    </row>
    <row r="175" spans="1:16" ht="30" customHeight="1" x14ac:dyDescent="0.2">
      <c r="B175" s="1736" t="s">
        <v>822</v>
      </c>
      <c r="C175" s="1914"/>
      <c r="D175" s="1914"/>
      <c r="E175" s="1914"/>
      <c r="F175" s="1914"/>
      <c r="G175" s="1914"/>
      <c r="H175" s="1914"/>
      <c r="I175" s="1737"/>
      <c r="J175" s="1738"/>
      <c r="K175" s="226" t="s">
        <v>230</v>
      </c>
      <c r="L175" s="183">
        <v>9</v>
      </c>
      <c r="O175" s="183">
        <v>9</v>
      </c>
    </row>
    <row r="176" spans="1:16" ht="39.950000000000003" customHeight="1" x14ac:dyDescent="0.2">
      <c r="B176" s="1915" t="s">
        <v>26</v>
      </c>
      <c r="C176" s="1203" t="s">
        <v>217</v>
      </c>
      <c r="D176" s="1204"/>
      <c r="E176" s="1204" t="s">
        <v>231</v>
      </c>
      <c r="F176" s="1204"/>
      <c r="G176" s="1204" t="s">
        <v>226</v>
      </c>
      <c r="H176" s="1205"/>
      <c r="I176" s="1698" t="s">
        <v>232</v>
      </c>
      <c r="J176" s="915">
        <v>1</v>
      </c>
      <c r="K176" s="226" t="s">
        <v>230</v>
      </c>
      <c r="L176" s="183">
        <v>9</v>
      </c>
      <c r="O176" s="183">
        <v>9</v>
      </c>
    </row>
    <row r="177" spans="1:16" ht="30" customHeight="1" x14ac:dyDescent="0.2">
      <c r="B177" s="1916"/>
      <c r="C177" s="129" t="s">
        <v>196</v>
      </c>
      <c r="D177" s="47"/>
      <c r="E177" s="969" t="s">
        <v>233</v>
      </c>
      <c r="F177" s="969"/>
      <c r="G177" s="969" t="s">
        <v>234</v>
      </c>
      <c r="H177" s="1193"/>
      <c r="I177" s="1699"/>
      <c r="J177" s="1045"/>
      <c r="K177" s="226" t="s">
        <v>230</v>
      </c>
      <c r="L177" s="183">
        <v>9</v>
      </c>
      <c r="O177" s="183">
        <v>9</v>
      </c>
    </row>
    <row r="178" spans="1:16" ht="30" customHeight="1" x14ac:dyDescent="0.2">
      <c r="B178" s="1917"/>
      <c r="C178" s="130" t="s">
        <v>868</v>
      </c>
      <c r="D178" s="131"/>
      <c r="E178" s="132"/>
      <c r="F178" s="132"/>
      <c r="G178" s="132"/>
      <c r="H178" s="133"/>
      <c r="I178" s="1700"/>
      <c r="J178" s="916"/>
      <c r="K178" s="226" t="s">
        <v>230</v>
      </c>
      <c r="L178" s="183">
        <v>9</v>
      </c>
      <c r="O178" s="183">
        <v>9</v>
      </c>
    </row>
    <row r="179" spans="1:16" ht="85.5" customHeight="1" x14ac:dyDescent="0.2">
      <c r="B179" s="1345" t="s">
        <v>235</v>
      </c>
      <c r="C179" s="1346"/>
      <c r="D179" s="1346"/>
      <c r="E179" s="1346"/>
      <c r="F179" s="1346"/>
      <c r="G179" s="1346"/>
      <c r="H179" s="1346"/>
      <c r="I179" s="1346"/>
      <c r="J179" s="1347"/>
      <c r="K179" s="226" t="s">
        <v>230</v>
      </c>
      <c r="L179" s="183">
        <v>9</v>
      </c>
      <c r="O179" s="183">
        <v>9</v>
      </c>
    </row>
    <row r="180" spans="1:16" ht="20.100000000000001" customHeight="1" x14ac:dyDescent="0.2">
      <c r="B180" s="619"/>
      <c r="C180" s="619"/>
      <c r="D180" s="619"/>
      <c r="E180" s="619"/>
      <c r="F180" s="619"/>
      <c r="G180" s="619"/>
      <c r="H180" s="619"/>
      <c r="I180" s="619"/>
      <c r="J180" s="135"/>
      <c r="K180" s="66"/>
      <c r="L180" s="67"/>
      <c r="O180" s="67"/>
    </row>
    <row r="181" spans="1:16" ht="30" customHeight="1" x14ac:dyDescent="0.2">
      <c r="B181" s="1662" t="s">
        <v>237</v>
      </c>
      <c r="C181" s="1663"/>
      <c r="D181" s="1663"/>
      <c r="E181" s="1663"/>
      <c r="F181" s="1663"/>
      <c r="G181" s="1663"/>
      <c r="H181" s="1664"/>
      <c r="I181" s="406" t="s">
        <v>238</v>
      </c>
      <c r="J181" s="35" t="s">
        <v>18</v>
      </c>
      <c r="K181" s="66"/>
      <c r="L181" s="67"/>
      <c r="O181" s="67"/>
    </row>
    <row r="182" spans="1:16" ht="36.75" customHeight="1" x14ac:dyDescent="0.2">
      <c r="B182" s="620" t="s">
        <v>26</v>
      </c>
      <c r="C182" s="1169" t="s">
        <v>239</v>
      </c>
      <c r="D182" s="1170"/>
      <c r="E182" s="1170"/>
      <c r="F182" s="1170"/>
      <c r="G182" s="1170"/>
      <c r="H182" s="1171"/>
      <c r="I182" s="539">
        <v>170</v>
      </c>
      <c r="J182" s="75">
        <v>1</v>
      </c>
      <c r="K182" s="66"/>
      <c r="L182" s="67"/>
      <c r="O182" s="67"/>
    </row>
    <row r="183" spans="1:16" ht="20.100000000000001" customHeight="1" x14ac:dyDescent="0.2">
      <c r="B183" s="616"/>
      <c r="C183" s="561"/>
      <c r="D183" s="621"/>
      <c r="E183" s="621"/>
      <c r="F183" s="621"/>
      <c r="G183" s="621"/>
      <c r="H183" s="621"/>
      <c r="I183" s="593"/>
      <c r="J183" s="65"/>
    </row>
    <row r="184" spans="1:16" ht="30" customHeight="1" x14ac:dyDescent="0.2">
      <c r="A184" s="45"/>
      <c r="B184" s="1662" t="s">
        <v>240</v>
      </c>
      <c r="C184" s="1663"/>
      <c r="D184" s="1663"/>
      <c r="E184" s="1663"/>
      <c r="F184" s="1663"/>
      <c r="G184" s="1663"/>
      <c r="H184" s="1664"/>
      <c r="I184" s="406" t="s">
        <v>241</v>
      </c>
      <c r="J184" s="35" t="s">
        <v>18</v>
      </c>
      <c r="K184" s="226" t="s">
        <v>242</v>
      </c>
      <c r="L184" s="183">
        <v>10</v>
      </c>
      <c r="N184" s="182" t="s">
        <v>30</v>
      </c>
      <c r="O184" s="183">
        <v>10</v>
      </c>
      <c r="P184" s="568" t="s">
        <v>243</v>
      </c>
    </row>
    <row r="185" spans="1:16" ht="36" customHeight="1" x14ac:dyDescent="0.2">
      <c r="A185" s="45"/>
      <c r="B185" s="1913" t="s">
        <v>823</v>
      </c>
      <c r="C185" s="1913"/>
      <c r="D185" s="1913"/>
      <c r="E185" s="1913"/>
      <c r="F185" s="1913"/>
      <c r="G185" s="1913"/>
      <c r="H185" s="1913"/>
      <c r="I185" s="1913"/>
      <c r="J185" s="1913"/>
      <c r="O185" s="183">
        <v>10</v>
      </c>
      <c r="P185" s="568" t="s">
        <v>243</v>
      </c>
    </row>
    <row r="186" spans="1:16" ht="39.950000000000003" customHeight="1" x14ac:dyDescent="0.2">
      <c r="A186" s="45"/>
      <c r="B186" s="1818" t="s">
        <v>26</v>
      </c>
      <c r="C186" s="1203" t="s">
        <v>32</v>
      </c>
      <c r="D186" s="1204"/>
      <c r="E186" s="1188" t="s">
        <v>245</v>
      </c>
      <c r="F186" s="1188"/>
      <c r="G186" s="1204" t="s">
        <v>35</v>
      </c>
      <c r="H186" s="1205"/>
      <c r="I186" s="1698" t="str">
        <f>+'[2]Datos REG y HIJOS'!$F$3</f>
        <v>1 día de hab.</v>
      </c>
      <c r="J186" s="915">
        <f>+'[2]Datos REG y HIJOS'!$G$3</f>
        <v>0.9</v>
      </c>
      <c r="K186" s="570" t="s">
        <v>26</v>
      </c>
      <c r="L186" s="571" t="s">
        <v>246</v>
      </c>
      <c r="M186" s="598"/>
      <c r="O186" s="183">
        <v>10</v>
      </c>
      <c r="P186" s="568" t="s">
        <v>243</v>
      </c>
    </row>
    <row r="187" spans="1:16" ht="30" customHeight="1" x14ac:dyDescent="0.2">
      <c r="A187" s="45"/>
      <c r="B187" s="1793"/>
      <c r="C187" s="137" t="s">
        <v>29</v>
      </c>
      <c r="D187" s="134"/>
      <c r="E187" s="1180" t="s">
        <v>31</v>
      </c>
      <c r="F187" s="1180"/>
      <c r="G187" s="1192" t="s">
        <v>27</v>
      </c>
      <c r="H187" s="1215"/>
      <c r="I187" s="1699"/>
      <c r="J187" s="1045"/>
      <c r="K187" s="570" t="s">
        <v>26</v>
      </c>
      <c r="L187" s="571" t="s">
        <v>246</v>
      </c>
      <c r="M187" s="598"/>
      <c r="O187" s="183">
        <v>10</v>
      </c>
      <c r="P187" s="568" t="s">
        <v>243</v>
      </c>
    </row>
    <row r="188" spans="1:16" ht="39.950000000000003" customHeight="1" x14ac:dyDescent="0.2">
      <c r="A188" s="45"/>
      <c r="B188" s="1793"/>
      <c r="C188" s="1194" t="s">
        <v>38</v>
      </c>
      <c r="D188" s="1177"/>
      <c r="E188" s="1213"/>
      <c r="F188" s="1213"/>
      <c r="G188" s="862"/>
      <c r="H188" s="863"/>
      <c r="I188" s="1699"/>
      <c r="J188" s="1045"/>
      <c r="K188" s="570" t="s">
        <v>26</v>
      </c>
      <c r="L188" s="571" t="s">
        <v>246</v>
      </c>
      <c r="M188" s="598"/>
      <c r="O188" s="183">
        <v>10</v>
      </c>
      <c r="P188" s="568" t="s">
        <v>243</v>
      </c>
    </row>
    <row r="189" spans="1:16" s="623" customFormat="1" ht="39.950000000000003" customHeight="1" x14ac:dyDescent="0.2">
      <c r="A189" s="622"/>
      <c r="B189" s="1783" t="s">
        <v>40</v>
      </c>
      <c r="C189" s="1895" t="s">
        <v>42</v>
      </c>
      <c r="D189" s="1896"/>
      <c r="E189" s="1896" t="s">
        <v>44</v>
      </c>
      <c r="F189" s="1896"/>
      <c r="G189" s="1896" t="s">
        <v>45</v>
      </c>
      <c r="H189" s="1900"/>
      <c r="I189" s="1819" t="str">
        <f>+'[2]Datos REG y HIJOS'!$F$4</f>
        <v>1 día de hab.</v>
      </c>
      <c r="J189" s="915">
        <f>+'[2]Datos REG y HIJOS'!$G$4</f>
        <v>0.9</v>
      </c>
      <c r="K189" s="570" t="s">
        <v>40</v>
      </c>
      <c r="L189" s="571" t="s">
        <v>246</v>
      </c>
      <c r="M189" s="598"/>
      <c r="N189" s="182" t="s">
        <v>30</v>
      </c>
      <c r="O189" s="183">
        <v>10</v>
      </c>
      <c r="P189" s="568" t="s">
        <v>243</v>
      </c>
    </row>
    <row r="190" spans="1:16" s="623" customFormat="1" ht="39.950000000000003" customHeight="1" x14ac:dyDescent="0.2">
      <c r="A190" s="622"/>
      <c r="B190" s="1784"/>
      <c r="C190" s="1893" t="s">
        <v>55</v>
      </c>
      <c r="D190" s="1841"/>
      <c r="E190" s="1841" t="s">
        <v>47</v>
      </c>
      <c r="F190" s="1841"/>
      <c r="G190" s="1702" t="s">
        <v>48</v>
      </c>
      <c r="H190" s="1703"/>
      <c r="I190" s="1826"/>
      <c r="J190" s="1045"/>
      <c r="K190" s="570" t="s">
        <v>40</v>
      </c>
      <c r="L190" s="571" t="s">
        <v>246</v>
      </c>
      <c r="M190" s="598"/>
      <c r="N190" s="67"/>
      <c r="O190" s="183">
        <v>10</v>
      </c>
      <c r="P190" s="568" t="s">
        <v>243</v>
      </c>
    </row>
    <row r="191" spans="1:16" s="623" customFormat="1" ht="39.950000000000003" customHeight="1" x14ac:dyDescent="0.2">
      <c r="A191" s="622"/>
      <c r="B191" s="1784"/>
      <c r="C191" s="1701" t="s">
        <v>46</v>
      </c>
      <c r="D191" s="1702"/>
      <c r="E191" s="1841" t="s">
        <v>247</v>
      </c>
      <c r="F191" s="1841"/>
      <c r="G191" s="1132" t="s">
        <v>64</v>
      </c>
      <c r="H191" s="1132"/>
      <c r="I191" s="1826"/>
      <c r="J191" s="1045"/>
      <c r="K191" s="570" t="s">
        <v>40</v>
      </c>
      <c r="L191" s="571" t="s">
        <v>246</v>
      </c>
      <c r="M191" s="598"/>
      <c r="N191" s="67"/>
      <c r="O191" s="183">
        <v>10</v>
      </c>
      <c r="P191" s="568" t="s">
        <v>243</v>
      </c>
    </row>
    <row r="192" spans="1:16" s="623" customFormat="1" ht="50.1" customHeight="1" x14ac:dyDescent="0.2">
      <c r="A192" s="622"/>
      <c r="B192" s="1784"/>
      <c r="C192" s="1701" t="s">
        <v>49</v>
      </c>
      <c r="D192" s="1702"/>
      <c r="E192" s="1841" t="s">
        <v>62</v>
      </c>
      <c r="F192" s="1841"/>
      <c r="G192" s="1841" t="s">
        <v>54</v>
      </c>
      <c r="H192" s="1894"/>
      <c r="I192" s="1826"/>
      <c r="J192" s="1045"/>
      <c r="K192" s="570" t="s">
        <v>40</v>
      </c>
      <c r="L192" s="571" t="s">
        <v>246</v>
      </c>
      <c r="M192" s="598"/>
      <c r="N192" s="67"/>
      <c r="O192" s="183">
        <v>10</v>
      </c>
      <c r="P192" s="568" t="s">
        <v>243</v>
      </c>
    </row>
    <row r="193" spans="1:16" s="623" customFormat="1" ht="39.950000000000003" customHeight="1" x14ac:dyDescent="0.2">
      <c r="A193" s="622"/>
      <c r="B193" s="1784"/>
      <c r="C193" s="1132" t="s">
        <v>68</v>
      </c>
      <c r="D193" s="1333"/>
      <c r="E193" s="1841" t="s">
        <v>56</v>
      </c>
      <c r="F193" s="1841"/>
      <c r="G193" s="1841" t="s">
        <v>58</v>
      </c>
      <c r="H193" s="1894"/>
      <c r="I193" s="1826"/>
      <c r="J193" s="1045"/>
      <c r="K193" s="570" t="s">
        <v>40</v>
      </c>
      <c r="L193" s="571" t="s">
        <v>246</v>
      </c>
      <c r="M193" s="598"/>
      <c r="N193" s="67"/>
      <c r="O193" s="183">
        <v>10</v>
      </c>
      <c r="P193" s="568" t="s">
        <v>243</v>
      </c>
    </row>
    <row r="194" spans="1:16" s="623" customFormat="1" ht="39.950000000000003" hidden="1" customHeight="1" x14ac:dyDescent="0.2">
      <c r="A194" s="622"/>
      <c r="B194" s="1784"/>
      <c r="C194" s="1893"/>
      <c r="D194" s="1841"/>
      <c r="I194" s="1826"/>
      <c r="J194" s="1045"/>
      <c r="K194" s="570" t="s">
        <v>40</v>
      </c>
      <c r="L194" s="571" t="s">
        <v>246</v>
      </c>
      <c r="M194" s="598"/>
      <c r="N194" s="67"/>
      <c r="O194" s="183">
        <v>10</v>
      </c>
      <c r="P194" s="568" t="s">
        <v>243</v>
      </c>
    </row>
    <row r="195" spans="1:16" ht="39.950000000000003" customHeight="1" x14ac:dyDescent="0.2">
      <c r="A195" s="572" t="s">
        <v>69</v>
      </c>
      <c r="B195" s="1785"/>
      <c r="C195" s="1701" t="s">
        <v>249</v>
      </c>
      <c r="D195" s="1702"/>
      <c r="E195" s="1702"/>
      <c r="F195" s="1702"/>
      <c r="G195" s="1702"/>
      <c r="H195" s="1703"/>
      <c r="I195" s="1820"/>
      <c r="J195" s="916"/>
      <c r="K195" s="570" t="s">
        <v>40</v>
      </c>
      <c r="L195" s="571" t="s">
        <v>246</v>
      </c>
      <c r="M195" s="598"/>
      <c r="O195" s="183">
        <v>10</v>
      </c>
      <c r="P195" s="568" t="s">
        <v>243</v>
      </c>
    </row>
    <row r="196" spans="1:16" ht="33" customHeight="1" x14ac:dyDescent="0.2">
      <c r="A196" s="622"/>
      <c r="B196" s="1718" t="s">
        <v>71</v>
      </c>
      <c r="C196" s="1187" t="s">
        <v>72</v>
      </c>
      <c r="D196" s="1188"/>
      <c r="E196" s="1188" t="s">
        <v>74</v>
      </c>
      <c r="F196" s="1188"/>
      <c r="G196" s="1188" t="s">
        <v>75</v>
      </c>
      <c r="H196" s="1189"/>
      <c r="I196" s="1887" t="str">
        <f>+'[2]Datos REG y HIJOS'!$F$5</f>
        <v>1 día de hab.</v>
      </c>
      <c r="J196" s="915">
        <f>+'[2]Datos REG y HIJOS'!$G$5</f>
        <v>0.85</v>
      </c>
      <c r="K196" s="570" t="s">
        <v>71</v>
      </c>
      <c r="L196" s="571" t="s">
        <v>246</v>
      </c>
      <c r="M196" s="598"/>
      <c r="N196" s="182" t="s">
        <v>30</v>
      </c>
      <c r="O196" s="183">
        <v>10</v>
      </c>
      <c r="P196" s="568" t="s">
        <v>243</v>
      </c>
    </row>
    <row r="197" spans="1:16" ht="33" customHeight="1" x14ac:dyDescent="0.2">
      <c r="A197" s="622"/>
      <c r="B197" s="1891"/>
      <c r="C197" s="968" t="s">
        <v>81</v>
      </c>
      <c r="D197" s="969"/>
      <c r="E197" s="969" t="s">
        <v>82</v>
      </c>
      <c r="F197" s="969"/>
      <c r="G197" s="1180" t="s">
        <v>80</v>
      </c>
      <c r="H197" s="1227"/>
      <c r="I197" s="1892"/>
      <c r="J197" s="1045"/>
      <c r="K197" s="570" t="s">
        <v>71</v>
      </c>
      <c r="L197" s="571" t="s">
        <v>246</v>
      </c>
      <c r="M197" s="598"/>
      <c r="O197" s="183">
        <v>10</v>
      </c>
      <c r="P197" s="568" t="s">
        <v>243</v>
      </c>
    </row>
    <row r="198" spans="1:16" ht="33" customHeight="1" x14ac:dyDescent="0.2">
      <c r="A198" s="622"/>
      <c r="B198" s="1891"/>
      <c r="C198" s="1211" t="s">
        <v>77</v>
      </c>
      <c r="D198" s="1190"/>
      <c r="E198" s="1190" t="s">
        <v>76</v>
      </c>
      <c r="F198" s="1190"/>
      <c r="G198" s="24" t="s">
        <v>78</v>
      </c>
      <c r="H198" s="624"/>
      <c r="I198" s="1892"/>
      <c r="J198" s="1045"/>
      <c r="K198" s="570" t="s">
        <v>71</v>
      </c>
      <c r="L198" s="571" t="s">
        <v>246</v>
      </c>
      <c r="M198" s="598"/>
      <c r="O198" s="183">
        <v>10</v>
      </c>
      <c r="P198" s="568" t="s">
        <v>243</v>
      </c>
    </row>
    <row r="199" spans="1:16" ht="39.950000000000003" customHeight="1" x14ac:dyDescent="0.2">
      <c r="A199" s="622"/>
      <c r="B199" s="1718" t="s">
        <v>85</v>
      </c>
      <c r="C199" s="1214" t="s">
        <v>378</v>
      </c>
      <c r="D199" s="1195"/>
      <c r="E199" s="1195" t="s">
        <v>342</v>
      </c>
      <c r="F199" s="1195"/>
      <c r="G199" s="1195" t="s">
        <v>86</v>
      </c>
      <c r="H199" s="1226"/>
      <c r="I199" s="1887" t="str">
        <f>+'[2]Datos REG y HIJOS'!$F$6</f>
        <v>1 día de hab.</v>
      </c>
      <c r="J199" s="915">
        <f>+'[2]Datos REG y HIJOS'!$G$6</f>
        <v>0.85</v>
      </c>
      <c r="K199" s="570" t="s">
        <v>85</v>
      </c>
      <c r="L199" s="571" t="s">
        <v>246</v>
      </c>
      <c r="M199" s="598"/>
      <c r="N199" s="182" t="s">
        <v>30</v>
      </c>
      <c r="O199" s="183">
        <v>10</v>
      </c>
      <c r="P199" s="568" t="s">
        <v>243</v>
      </c>
    </row>
    <row r="200" spans="1:16" ht="39.950000000000003" customHeight="1" x14ac:dyDescent="0.2">
      <c r="A200" s="622"/>
      <c r="B200" s="1891"/>
      <c r="C200" s="1211" t="s">
        <v>574</v>
      </c>
      <c r="D200" s="1190"/>
      <c r="E200" s="1190" t="s">
        <v>580</v>
      </c>
      <c r="F200" s="1190"/>
      <c r="G200" s="1190" t="s">
        <v>576</v>
      </c>
      <c r="H200" s="1212"/>
      <c r="I200" s="1892"/>
      <c r="J200" s="1045"/>
      <c r="K200" s="570" t="s">
        <v>85</v>
      </c>
      <c r="L200" s="571" t="s">
        <v>246</v>
      </c>
      <c r="M200" s="598"/>
      <c r="O200" s="183">
        <v>10</v>
      </c>
      <c r="P200" s="568" t="s">
        <v>243</v>
      </c>
    </row>
    <row r="201" spans="1:16" ht="30" customHeight="1" x14ac:dyDescent="0.2">
      <c r="A201" s="622"/>
      <c r="B201" s="1891"/>
      <c r="C201" s="1211" t="s">
        <v>577</v>
      </c>
      <c r="D201" s="1190"/>
      <c r="E201" s="1190" t="s">
        <v>624</v>
      </c>
      <c r="F201" s="1190"/>
      <c r="G201" s="1190" t="s">
        <v>578</v>
      </c>
      <c r="H201" s="1212"/>
      <c r="I201" s="1892"/>
      <c r="J201" s="1045"/>
      <c r="K201" s="570" t="s">
        <v>85</v>
      </c>
      <c r="L201" s="571" t="s">
        <v>246</v>
      </c>
      <c r="M201" s="598"/>
      <c r="O201" s="183">
        <v>10</v>
      </c>
      <c r="P201" s="568" t="s">
        <v>243</v>
      </c>
    </row>
    <row r="202" spans="1:16" ht="30" customHeight="1" x14ac:dyDescent="0.2">
      <c r="A202" s="622"/>
      <c r="B202" s="1891"/>
      <c r="C202" s="1046" t="s">
        <v>402</v>
      </c>
      <c r="D202" s="1022"/>
      <c r="E202" s="1190" t="s">
        <v>581</v>
      </c>
      <c r="F202" s="1190"/>
      <c r="G202" s="1190" t="s">
        <v>579</v>
      </c>
      <c r="H202" s="1212"/>
      <c r="I202" s="1892"/>
      <c r="J202" s="1045"/>
      <c r="K202" s="570" t="s">
        <v>85</v>
      </c>
      <c r="L202" s="571" t="s">
        <v>246</v>
      </c>
      <c r="M202" s="598"/>
      <c r="O202" s="183">
        <v>10</v>
      </c>
      <c r="P202" s="568" t="s">
        <v>243</v>
      </c>
    </row>
    <row r="203" spans="1:16" ht="30" customHeight="1" x14ac:dyDescent="0.2">
      <c r="A203" s="622"/>
      <c r="B203" s="1719"/>
      <c r="C203" s="1116" t="s">
        <v>573</v>
      </c>
      <c r="D203" s="1034"/>
      <c r="E203" s="344"/>
      <c r="F203" s="344"/>
      <c r="G203" s="344"/>
      <c r="H203" s="345"/>
      <c r="I203" s="1888"/>
      <c r="J203" s="916"/>
      <c r="K203" s="570" t="s">
        <v>85</v>
      </c>
      <c r="L203" s="571" t="s">
        <v>246</v>
      </c>
      <c r="M203" s="598"/>
      <c r="O203" s="183">
        <v>10</v>
      </c>
      <c r="P203" s="568" t="s">
        <v>243</v>
      </c>
    </row>
    <row r="204" spans="1:16" ht="39.950000000000003" customHeight="1" x14ac:dyDescent="0.2">
      <c r="A204" s="622"/>
      <c r="B204" s="1783" t="s">
        <v>87</v>
      </c>
      <c r="C204" s="1701" t="s">
        <v>88</v>
      </c>
      <c r="D204" s="1702"/>
      <c r="E204" s="1702" t="s">
        <v>89</v>
      </c>
      <c r="F204" s="1702"/>
      <c r="G204" s="1702" t="s">
        <v>90</v>
      </c>
      <c r="H204" s="1703"/>
      <c r="I204" s="1698" t="str">
        <f>+'[2]Datos REG y HIJOS'!$F$7</f>
        <v>1 día de hab.</v>
      </c>
      <c r="J204" s="915">
        <f>+'[2]Datos REG y HIJOS'!$G$7</f>
        <v>0.85</v>
      </c>
      <c r="K204" s="570" t="s">
        <v>87</v>
      </c>
      <c r="L204" s="571" t="s">
        <v>246</v>
      </c>
      <c r="M204" s="598"/>
      <c r="N204" s="182" t="s">
        <v>30</v>
      </c>
      <c r="O204" s="183">
        <v>10</v>
      </c>
      <c r="P204" s="568" t="s">
        <v>243</v>
      </c>
    </row>
    <row r="205" spans="1:16" ht="39.950000000000003" customHeight="1" x14ac:dyDescent="0.2">
      <c r="A205" s="622"/>
      <c r="B205" s="1784"/>
      <c r="C205" s="1701" t="s">
        <v>93</v>
      </c>
      <c r="D205" s="1702"/>
      <c r="E205" s="1702" t="s">
        <v>92</v>
      </c>
      <c r="F205" s="1702"/>
      <c r="G205" s="1702" t="s">
        <v>39</v>
      </c>
      <c r="H205" s="1703"/>
      <c r="I205" s="1699"/>
      <c r="J205" s="1045"/>
      <c r="K205" s="570" t="s">
        <v>87</v>
      </c>
      <c r="L205" s="571" t="s">
        <v>246</v>
      </c>
      <c r="M205" s="598"/>
      <c r="N205" s="149"/>
      <c r="O205" s="183">
        <v>10</v>
      </c>
      <c r="P205" s="568" t="s">
        <v>243</v>
      </c>
    </row>
    <row r="206" spans="1:16" ht="39.950000000000003" customHeight="1" x14ac:dyDescent="0.2">
      <c r="A206" s="622"/>
      <c r="B206" s="1785"/>
      <c r="C206" s="1704" t="s">
        <v>96</v>
      </c>
      <c r="D206" s="1685"/>
      <c r="E206" s="649"/>
      <c r="F206" s="649"/>
      <c r="G206" s="649"/>
      <c r="H206" s="814"/>
      <c r="I206" s="1700"/>
      <c r="J206" s="916"/>
      <c r="K206" s="570" t="s">
        <v>87</v>
      </c>
      <c r="L206" s="571" t="s">
        <v>246</v>
      </c>
      <c r="M206" s="598"/>
      <c r="N206" s="149"/>
      <c r="O206" s="183">
        <v>10</v>
      </c>
      <c r="P206" s="568" t="s">
        <v>243</v>
      </c>
    </row>
    <row r="207" spans="1:16" s="630" customFormat="1" ht="30" customHeight="1" x14ac:dyDescent="0.2">
      <c r="A207" s="627"/>
      <c r="B207" s="628" t="s">
        <v>567</v>
      </c>
      <c r="C207" s="1881" t="s">
        <v>134</v>
      </c>
      <c r="D207" s="1882"/>
      <c r="E207" s="2030" t="s">
        <v>631</v>
      </c>
      <c r="F207" s="2030"/>
      <c r="G207" s="1882" t="s">
        <v>95</v>
      </c>
      <c r="H207" s="2031"/>
      <c r="I207" s="629" t="str">
        <f>+'[2]Datos REG y HIJOS'!$F$8</f>
        <v>1 día de hab.</v>
      </c>
      <c r="J207" s="121">
        <f>+'[2]Datos REG y HIJOS'!$G$8</f>
        <v>0.85</v>
      </c>
      <c r="K207" s="570" t="s">
        <v>567</v>
      </c>
      <c r="L207" s="571" t="s">
        <v>246</v>
      </c>
      <c r="M207" s="598"/>
      <c r="N207" s="182" t="s">
        <v>30</v>
      </c>
      <c r="O207" s="183">
        <v>10</v>
      </c>
      <c r="P207" s="568" t="s">
        <v>243</v>
      </c>
    </row>
    <row r="208" spans="1:16" s="66" customFormat="1" ht="30" customHeight="1" x14ac:dyDescent="0.2">
      <c r="A208" s="67"/>
      <c r="B208" s="1910" t="s">
        <v>584</v>
      </c>
      <c r="C208" s="1457" t="s">
        <v>585</v>
      </c>
      <c r="D208" s="1219"/>
      <c r="E208" s="1702" t="s">
        <v>138</v>
      </c>
      <c r="F208" s="1702"/>
      <c r="G208" s="1702" t="s">
        <v>586</v>
      </c>
      <c r="H208" s="1703"/>
      <c r="I208" s="1698" t="str">
        <f>+'[2]Datos REG y HIJOS'!$F$10</f>
        <v>1 día de hab.</v>
      </c>
      <c r="J208" s="915">
        <f>+'[2]Datos REG y HIJOS'!$G$10</f>
        <v>0.8</v>
      </c>
      <c r="K208" s="570" t="s">
        <v>584</v>
      </c>
      <c r="L208" s="571" t="s">
        <v>246</v>
      </c>
      <c r="M208" s="67"/>
      <c r="O208" s="183">
        <v>10</v>
      </c>
      <c r="P208" s="568" t="s">
        <v>243</v>
      </c>
    </row>
    <row r="209" spans="1:32" s="66" customFormat="1" ht="30" customHeight="1" x14ac:dyDescent="0.2">
      <c r="A209" s="67"/>
      <c r="B209" s="1911"/>
      <c r="C209" s="1453" t="s">
        <v>587</v>
      </c>
      <c r="D209" s="1213"/>
      <c r="E209" s="1213"/>
      <c r="F209" s="1213"/>
      <c r="G209" s="1283"/>
      <c r="H209" s="1813"/>
      <c r="I209" s="1700"/>
      <c r="J209" s="916"/>
      <c r="K209" s="570" t="s">
        <v>584</v>
      </c>
      <c r="L209" s="571" t="s">
        <v>246</v>
      </c>
      <c r="M209" s="67"/>
      <c r="O209" s="183">
        <v>10</v>
      </c>
      <c r="P209" s="568" t="s">
        <v>243</v>
      </c>
    </row>
    <row r="210" spans="1:32" s="66" customFormat="1" ht="30" customHeight="1" x14ac:dyDescent="0.2">
      <c r="A210" s="67"/>
      <c r="B210" s="631" t="s">
        <v>571</v>
      </c>
      <c r="C210" s="1458" t="s">
        <v>596</v>
      </c>
      <c r="D210" s="1459"/>
      <c r="E210" s="1781" t="s">
        <v>598</v>
      </c>
      <c r="F210" s="1781"/>
      <c r="G210" s="1459" t="s">
        <v>599</v>
      </c>
      <c r="H210" s="1460"/>
      <c r="I210" s="351" t="str">
        <f>'[2]Datos REG y HIJOS'!$F$9</f>
        <v>1 día de hab.</v>
      </c>
      <c r="J210" s="42">
        <f>'[2]Datos REG y HIJOS'!$G$9</f>
        <v>0.8</v>
      </c>
      <c r="K210" s="570" t="s">
        <v>571</v>
      </c>
      <c r="L210" s="571" t="s">
        <v>246</v>
      </c>
      <c r="M210" s="67"/>
      <c r="N210" s="182" t="s">
        <v>30</v>
      </c>
      <c r="O210" s="183">
        <v>10</v>
      </c>
      <c r="P210" s="568" t="s">
        <v>243</v>
      </c>
    </row>
    <row r="211" spans="1:32" s="66" customFormat="1" ht="39.950000000000003" customHeight="1" x14ac:dyDescent="0.2">
      <c r="B211" s="632" t="s">
        <v>591</v>
      </c>
      <c r="C211" s="1461" t="s">
        <v>592</v>
      </c>
      <c r="D211" s="1462"/>
      <c r="E211" s="1462" t="s">
        <v>176</v>
      </c>
      <c r="F211" s="1462"/>
      <c r="G211" s="1462" t="s">
        <v>593</v>
      </c>
      <c r="H211" s="1463"/>
      <c r="I211" s="633" t="str">
        <f>+'[2]Datos REG y HIJOS'!$F$11</f>
        <v>1 día de hab.</v>
      </c>
      <c r="J211" s="634">
        <f>+'[2]Datos REG y HIJOS'!$G$11</f>
        <v>0.75</v>
      </c>
      <c r="K211" s="570" t="s">
        <v>591</v>
      </c>
      <c r="L211" s="571" t="s">
        <v>246</v>
      </c>
      <c r="N211" s="182" t="s">
        <v>30</v>
      </c>
      <c r="O211" s="183">
        <v>10</v>
      </c>
      <c r="P211" s="568" t="s">
        <v>243</v>
      </c>
    </row>
    <row r="212" spans="1:32" s="66" customFormat="1" ht="30" customHeight="1" x14ac:dyDescent="0.2">
      <c r="A212" s="537"/>
      <c r="B212" s="1965" t="s">
        <v>758</v>
      </c>
      <c r="C212" s="2028" t="s">
        <v>759</v>
      </c>
      <c r="D212" s="1499"/>
      <c r="E212" s="1499" t="s">
        <v>779</v>
      </c>
      <c r="F212" s="1499"/>
      <c r="G212" s="1499" t="s">
        <v>762</v>
      </c>
      <c r="H212" s="2029"/>
      <c r="I212" s="1968" t="str">
        <f>+'[2]Datos REG y HIJOS'!$F$12</f>
        <v>1 día de hab.</v>
      </c>
      <c r="J212" s="1502">
        <f>+'[2]Datos REG y HIJOS'!$G$12</f>
        <v>0.7</v>
      </c>
      <c r="K212" s="570" t="s">
        <v>758</v>
      </c>
      <c r="L212" s="571" t="s">
        <v>246</v>
      </c>
      <c r="N212" s="182" t="s">
        <v>30</v>
      </c>
      <c r="O212" s="183">
        <v>10</v>
      </c>
      <c r="P212" s="568" t="s">
        <v>243</v>
      </c>
    </row>
    <row r="213" spans="1:32" s="66" customFormat="1" ht="30" customHeight="1" x14ac:dyDescent="0.2">
      <c r="A213" s="537"/>
      <c r="B213" s="1966"/>
      <c r="C213" s="1452" t="s">
        <v>215</v>
      </c>
      <c r="D213" s="1192"/>
      <c r="E213" s="1192"/>
      <c r="F213" s="1192"/>
      <c r="G213" s="621"/>
      <c r="H213" s="635"/>
      <c r="I213" s="1869"/>
      <c r="J213" s="1468"/>
      <c r="K213" s="570" t="s">
        <v>758</v>
      </c>
      <c r="L213" s="571" t="s">
        <v>246</v>
      </c>
      <c r="O213" s="183">
        <v>10</v>
      </c>
      <c r="P213" s="568" t="s">
        <v>243</v>
      </c>
    </row>
    <row r="214" spans="1:32" s="66" customFormat="1" ht="30" customHeight="1" x14ac:dyDescent="0.2">
      <c r="A214" s="572" t="s">
        <v>69</v>
      </c>
      <c r="B214" s="1966"/>
      <c r="C214" s="1452" t="s">
        <v>765</v>
      </c>
      <c r="D214" s="1192"/>
      <c r="E214" s="1192"/>
      <c r="F214" s="1192"/>
      <c r="G214" s="1192"/>
      <c r="H214" s="1215"/>
      <c r="I214" s="1869"/>
      <c r="J214" s="1468"/>
      <c r="K214" s="570" t="s">
        <v>758</v>
      </c>
      <c r="L214" s="571" t="s">
        <v>246</v>
      </c>
      <c r="O214" s="183">
        <v>10</v>
      </c>
      <c r="P214" s="568" t="s">
        <v>243</v>
      </c>
    </row>
    <row r="215" spans="1:32" s="66" customFormat="1" ht="30" customHeight="1" x14ac:dyDescent="0.2">
      <c r="A215" s="183" t="s">
        <v>97</v>
      </c>
      <c r="B215" s="1966"/>
      <c r="C215" s="1452" t="s">
        <v>98</v>
      </c>
      <c r="D215" s="1192"/>
      <c r="E215" s="1192"/>
      <c r="F215" s="1192"/>
      <c r="G215" s="1192"/>
      <c r="H215" s="1215"/>
      <c r="I215" s="1869"/>
      <c r="J215" s="1468"/>
      <c r="K215" s="570" t="s">
        <v>758</v>
      </c>
      <c r="L215" s="571" t="s">
        <v>246</v>
      </c>
      <c r="O215" s="183">
        <v>10</v>
      </c>
      <c r="P215" s="568" t="s">
        <v>243</v>
      </c>
      <c r="Q215" s="45"/>
      <c r="R215" s="45"/>
      <c r="S215" s="45"/>
      <c r="T215" s="45"/>
      <c r="U215" s="45"/>
      <c r="V215" s="45"/>
      <c r="W215" s="45"/>
      <c r="X215" s="45"/>
      <c r="Y215" s="45"/>
      <c r="Z215" s="45"/>
      <c r="AA215" s="45"/>
      <c r="AB215" s="45"/>
      <c r="AC215" s="45"/>
      <c r="AD215" s="45"/>
      <c r="AE215" s="45"/>
      <c r="AF215" s="45"/>
    </row>
    <row r="216" spans="1:32" s="66" customFormat="1" ht="30" customHeight="1" x14ac:dyDescent="0.2">
      <c r="A216" s="183" t="s">
        <v>97</v>
      </c>
      <c r="B216" s="2021"/>
      <c r="C216" s="1453" t="s">
        <v>766</v>
      </c>
      <c r="D216" s="1213"/>
      <c r="E216" s="1213"/>
      <c r="F216" s="1213"/>
      <c r="G216" s="1213"/>
      <c r="H216" s="1454"/>
      <c r="I216" s="1870"/>
      <c r="J216" s="1533"/>
      <c r="K216" s="570" t="s">
        <v>758</v>
      </c>
      <c r="L216" s="571" t="s">
        <v>246</v>
      </c>
      <c r="O216" s="183">
        <v>10</v>
      </c>
      <c r="P216" s="568" t="s">
        <v>243</v>
      </c>
      <c r="Q216" s="45"/>
      <c r="R216" s="45"/>
      <c r="S216" s="45"/>
      <c r="T216" s="45"/>
      <c r="U216" s="45"/>
      <c r="V216" s="45"/>
      <c r="W216" s="45"/>
      <c r="X216" s="45"/>
      <c r="Y216" s="45"/>
      <c r="Z216" s="45"/>
      <c r="AA216" s="45"/>
      <c r="AB216" s="45"/>
      <c r="AC216" s="45"/>
      <c r="AD216" s="45"/>
      <c r="AE216" s="45"/>
      <c r="AF216" s="45"/>
    </row>
    <row r="217" spans="1:32" s="66" customFormat="1" ht="39.950000000000003" customHeight="1" x14ac:dyDescent="0.2">
      <c r="A217" s="67"/>
      <c r="B217" s="541" t="s">
        <v>601</v>
      </c>
      <c r="C217" s="1861" t="s">
        <v>602</v>
      </c>
      <c r="D217" s="1861"/>
      <c r="E217" s="1861"/>
      <c r="F217" s="1861"/>
      <c r="G217" s="1861"/>
      <c r="H217" s="1861"/>
      <c r="I217" s="580" t="str">
        <f>+'[2]Datos REG y HIJOS'!$F$13</f>
        <v>1 día de hab.</v>
      </c>
      <c r="J217" s="353">
        <f>+'[2]Datos REG y HIJOS'!$G$13</f>
        <v>0.9</v>
      </c>
      <c r="K217" s="570" t="s">
        <v>601</v>
      </c>
      <c r="L217" s="571" t="s">
        <v>246</v>
      </c>
      <c r="M217" s="67"/>
      <c r="N217" s="182" t="s">
        <v>30</v>
      </c>
      <c r="O217" s="183">
        <v>10</v>
      </c>
      <c r="P217" s="568" t="s">
        <v>243</v>
      </c>
    </row>
    <row r="218" spans="1:32" s="66" customFormat="1" ht="39.950000000000003" customHeight="1" x14ac:dyDescent="0.2">
      <c r="A218" s="67"/>
      <c r="B218" s="541" t="s">
        <v>603</v>
      </c>
      <c r="C218" s="1252" t="s">
        <v>604</v>
      </c>
      <c r="D218" s="1252"/>
      <c r="E218" s="1252"/>
      <c r="F218" s="1252"/>
      <c r="G218" s="1252"/>
      <c r="H218" s="1252"/>
      <c r="I218" s="580" t="str">
        <f>+'[2]Datos REG y HIJOS'!$F$14</f>
        <v>1 día de hab.</v>
      </c>
      <c r="J218" s="353">
        <f>+'[2]Datos REG y HIJOS'!$G$14</f>
        <v>0.85</v>
      </c>
      <c r="K218" s="570" t="s">
        <v>603</v>
      </c>
      <c r="L218" s="571" t="s">
        <v>246</v>
      </c>
      <c r="M218" s="67"/>
      <c r="N218" s="182" t="s">
        <v>30</v>
      </c>
      <c r="O218" s="183">
        <v>10</v>
      </c>
      <c r="P218" s="568" t="s">
        <v>243</v>
      </c>
    </row>
    <row r="219" spans="1:32" ht="39.950000000000003" customHeight="1" x14ac:dyDescent="0.2">
      <c r="A219" s="45"/>
      <c r="B219" s="636" t="s">
        <v>769</v>
      </c>
      <c r="C219" s="1908" t="s">
        <v>770</v>
      </c>
      <c r="D219" s="1908"/>
      <c r="E219" s="1908"/>
      <c r="F219" s="1908"/>
      <c r="G219" s="1908"/>
      <c r="H219" s="1908"/>
      <c r="I219" s="633" t="str">
        <f>+'[2]Datos REG y HIJOS'!$F$15</f>
        <v>1 día de hab.</v>
      </c>
      <c r="J219" s="637">
        <f>+'[2]Datos REG y HIJOS'!$G$15</f>
        <v>0.6</v>
      </c>
      <c r="K219" s="570" t="s">
        <v>769</v>
      </c>
      <c r="L219" s="571" t="s">
        <v>246</v>
      </c>
      <c r="M219" s="66"/>
      <c r="N219" s="182" t="s">
        <v>30</v>
      </c>
      <c r="O219" s="183">
        <v>10</v>
      </c>
      <c r="P219" s="568" t="s">
        <v>243</v>
      </c>
    </row>
    <row r="220" spans="1:32" s="66" customFormat="1" ht="48.75" customHeight="1" x14ac:dyDescent="0.2">
      <c r="A220" s="183"/>
      <c r="B220" s="541" t="s">
        <v>767</v>
      </c>
      <c r="C220" s="1432" t="s">
        <v>768</v>
      </c>
      <c r="D220" s="1433"/>
      <c r="E220" s="432"/>
      <c r="F220" s="432"/>
      <c r="G220" s="432"/>
      <c r="H220" s="433"/>
      <c r="I220" s="580" t="s">
        <v>409</v>
      </c>
      <c r="J220" s="353">
        <v>0.6</v>
      </c>
      <c r="L220" s="661"/>
      <c r="O220" s="67"/>
      <c r="P220" s="586"/>
      <c r="Q220" s="45"/>
      <c r="R220" s="45"/>
      <c r="S220" s="45"/>
      <c r="T220" s="45"/>
      <c r="U220" s="45"/>
      <c r="V220" s="45"/>
      <c r="W220" s="45"/>
      <c r="X220" s="45"/>
      <c r="Y220" s="45"/>
      <c r="Z220" s="45"/>
      <c r="AA220" s="45"/>
      <c r="AB220" s="45"/>
      <c r="AC220" s="45"/>
      <c r="AD220" s="45"/>
      <c r="AE220" s="45"/>
      <c r="AF220" s="45"/>
    </row>
    <row r="221" spans="1:32" ht="20.100000000000001" customHeight="1" x14ac:dyDescent="0.2">
      <c r="A221" s="45"/>
      <c r="B221" s="638"/>
      <c r="C221" s="638"/>
      <c r="D221" s="638"/>
      <c r="E221" s="638"/>
      <c r="F221" s="638"/>
      <c r="G221" s="638"/>
      <c r="H221" s="638"/>
      <c r="I221" s="639"/>
      <c r="J221" s="640"/>
      <c r="L221" s="67"/>
      <c r="N221" s="149"/>
      <c r="O221" s="67"/>
    </row>
    <row r="222" spans="1:32" s="18" customFormat="1" ht="30" customHeight="1" x14ac:dyDescent="0.2">
      <c r="A222" s="23"/>
      <c r="B222" s="1223" t="s">
        <v>878</v>
      </c>
      <c r="C222" s="1223"/>
      <c r="D222" s="1223"/>
      <c r="E222" s="1223"/>
      <c r="F222" s="1223"/>
      <c r="G222" s="1223"/>
      <c r="H222" s="1223"/>
      <c r="I222" s="34" t="s">
        <v>17</v>
      </c>
      <c r="J222" s="254" t="s">
        <v>18</v>
      </c>
      <c r="K222" s="354" t="s">
        <v>634</v>
      </c>
      <c r="L222" s="354" t="s">
        <v>634</v>
      </c>
      <c r="M222" s="4"/>
      <c r="N222" s="46" t="s">
        <v>30</v>
      </c>
      <c r="O222" s="4"/>
    </row>
    <row r="223" spans="1:32" s="66" customFormat="1" ht="58.5" customHeight="1" x14ac:dyDescent="0.2">
      <c r="A223" s="67"/>
      <c r="B223" s="949" t="s">
        <v>901</v>
      </c>
      <c r="C223" s="950"/>
      <c r="D223" s="950"/>
      <c r="E223" s="950"/>
      <c r="F223" s="950"/>
      <c r="G223" s="950"/>
      <c r="H223" s="950"/>
      <c r="I223" s="950"/>
      <c r="J223" s="951"/>
      <c r="K223" s="641" t="s">
        <v>634</v>
      </c>
      <c r="L223" s="641" t="s">
        <v>634</v>
      </c>
      <c r="M223" s="67"/>
    </row>
    <row r="224" spans="1:32" ht="30" customHeight="1" x14ac:dyDescent="0.2">
      <c r="A224" s="45"/>
      <c r="B224" s="979" t="s">
        <v>880</v>
      </c>
      <c r="C224" s="980"/>
      <c r="D224" s="980"/>
      <c r="E224" s="980"/>
      <c r="F224" s="980"/>
      <c r="G224" s="980"/>
      <c r="H224" s="980"/>
      <c r="I224" s="980"/>
      <c r="J224" s="981"/>
      <c r="K224" s="641" t="s">
        <v>634</v>
      </c>
      <c r="L224" s="641" t="s">
        <v>634</v>
      </c>
      <c r="M224" s="181"/>
      <c r="N224" s="149"/>
      <c r="O224"/>
      <c r="P224"/>
    </row>
    <row r="225" spans="1:16" s="18" customFormat="1" ht="56.25" customHeight="1" x14ac:dyDescent="0.2">
      <c r="A225" s="4"/>
      <c r="B225" s="96" t="s">
        <v>328</v>
      </c>
      <c r="C225" s="1065" t="s">
        <v>637</v>
      </c>
      <c r="D225" s="1065"/>
      <c r="E225" s="1065"/>
      <c r="F225" s="1065"/>
      <c r="G225" s="1065"/>
      <c r="H225" s="1065"/>
      <c r="I225" s="74">
        <v>0</v>
      </c>
      <c r="J225" s="97">
        <v>1</v>
      </c>
      <c r="K225" s="354" t="s">
        <v>634</v>
      </c>
      <c r="L225" s="354" t="s">
        <v>634</v>
      </c>
      <c r="M225" s="4"/>
      <c r="O225"/>
      <c r="P225"/>
    </row>
    <row r="226" spans="1:16" ht="30" customHeight="1" x14ac:dyDescent="0.2">
      <c r="A226" s="45"/>
      <c r="B226" s="979" t="s">
        <v>881</v>
      </c>
      <c r="C226" s="980"/>
      <c r="D226" s="980"/>
      <c r="E226" s="980"/>
      <c r="F226" s="980"/>
      <c r="G226" s="980"/>
      <c r="H226" s="980"/>
      <c r="I226" s="980"/>
      <c r="J226" s="981"/>
      <c r="K226" s="641" t="s">
        <v>634</v>
      </c>
      <c r="L226" s="641" t="s">
        <v>634</v>
      </c>
      <c r="M226" s="181"/>
      <c r="N226" s="149"/>
      <c r="O226"/>
      <c r="P226"/>
    </row>
    <row r="227" spans="1:16" s="66" customFormat="1" ht="56.25" customHeight="1" x14ac:dyDescent="0.2">
      <c r="A227" s="67"/>
      <c r="B227" s="471" t="s">
        <v>328</v>
      </c>
      <c r="C227" s="1065" t="s">
        <v>882</v>
      </c>
      <c r="D227" s="1065"/>
      <c r="E227" s="1065"/>
      <c r="F227" s="1065"/>
      <c r="G227" s="1065"/>
      <c r="H227" s="1065"/>
      <c r="I227" s="539">
        <v>0</v>
      </c>
      <c r="J227" s="75">
        <v>1</v>
      </c>
      <c r="K227" s="641" t="s">
        <v>634</v>
      </c>
      <c r="L227" s="641" t="s">
        <v>634</v>
      </c>
      <c r="M227" s="67"/>
      <c r="O227" s="67"/>
    </row>
    <row r="228" spans="1:16" s="66" customFormat="1" ht="20.100000000000001" customHeight="1" x14ac:dyDescent="0.2">
      <c r="A228" s="67"/>
      <c r="B228" s="583"/>
      <c r="C228" s="642"/>
      <c r="D228" s="642"/>
      <c r="E228" s="642"/>
      <c r="F228" s="642"/>
      <c r="G228" s="642"/>
      <c r="H228" s="642"/>
      <c r="I228" s="585"/>
      <c r="J228" s="78"/>
      <c r="K228" s="623"/>
      <c r="L228" s="623"/>
      <c r="M228" s="67"/>
      <c r="O228" s="67"/>
    </row>
    <row r="229" spans="1:16" ht="30" customHeight="1" x14ac:dyDescent="0.2">
      <c r="A229" s="45"/>
      <c r="B229" s="1355" t="s">
        <v>250</v>
      </c>
      <c r="C229" s="1673"/>
      <c r="D229" s="1673"/>
      <c r="E229" s="1673"/>
      <c r="F229" s="1673"/>
      <c r="G229" s="1673"/>
      <c r="H229" s="1673"/>
      <c r="I229" s="643" t="s">
        <v>17</v>
      </c>
      <c r="J229" s="35" t="s">
        <v>251</v>
      </c>
      <c r="N229" s="182" t="s">
        <v>30</v>
      </c>
    </row>
    <row r="230" spans="1:16" ht="50.1" customHeight="1" x14ac:dyDescent="0.2">
      <c r="A230" s="45"/>
      <c r="B230" s="1777" t="s">
        <v>252</v>
      </c>
      <c r="C230" s="1283"/>
      <c r="D230" s="1283"/>
      <c r="E230" s="1283"/>
      <c r="F230" s="1283"/>
      <c r="G230" s="1283"/>
      <c r="H230" s="1283"/>
      <c r="I230" s="145" t="s">
        <v>253</v>
      </c>
      <c r="J230" s="146" t="s">
        <v>253</v>
      </c>
      <c r="L230" s="67"/>
      <c r="N230" s="149"/>
      <c r="O230" s="67"/>
    </row>
    <row r="231" spans="1:16" ht="20.100000000000001" customHeight="1" x14ac:dyDescent="0.2">
      <c r="A231" s="45"/>
      <c r="B231" s="644"/>
      <c r="C231" s="644"/>
      <c r="D231" s="644"/>
      <c r="E231" s="644"/>
      <c r="F231" s="644"/>
      <c r="G231" s="644"/>
      <c r="H231" s="644"/>
      <c r="I231" s="147"/>
      <c r="J231" s="128"/>
      <c r="L231" s="67"/>
      <c r="N231" s="149"/>
      <c r="O231" s="67"/>
    </row>
    <row r="232" spans="1:16" ht="30" customHeight="1" x14ac:dyDescent="0.2">
      <c r="A232" s="45"/>
      <c r="B232" s="1713" t="s">
        <v>254</v>
      </c>
      <c r="C232" s="1713"/>
      <c r="D232" s="1713"/>
      <c r="E232" s="1713"/>
      <c r="F232" s="1713"/>
      <c r="G232" s="1713"/>
      <c r="H232" s="1713"/>
      <c r="I232" s="406" t="s">
        <v>130</v>
      </c>
      <c r="J232" s="35" t="s">
        <v>18</v>
      </c>
      <c r="L232" s="67"/>
      <c r="N232" s="182" t="s">
        <v>30</v>
      </c>
      <c r="O232" s="67"/>
    </row>
    <row r="233" spans="1:16" ht="69.95" customHeight="1" x14ac:dyDescent="0.2">
      <c r="A233" s="45"/>
      <c r="B233" s="1906" t="s">
        <v>255</v>
      </c>
      <c r="C233" s="1763"/>
      <c r="D233" s="1763"/>
      <c r="E233" s="1763"/>
      <c r="F233" s="1763"/>
      <c r="G233" s="1763"/>
      <c r="H233" s="1764"/>
      <c r="I233" s="1907" t="s">
        <v>256</v>
      </c>
      <c r="J233" s="1225" t="s">
        <v>256</v>
      </c>
      <c r="L233" s="67"/>
      <c r="N233" s="149"/>
      <c r="O233" s="67"/>
    </row>
    <row r="234" spans="1:16" ht="45.75" customHeight="1" x14ac:dyDescent="0.2">
      <c r="A234" s="45"/>
      <c r="B234" s="1629"/>
      <c r="C234" s="1630"/>
      <c r="D234" s="1630"/>
      <c r="E234" s="1630"/>
      <c r="F234" s="1630"/>
      <c r="G234" s="1630"/>
      <c r="H234" s="1631"/>
      <c r="I234" s="1907"/>
      <c r="J234" s="1225"/>
      <c r="L234" s="67"/>
      <c r="N234" s="149"/>
      <c r="O234" s="67"/>
    </row>
    <row r="235" spans="1:16" ht="20.100000000000001" customHeight="1" x14ac:dyDescent="0.2">
      <c r="A235" s="45"/>
      <c r="B235" s="621"/>
      <c r="C235" s="150"/>
      <c r="D235" s="150"/>
      <c r="E235" s="150"/>
      <c r="F235" s="150"/>
      <c r="G235" s="150"/>
      <c r="H235" s="150"/>
      <c r="I235" s="147"/>
      <c r="J235" s="128"/>
      <c r="N235" s="149"/>
    </row>
    <row r="236" spans="1:16" ht="30" customHeight="1" x14ac:dyDescent="0.2">
      <c r="A236" s="45"/>
      <c r="B236" s="1662" t="s">
        <v>257</v>
      </c>
      <c r="C236" s="1663"/>
      <c r="D236" s="1663"/>
      <c r="E236" s="1663"/>
      <c r="F236" s="1663"/>
      <c r="G236" s="1663"/>
      <c r="H236" s="1664"/>
      <c r="I236" s="406" t="s">
        <v>17</v>
      </c>
      <c r="J236" s="35" t="s">
        <v>18</v>
      </c>
      <c r="K236" s="226" t="s">
        <v>258</v>
      </c>
      <c r="L236" s="183">
        <v>11</v>
      </c>
      <c r="M236" s="181"/>
      <c r="N236" s="182" t="s">
        <v>30</v>
      </c>
      <c r="O236" s="183">
        <v>11</v>
      </c>
      <c r="P236" s="568" t="s">
        <v>259</v>
      </c>
    </row>
    <row r="237" spans="1:16" ht="65.099999999999994" customHeight="1" x14ac:dyDescent="0.2">
      <c r="A237" s="45"/>
      <c r="B237" s="949" t="s">
        <v>852</v>
      </c>
      <c r="C237" s="950"/>
      <c r="D237" s="950"/>
      <c r="E237" s="950"/>
      <c r="F237" s="950"/>
      <c r="G237" s="950"/>
      <c r="H237" s="950"/>
      <c r="I237" s="950"/>
      <c r="J237" s="951"/>
      <c r="K237" s="226"/>
      <c r="L237" s="183"/>
      <c r="M237" s="181"/>
      <c r="N237" s="182"/>
      <c r="O237" s="183">
        <v>11</v>
      </c>
      <c r="P237" s="568" t="s">
        <v>259</v>
      </c>
    </row>
    <row r="238" spans="1:16" ht="30" customHeight="1" x14ac:dyDescent="0.2">
      <c r="A238" s="45"/>
      <c r="B238" s="979" t="s">
        <v>641</v>
      </c>
      <c r="C238" s="980"/>
      <c r="D238" s="980"/>
      <c r="E238" s="980"/>
      <c r="F238" s="980"/>
      <c r="G238" s="980"/>
      <c r="H238" s="980"/>
      <c r="I238" s="980"/>
      <c r="J238" s="981"/>
      <c r="L238" s="561"/>
      <c r="M238" s="181"/>
      <c r="N238" s="149"/>
      <c r="O238" s="183">
        <v>11</v>
      </c>
      <c r="P238" s="568" t="s">
        <v>259</v>
      </c>
    </row>
    <row r="239" spans="1:16" ht="199.5" customHeight="1" x14ac:dyDescent="0.2">
      <c r="A239" s="39"/>
      <c r="B239" s="163" t="s">
        <v>22</v>
      </c>
      <c r="C239" s="1166" t="s">
        <v>902</v>
      </c>
      <c r="D239" s="1167"/>
      <c r="E239" s="1167"/>
      <c r="F239" s="1167"/>
      <c r="G239" s="1167"/>
      <c r="H239" s="1168"/>
      <c r="I239" s="164">
        <v>0</v>
      </c>
      <c r="J239" s="42">
        <v>1</v>
      </c>
      <c r="K239" s="570" t="s">
        <v>24</v>
      </c>
      <c r="L239" s="571" t="s">
        <v>262</v>
      </c>
      <c r="M239" s="67"/>
      <c r="N239" s="182" t="s">
        <v>30</v>
      </c>
      <c r="O239" s="183">
        <v>11</v>
      </c>
      <c r="P239" s="568" t="s">
        <v>259</v>
      </c>
    </row>
    <row r="240" spans="1:16" ht="30" customHeight="1" x14ac:dyDescent="0.2">
      <c r="A240" s="45"/>
      <c r="B240" s="1818" t="s">
        <v>26</v>
      </c>
      <c r="C240" s="1203" t="s">
        <v>32</v>
      </c>
      <c r="D240" s="1204"/>
      <c r="E240" s="1204" t="s">
        <v>245</v>
      </c>
      <c r="F240" s="1204"/>
      <c r="G240" s="1204" t="s">
        <v>35</v>
      </c>
      <c r="H240" s="1205"/>
      <c r="I240" s="1698">
        <f>+'[2]Datos REG y HIJOS'!$D$17</f>
        <v>0</v>
      </c>
      <c r="J240" s="915">
        <f>+'[2]Datos REG y HIJOS'!$E$17</f>
        <v>1</v>
      </c>
      <c r="K240" s="570" t="s">
        <v>26</v>
      </c>
      <c r="L240" s="571" t="s">
        <v>262</v>
      </c>
      <c r="M240" s="598"/>
      <c r="N240" s="182" t="s">
        <v>30</v>
      </c>
      <c r="O240" s="183">
        <v>11</v>
      </c>
      <c r="P240" s="568" t="s">
        <v>259</v>
      </c>
    </row>
    <row r="241" spans="1:16" ht="30" customHeight="1" x14ac:dyDescent="0.2">
      <c r="A241" s="45"/>
      <c r="B241" s="1793"/>
      <c r="C241" s="137" t="s">
        <v>29</v>
      </c>
      <c r="D241" s="134"/>
      <c r="E241" s="1180" t="s">
        <v>31</v>
      </c>
      <c r="F241" s="1180"/>
      <c r="G241" s="1192" t="s">
        <v>27</v>
      </c>
      <c r="H241" s="1215"/>
      <c r="I241" s="1699"/>
      <c r="J241" s="1045"/>
      <c r="K241" s="570" t="s">
        <v>26</v>
      </c>
      <c r="L241" s="571" t="s">
        <v>262</v>
      </c>
      <c r="M241" s="598"/>
      <c r="N241" s="149"/>
      <c r="O241" s="183">
        <v>11</v>
      </c>
      <c r="P241" s="568" t="s">
        <v>259</v>
      </c>
    </row>
    <row r="242" spans="1:16" ht="30" customHeight="1" x14ac:dyDescent="0.2">
      <c r="A242" s="45"/>
      <c r="B242" s="1794"/>
      <c r="C242" s="1194" t="s">
        <v>38</v>
      </c>
      <c r="D242" s="1177"/>
      <c r="E242" s="1213"/>
      <c r="F242" s="1213"/>
      <c r="G242" s="862"/>
      <c r="H242" s="863"/>
      <c r="I242" s="1700"/>
      <c r="J242" s="916"/>
      <c r="K242" s="570" t="s">
        <v>26</v>
      </c>
      <c r="L242" s="571" t="s">
        <v>262</v>
      </c>
      <c r="M242" s="598"/>
      <c r="N242" s="149"/>
      <c r="O242" s="183">
        <v>11</v>
      </c>
      <c r="P242" s="568" t="s">
        <v>259</v>
      </c>
    </row>
    <row r="243" spans="1:16" ht="39.950000000000003" customHeight="1" x14ac:dyDescent="0.2">
      <c r="A243" s="45"/>
      <c r="B243" s="1718" t="s">
        <v>40</v>
      </c>
      <c r="C243" s="1895" t="s">
        <v>42</v>
      </c>
      <c r="D243" s="1896"/>
      <c r="E243" s="1896" t="s">
        <v>45</v>
      </c>
      <c r="F243" s="1896"/>
      <c r="G243" s="1196" t="s">
        <v>64</v>
      </c>
      <c r="H243" s="1577"/>
      <c r="I243" s="1887">
        <f>+'[2]Datos REG y HIJOS'!$D$18</f>
        <v>0</v>
      </c>
      <c r="J243" s="915">
        <f>+'[2]Datos REG y HIJOS'!$E$18</f>
        <v>1</v>
      </c>
      <c r="K243" s="570" t="s">
        <v>40</v>
      </c>
      <c r="L243" s="571" t="s">
        <v>262</v>
      </c>
      <c r="M243" s="598"/>
      <c r="N243" s="182" t="s">
        <v>30</v>
      </c>
      <c r="O243" s="183">
        <v>11</v>
      </c>
      <c r="P243" s="568" t="s">
        <v>259</v>
      </c>
    </row>
    <row r="244" spans="1:16" ht="39.950000000000003" customHeight="1" x14ac:dyDescent="0.2">
      <c r="A244" s="45"/>
      <c r="B244" s="1891"/>
      <c r="C244" s="1701" t="s">
        <v>44</v>
      </c>
      <c r="D244" s="1702"/>
      <c r="E244" s="1702" t="s">
        <v>48</v>
      </c>
      <c r="F244" s="1702"/>
      <c r="G244" s="1702" t="s">
        <v>46</v>
      </c>
      <c r="H244" s="1703"/>
      <c r="I244" s="1892"/>
      <c r="J244" s="1045"/>
      <c r="K244" s="570" t="s">
        <v>40</v>
      </c>
      <c r="L244" s="571" t="s">
        <v>262</v>
      </c>
      <c r="M244" s="598"/>
      <c r="O244" s="183">
        <v>11</v>
      </c>
      <c r="P244" s="568" t="s">
        <v>259</v>
      </c>
    </row>
    <row r="245" spans="1:16" ht="42.75" customHeight="1" x14ac:dyDescent="0.2">
      <c r="A245" s="45"/>
      <c r="B245" s="1891"/>
      <c r="C245" s="1893" t="s">
        <v>47</v>
      </c>
      <c r="D245" s="1841"/>
      <c r="E245" s="1702" t="s">
        <v>58</v>
      </c>
      <c r="F245" s="1702"/>
      <c r="G245" s="1702" t="s">
        <v>49</v>
      </c>
      <c r="H245" s="1703"/>
      <c r="I245" s="1892"/>
      <c r="J245" s="1045"/>
      <c r="K245" s="570" t="s">
        <v>40</v>
      </c>
      <c r="L245" s="571" t="s">
        <v>262</v>
      </c>
      <c r="M245" s="598"/>
      <c r="O245" s="183">
        <v>11</v>
      </c>
      <c r="P245" s="568" t="s">
        <v>259</v>
      </c>
    </row>
    <row r="246" spans="1:16" ht="50.1" customHeight="1" x14ac:dyDescent="0.2">
      <c r="A246" s="45"/>
      <c r="B246" s="1891"/>
      <c r="C246" s="1701" t="s">
        <v>62</v>
      </c>
      <c r="D246" s="1702"/>
      <c r="E246" s="1191" t="s">
        <v>54</v>
      </c>
      <c r="F246" s="1191"/>
      <c r="G246" s="1022" t="s">
        <v>68</v>
      </c>
      <c r="H246" s="1028"/>
      <c r="I246" s="1892"/>
      <c r="J246" s="1045"/>
      <c r="K246" s="570" t="s">
        <v>40</v>
      </c>
      <c r="L246" s="571" t="s">
        <v>262</v>
      </c>
      <c r="M246" s="598"/>
      <c r="O246" s="183">
        <v>11</v>
      </c>
      <c r="P246" s="568" t="s">
        <v>259</v>
      </c>
    </row>
    <row r="247" spans="1:16" ht="39.950000000000003" customHeight="1" x14ac:dyDescent="0.2">
      <c r="A247" s="45"/>
      <c r="B247" s="1891"/>
      <c r="C247" s="1893" t="s">
        <v>63</v>
      </c>
      <c r="D247" s="1841"/>
      <c r="E247" s="1191" t="s">
        <v>57</v>
      </c>
      <c r="F247" s="1191"/>
      <c r="G247" s="1841" t="s">
        <v>55</v>
      </c>
      <c r="H247" s="1894"/>
      <c r="I247" s="1892"/>
      <c r="J247" s="1045"/>
      <c r="K247" s="570" t="s">
        <v>40</v>
      </c>
      <c r="L247" s="571" t="s">
        <v>262</v>
      </c>
      <c r="M247" s="598"/>
      <c r="O247" s="183">
        <v>11</v>
      </c>
      <c r="P247" s="568" t="s">
        <v>259</v>
      </c>
    </row>
    <row r="248" spans="1:16" ht="39.950000000000003" customHeight="1" x14ac:dyDescent="0.2">
      <c r="A248" s="45"/>
      <c r="B248" s="1891"/>
      <c r="C248" s="1893" t="s">
        <v>56</v>
      </c>
      <c r="D248" s="1841"/>
      <c r="E248" s="1132"/>
      <c r="F248" s="1132"/>
      <c r="G248" s="45"/>
      <c r="H248" s="624"/>
      <c r="I248" s="1892"/>
      <c r="J248" s="1045"/>
      <c r="K248" s="570" t="s">
        <v>40</v>
      </c>
      <c r="L248" s="571" t="s">
        <v>262</v>
      </c>
      <c r="M248" s="598"/>
      <c r="O248" s="183">
        <v>11</v>
      </c>
      <c r="P248" s="568" t="s">
        <v>259</v>
      </c>
    </row>
    <row r="249" spans="1:16" ht="39.950000000000003" customHeight="1" x14ac:dyDescent="0.2">
      <c r="A249" s="572" t="s">
        <v>69</v>
      </c>
      <c r="B249" s="1719"/>
      <c r="C249" s="1704" t="s">
        <v>70</v>
      </c>
      <c r="D249" s="1685"/>
      <c r="E249" s="1685"/>
      <c r="F249" s="1685"/>
      <c r="G249" s="1685"/>
      <c r="H249" s="1686"/>
      <c r="I249" s="1888"/>
      <c r="J249" s="916"/>
      <c r="K249" s="570" t="s">
        <v>40</v>
      </c>
      <c r="L249" s="571" t="s">
        <v>262</v>
      </c>
      <c r="M249" s="598"/>
      <c r="O249" s="183">
        <v>11</v>
      </c>
      <c r="P249" s="568" t="s">
        <v>259</v>
      </c>
    </row>
    <row r="250" spans="1:16" ht="30" customHeight="1" x14ac:dyDescent="0.2">
      <c r="A250" s="45"/>
      <c r="B250" s="1783" t="s">
        <v>71</v>
      </c>
      <c r="C250" s="1187" t="s">
        <v>72</v>
      </c>
      <c r="D250" s="1188"/>
      <c r="E250" s="1188" t="s">
        <v>74</v>
      </c>
      <c r="F250" s="1188"/>
      <c r="G250" s="1188" t="s">
        <v>75</v>
      </c>
      <c r="H250" s="1189"/>
      <c r="I250" s="1698">
        <f>+'[2]Datos REG y HIJOS'!$D$19</f>
        <v>0</v>
      </c>
      <c r="J250" s="915">
        <f>+'[2]Datos REG y HIJOS'!$E$19</f>
        <v>0.95</v>
      </c>
      <c r="K250" s="570" t="s">
        <v>71</v>
      </c>
      <c r="L250" s="571" t="s">
        <v>262</v>
      </c>
      <c r="M250" s="598"/>
      <c r="N250" s="182" t="s">
        <v>30</v>
      </c>
      <c r="O250" s="183">
        <v>11</v>
      </c>
      <c r="P250" s="568" t="s">
        <v>259</v>
      </c>
    </row>
    <row r="251" spans="1:16" ht="30" customHeight="1" x14ac:dyDescent="0.2">
      <c r="A251" s="45"/>
      <c r="B251" s="1784"/>
      <c r="C251" s="1218" t="s">
        <v>76</v>
      </c>
      <c r="D251" s="1180"/>
      <c r="E251" s="1180" t="s">
        <v>80</v>
      </c>
      <c r="F251" s="1180"/>
      <c r="G251" s="969" t="s">
        <v>81</v>
      </c>
      <c r="H251" s="1193"/>
      <c r="I251" s="1699"/>
      <c r="J251" s="1045"/>
      <c r="K251" s="570" t="s">
        <v>71</v>
      </c>
      <c r="L251" s="571" t="s">
        <v>262</v>
      </c>
      <c r="M251" s="598"/>
      <c r="O251" s="183">
        <v>11</v>
      </c>
      <c r="P251" s="568" t="s">
        <v>259</v>
      </c>
    </row>
    <row r="252" spans="1:16" ht="30" customHeight="1" x14ac:dyDescent="0.2">
      <c r="A252" s="45"/>
      <c r="B252" s="1784"/>
      <c r="C252" s="968" t="s">
        <v>82</v>
      </c>
      <c r="D252" s="969"/>
      <c r="E252" s="1219" t="s">
        <v>77</v>
      </c>
      <c r="F252" s="1219"/>
      <c r="G252" s="1219" t="s">
        <v>78</v>
      </c>
      <c r="H252" s="1220"/>
      <c r="I252" s="1699"/>
      <c r="J252" s="1045"/>
      <c r="K252" s="570" t="s">
        <v>71</v>
      </c>
      <c r="L252" s="571" t="s">
        <v>262</v>
      </c>
      <c r="M252" s="598"/>
      <c r="O252" s="183">
        <v>11</v>
      </c>
      <c r="P252" s="568" t="s">
        <v>259</v>
      </c>
    </row>
    <row r="253" spans="1:16" ht="30" customHeight="1" x14ac:dyDescent="0.2">
      <c r="A253" s="45"/>
      <c r="B253" s="1784"/>
      <c r="C253" s="968"/>
      <c r="D253" s="969"/>
      <c r="E253" s="482"/>
      <c r="F253" s="482"/>
      <c r="G253" s="482"/>
      <c r="H253" s="483"/>
      <c r="I253" s="1699"/>
      <c r="J253" s="1045"/>
      <c r="K253" s="570" t="s">
        <v>71</v>
      </c>
      <c r="L253" s="571" t="s">
        <v>262</v>
      </c>
      <c r="M253" s="598"/>
      <c r="O253" s="183">
        <v>11</v>
      </c>
      <c r="P253" s="568" t="s">
        <v>259</v>
      </c>
    </row>
    <row r="254" spans="1:16" ht="39.950000000000003" customHeight="1" x14ac:dyDescent="0.2">
      <c r="A254" s="45"/>
      <c r="B254" s="1718" t="s">
        <v>85</v>
      </c>
      <c r="C254" s="1895" t="s">
        <v>572</v>
      </c>
      <c r="D254" s="1896"/>
      <c r="E254" s="1896" t="s">
        <v>378</v>
      </c>
      <c r="F254" s="1896"/>
      <c r="G254" s="1896" t="s">
        <v>342</v>
      </c>
      <c r="H254" s="1900"/>
      <c r="I254" s="1887">
        <f>+'[2]Datos REG y HIJOS'!$D$20</f>
        <v>0</v>
      </c>
      <c r="J254" s="915">
        <f>+'[2]Datos REG y HIJOS'!$E$20</f>
        <v>0.95</v>
      </c>
      <c r="K254" s="570" t="s">
        <v>85</v>
      </c>
      <c r="L254" s="571" t="s">
        <v>262</v>
      </c>
      <c r="M254" s="598"/>
      <c r="N254" s="182" t="s">
        <v>30</v>
      </c>
      <c r="O254" s="183">
        <v>11</v>
      </c>
      <c r="P254" s="568" t="s">
        <v>259</v>
      </c>
    </row>
    <row r="255" spans="1:16" ht="39.950000000000003" customHeight="1" x14ac:dyDescent="0.2">
      <c r="A255" s="45"/>
      <c r="B255" s="1891"/>
      <c r="C255" s="1701" t="s">
        <v>86</v>
      </c>
      <c r="D255" s="1702"/>
      <c r="E255" s="1702" t="s">
        <v>574</v>
      </c>
      <c r="F255" s="1702"/>
      <c r="G255" s="1775" t="s">
        <v>402</v>
      </c>
      <c r="H255" s="1776"/>
      <c r="I255" s="1892"/>
      <c r="J255" s="1045"/>
      <c r="K255" s="570" t="s">
        <v>85</v>
      </c>
      <c r="L255" s="571" t="s">
        <v>262</v>
      </c>
      <c r="M255" s="598"/>
      <c r="O255" s="183">
        <v>11</v>
      </c>
      <c r="P255" s="568" t="s">
        <v>259</v>
      </c>
    </row>
    <row r="256" spans="1:16" ht="39.950000000000003" customHeight="1" x14ac:dyDescent="0.2">
      <c r="A256" s="45"/>
      <c r="B256" s="1891"/>
      <c r="C256" s="1701" t="s">
        <v>576</v>
      </c>
      <c r="D256" s="1702"/>
      <c r="E256" s="1702" t="s">
        <v>577</v>
      </c>
      <c r="F256" s="1702"/>
      <c r="G256" s="1702" t="s">
        <v>624</v>
      </c>
      <c r="H256" s="1703"/>
      <c r="I256" s="1892"/>
      <c r="J256" s="1045"/>
      <c r="K256" s="570" t="s">
        <v>85</v>
      </c>
      <c r="L256" s="571" t="s">
        <v>262</v>
      </c>
      <c r="M256" s="598"/>
      <c r="O256" s="183">
        <v>11</v>
      </c>
      <c r="P256" s="568" t="s">
        <v>259</v>
      </c>
    </row>
    <row r="257" spans="1:16" ht="39.950000000000003" customHeight="1" x14ac:dyDescent="0.2">
      <c r="A257" s="45"/>
      <c r="B257" s="1891"/>
      <c r="C257" s="1701" t="s">
        <v>578</v>
      </c>
      <c r="D257" s="1702"/>
      <c r="E257" s="1190" t="s">
        <v>580</v>
      </c>
      <c r="F257" s="1190"/>
      <c r="G257" s="1190" t="s">
        <v>581</v>
      </c>
      <c r="H257" s="1212"/>
      <c r="I257" s="1892"/>
      <c r="J257" s="1045"/>
      <c r="K257" s="570" t="s">
        <v>85</v>
      </c>
      <c r="L257" s="571" t="s">
        <v>262</v>
      </c>
      <c r="M257" s="598"/>
      <c r="O257" s="183">
        <v>11</v>
      </c>
      <c r="P257" s="568" t="s">
        <v>259</v>
      </c>
    </row>
    <row r="258" spans="1:16" ht="39.950000000000003" customHeight="1" x14ac:dyDescent="0.2">
      <c r="A258" s="45"/>
      <c r="B258" s="1891"/>
      <c r="C258" s="1701" t="s">
        <v>579</v>
      </c>
      <c r="D258" s="1702"/>
      <c r="E258" s="1190" t="s">
        <v>573</v>
      </c>
      <c r="F258" s="1190"/>
      <c r="G258" s="140"/>
      <c r="H258" s="516"/>
      <c r="I258" s="1892"/>
      <c r="J258" s="1045"/>
      <c r="K258" s="570" t="s">
        <v>85</v>
      </c>
      <c r="L258" s="571" t="s">
        <v>262</v>
      </c>
      <c r="M258" s="598"/>
      <c r="O258" s="183">
        <v>11</v>
      </c>
      <c r="P258" s="568" t="s">
        <v>259</v>
      </c>
    </row>
    <row r="259" spans="1:16" ht="39.950000000000003" customHeight="1" x14ac:dyDescent="0.2">
      <c r="A259" s="183" t="s">
        <v>97</v>
      </c>
      <c r="B259" s="1719"/>
      <c r="C259" s="1774" t="s">
        <v>903</v>
      </c>
      <c r="D259" s="1775"/>
      <c r="E259" s="1775"/>
      <c r="F259" s="1775"/>
      <c r="G259" s="1775"/>
      <c r="H259" s="1776"/>
      <c r="I259" s="1888"/>
      <c r="J259" s="916"/>
      <c r="K259" s="570" t="s">
        <v>85</v>
      </c>
      <c r="L259" s="571" t="s">
        <v>262</v>
      </c>
      <c r="M259" s="598"/>
      <c r="O259" s="183">
        <v>11</v>
      </c>
      <c r="P259" s="568" t="s">
        <v>259</v>
      </c>
    </row>
    <row r="260" spans="1:16" ht="39.950000000000003" customHeight="1" x14ac:dyDescent="0.2">
      <c r="A260" s="45"/>
      <c r="B260" s="1718" t="s">
        <v>87</v>
      </c>
      <c r="C260" s="1823" t="s">
        <v>88</v>
      </c>
      <c r="D260" s="1824"/>
      <c r="E260" s="1824" t="s">
        <v>89</v>
      </c>
      <c r="F260" s="1824"/>
      <c r="G260" s="1824" t="s">
        <v>90</v>
      </c>
      <c r="H260" s="1825"/>
      <c r="I260" s="1887">
        <f>+'[2]Datos REG y HIJOS'!$D$21</f>
        <v>0</v>
      </c>
      <c r="J260" s="915">
        <f>+'[2]Datos REG y HIJOS'!$E$21</f>
        <v>0.95</v>
      </c>
      <c r="K260" s="570" t="s">
        <v>87</v>
      </c>
      <c r="L260" s="571" t="s">
        <v>262</v>
      </c>
      <c r="M260" s="598"/>
      <c r="N260" s="182" t="s">
        <v>30</v>
      </c>
      <c r="O260" s="183">
        <v>11</v>
      </c>
      <c r="P260" s="568" t="s">
        <v>259</v>
      </c>
    </row>
    <row r="261" spans="1:16" ht="39.950000000000003" customHeight="1" x14ac:dyDescent="0.2">
      <c r="A261" s="45"/>
      <c r="B261" s="1891"/>
      <c r="C261" s="1904" t="s">
        <v>92</v>
      </c>
      <c r="D261" s="1816"/>
      <c r="E261" s="1775" t="s">
        <v>93</v>
      </c>
      <c r="F261" s="1775"/>
      <c r="G261" s="1775" t="s">
        <v>94</v>
      </c>
      <c r="H261" s="1776"/>
      <c r="I261" s="1892"/>
      <c r="J261" s="1045"/>
      <c r="K261" s="570" t="s">
        <v>87</v>
      </c>
      <c r="L261" s="571" t="s">
        <v>262</v>
      </c>
      <c r="M261" s="598"/>
      <c r="O261" s="183">
        <v>11</v>
      </c>
      <c r="P261" s="568" t="s">
        <v>259</v>
      </c>
    </row>
    <row r="262" spans="1:16" ht="39.950000000000003" customHeight="1" x14ac:dyDescent="0.2">
      <c r="A262" s="45"/>
      <c r="B262" s="1891"/>
      <c r="C262" s="645" t="s">
        <v>39</v>
      </c>
      <c r="D262" s="623"/>
      <c r="E262" s="644"/>
      <c r="F262" s="644"/>
      <c r="G262" s="644"/>
      <c r="H262" s="646"/>
      <c r="I262" s="1892"/>
      <c r="J262" s="1045"/>
      <c r="K262" s="570" t="s">
        <v>87</v>
      </c>
      <c r="L262" s="571" t="s">
        <v>262</v>
      </c>
      <c r="M262" s="598"/>
      <c r="O262" s="183">
        <v>11</v>
      </c>
      <c r="P262" s="568" t="s">
        <v>259</v>
      </c>
    </row>
    <row r="263" spans="1:16" ht="39.950000000000003" customHeight="1" x14ac:dyDescent="0.2">
      <c r="A263" s="45"/>
      <c r="B263" s="1891"/>
      <c r="C263" s="1218" t="s">
        <v>98</v>
      </c>
      <c r="D263" s="1180"/>
      <c r="E263" s="1180"/>
      <c r="F263" s="1180"/>
      <c r="G263" s="1180"/>
      <c r="H263" s="1227"/>
      <c r="I263" s="1892"/>
      <c r="J263" s="1045"/>
      <c r="K263" s="570" t="s">
        <v>87</v>
      </c>
      <c r="L263" s="571" t="s">
        <v>262</v>
      </c>
      <c r="M263" s="598"/>
      <c r="O263" s="183">
        <v>11</v>
      </c>
      <c r="P263" s="568" t="s">
        <v>259</v>
      </c>
    </row>
    <row r="264" spans="1:16" ht="39.950000000000003" customHeight="1" x14ac:dyDescent="0.2">
      <c r="A264" s="45"/>
      <c r="B264" s="1719"/>
      <c r="C264" s="1181" t="s">
        <v>263</v>
      </c>
      <c r="D264" s="1182"/>
      <c r="E264" s="1182"/>
      <c r="F264" s="1182"/>
      <c r="G264" s="1182"/>
      <c r="H264" s="1183"/>
      <c r="I264" s="1888"/>
      <c r="J264" s="916"/>
      <c r="K264" s="570" t="s">
        <v>87</v>
      </c>
      <c r="L264" s="571" t="s">
        <v>262</v>
      </c>
      <c r="M264" s="598"/>
      <c r="O264" s="183">
        <v>11</v>
      </c>
      <c r="P264" s="568" t="s">
        <v>259</v>
      </c>
    </row>
    <row r="265" spans="1:16" ht="39.950000000000003" customHeight="1" x14ac:dyDescent="0.2">
      <c r="A265" s="45"/>
      <c r="B265" s="538" t="s">
        <v>567</v>
      </c>
      <c r="C265" s="1902" t="s">
        <v>134</v>
      </c>
      <c r="D265" s="1903"/>
      <c r="E265" s="1283" t="s">
        <v>95</v>
      </c>
      <c r="F265" s="1283"/>
      <c r="G265" s="1283" t="s">
        <v>631</v>
      </c>
      <c r="H265" s="1813"/>
      <c r="I265" s="409">
        <f>+'[2]Datos REG y HIJOS'!$D$22</f>
        <v>0</v>
      </c>
      <c r="J265" s="42">
        <f>+'[2]Datos REG y HIJOS'!$E$22</f>
        <v>0.95</v>
      </c>
      <c r="K265" s="570" t="s">
        <v>567</v>
      </c>
      <c r="L265" s="571" t="s">
        <v>262</v>
      </c>
      <c r="M265" s="598"/>
      <c r="N265" s="182" t="s">
        <v>30</v>
      </c>
      <c r="O265" s="183">
        <v>11</v>
      </c>
      <c r="P265" s="568" t="s">
        <v>259</v>
      </c>
    </row>
    <row r="266" spans="1:16" s="66" customFormat="1" ht="30" customHeight="1" x14ac:dyDescent="0.2">
      <c r="A266" s="67"/>
      <c r="B266" s="1164" t="s">
        <v>584</v>
      </c>
      <c r="C266" s="1476" t="s">
        <v>585</v>
      </c>
      <c r="D266" s="1477"/>
      <c r="E266" s="1477" t="s">
        <v>138</v>
      </c>
      <c r="F266" s="1477"/>
      <c r="G266" s="1477" t="s">
        <v>586</v>
      </c>
      <c r="H266" s="2027"/>
      <c r="I266" s="1874">
        <f>+'[2]Datos REG y HIJOS'!$D$24</f>
        <v>0</v>
      </c>
      <c r="J266" s="1156">
        <f>+'[2]Datos REG y HIJOS'!$E$24</f>
        <v>0.9</v>
      </c>
      <c r="K266" s="570" t="s">
        <v>584</v>
      </c>
      <c r="L266" s="571" t="s">
        <v>262</v>
      </c>
      <c r="M266" s="67"/>
      <c r="O266" s="183">
        <v>11</v>
      </c>
      <c r="P266" s="568" t="s">
        <v>259</v>
      </c>
    </row>
    <row r="267" spans="1:16" s="66" customFormat="1" ht="30" customHeight="1" x14ac:dyDescent="0.2">
      <c r="A267" s="67"/>
      <c r="B267" s="1753"/>
      <c r="C267" s="2025" t="s">
        <v>587</v>
      </c>
      <c r="D267" s="1842"/>
      <c r="E267" s="1219"/>
      <c r="F267" s="1219"/>
      <c r="G267" s="1748"/>
      <c r="H267" s="1749"/>
      <c r="I267" s="2024"/>
      <c r="J267" s="1157"/>
      <c r="K267" s="570" t="s">
        <v>584</v>
      </c>
      <c r="L267" s="571" t="s">
        <v>262</v>
      </c>
      <c r="M267" s="67"/>
      <c r="O267" s="183">
        <v>11</v>
      </c>
      <c r="P267" s="568" t="s">
        <v>259</v>
      </c>
    </row>
    <row r="268" spans="1:16" s="66" customFormat="1" ht="30" customHeight="1" x14ac:dyDescent="0.2">
      <c r="A268" s="67"/>
      <c r="B268" s="647" t="s">
        <v>571</v>
      </c>
      <c r="C268" s="1410" t="s">
        <v>596</v>
      </c>
      <c r="D268" s="1411"/>
      <c r="E268" s="1809" t="s">
        <v>598</v>
      </c>
      <c r="F268" s="1809"/>
      <c r="G268" s="1411" t="s">
        <v>599</v>
      </c>
      <c r="H268" s="2026"/>
      <c r="I268" s="360">
        <f>'[2]Datos REG y HIJOS'!$D$23</f>
        <v>0</v>
      </c>
      <c r="J268" s="121">
        <f>'[2]Datos REG y HIJOS'!$E$23</f>
        <v>0.9</v>
      </c>
      <c r="K268" s="570" t="s">
        <v>571</v>
      </c>
      <c r="L268" s="571" t="s">
        <v>262</v>
      </c>
      <c r="M268" s="67"/>
      <c r="N268" s="182" t="s">
        <v>30</v>
      </c>
      <c r="O268" s="183">
        <v>11</v>
      </c>
      <c r="P268" s="568" t="s">
        <v>259</v>
      </c>
    </row>
    <row r="269" spans="1:16" s="66" customFormat="1" ht="30" customHeight="1" x14ac:dyDescent="0.2">
      <c r="A269" s="67"/>
      <c r="B269" s="1865" t="s">
        <v>591</v>
      </c>
      <c r="C269" s="1461" t="s">
        <v>592</v>
      </c>
      <c r="D269" s="1462"/>
      <c r="E269" s="1696" t="s">
        <v>176</v>
      </c>
      <c r="F269" s="1696"/>
      <c r="G269" s="1896" t="s">
        <v>593</v>
      </c>
      <c r="H269" s="1900"/>
      <c r="I269" s="2022" t="str">
        <f>+'[2]Datos REG y HIJOS'!$D$25</f>
        <v>1 día de hab.</v>
      </c>
      <c r="J269" s="1449">
        <f>+'[2]Datos REG y HIJOS'!$E$25</f>
        <v>0.8</v>
      </c>
      <c r="K269" s="570" t="s">
        <v>591</v>
      </c>
      <c r="L269" s="571" t="s">
        <v>262</v>
      </c>
      <c r="N269" s="182" t="s">
        <v>30</v>
      </c>
      <c r="O269" s="183">
        <v>11</v>
      </c>
      <c r="P269" s="568" t="s">
        <v>259</v>
      </c>
    </row>
    <row r="270" spans="1:16" s="66" customFormat="1" ht="30" customHeight="1" x14ac:dyDescent="0.2">
      <c r="A270" s="67"/>
      <c r="B270" s="1867"/>
      <c r="C270" s="1453" t="s">
        <v>594</v>
      </c>
      <c r="D270" s="1213"/>
      <c r="E270" s="784"/>
      <c r="F270" s="784"/>
      <c r="G270" s="625"/>
      <c r="H270" s="626"/>
      <c r="I270" s="2023"/>
      <c r="J270" s="1451"/>
      <c r="K270" s="570" t="s">
        <v>591</v>
      </c>
      <c r="L270" s="571" t="s">
        <v>262</v>
      </c>
      <c r="N270" s="67"/>
      <c r="O270" s="183">
        <v>11</v>
      </c>
      <c r="P270" s="568" t="s">
        <v>259</v>
      </c>
    </row>
    <row r="271" spans="1:16" ht="30" customHeight="1" x14ac:dyDescent="0.2">
      <c r="A271" s="45"/>
      <c r="B271" s="1970" t="s">
        <v>758</v>
      </c>
      <c r="C271" s="1898" t="s">
        <v>759</v>
      </c>
      <c r="D271" s="1899"/>
      <c r="E271" s="1462" t="s">
        <v>779</v>
      </c>
      <c r="F271" s="1462"/>
      <c r="G271" s="1462" t="s">
        <v>762</v>
      </c>
      <c r="H271" s="1463"/>
      <c r="I271" s="1868" t="str">
        <f>+'[2]Datos REG y HIJOS'!$D$26</f>
        <v>1 día de hab.</v>
      </c>
      <c r="J271" s="1449">
        <f>+'[2]Datos REG y HIJOS'!$E$26</f>
        <v>0.8</v>
      </c>
      <c r="K271" s="570" t="s">
        <v>758</v>
      </c>
      <c r="L271" s="571" t="s">
        <v>262</v>
      </c>
      <c r="M271" s="66"/>
      <c r="N271" s="182" t="s">
        <v>30</v>
      </c>
      <c r="O271" s="183">
        <v>11</v>
      </c>
      <c r="P271" s="568" t="s">
        <v>259</v>
      </c>
    </row>
    <row r="272" spans="1:16" ht="30" customHeight="1" x14ac:dyDescent="0.2">
      <c r="A272" s="45"/>
      <c r="B272" s="1966"/>
      <c r="C272" s="1452" t="s">
        <v>215</v>
      </c>
      <c r="D272" s="1192"/>
      <c r="E272" s="346"/>
      <c r="F272" s="346"/>
      <c r="G272" s="346"/>
      <c r="H272" s="347"/>
      <c r="I272" s="1869"/>
      <c r="J272" s="1450"/>
      <c r="K272" s="570" t="s">
        <v>758</v>
      </c>
      <c r="L272" s="571" t="s">
        <v>262</v>
      </c>
      <c r="M272" s="66"/>
      <c r="O272" s="183">
        <v>11</v>
      </c>
      <c r="P272" s="568" t="s">
        <v>259</v>
      </c>
    </row>
    <row r="273" spans="1:16" ht="30" customHeight="1" x14ac:dyDescent="0.2">
      <c r="A273" s="650" t="s">
        <v>69</v>
      </c>
      <c r="B273" s="2021"/>
      <c r="C273" s="1453" t="s">
        <v>765</v>
      </c>
      <c r="D273" s="1213"/>
      <c r="E273" s="1213"/>
      <c r="F273" s="1213"/>
      <c r="G273" s="1213"/>
      <c r="H273" s="1213"/>
      <c r="I273" s="1870"/>
      <c r="J273" s="1451"/>
      <c r="K273" s="651" t="s">
        <v>758</v>
      </c>
      <c r="L273" s="652" t="s">
        <v>262</v>
      </c>
      <c r="M273" s="45"/>
      <c r="N273" s="149"/>
      <c r="O273" s="653">
        <v>11</v>
      </c>
      <c r="P273" s="654" t="s">
        <v>259</v>
      </c>
    </row>
    <row r="274" spans="1:16" s="66" customFormat="1" ht="40.5" customHeight="1" x14ac:dyDescent="0.2">
      <c r="A274" s="67"/>
      <c r="B274" s="163" t="s">
        <v>601</v>
      </c>
      <c r="C274" s="1805" t="s">
        <v>602</v>
      </c>
      <c r="D274" s="1805"/>
      <c r="E274" s="1805"/>
      <c r="F274" s="1805"/>
      <c r="G274" s="1805"/>
      <c r="H274" s="1805"/>
      <c r="I274" s="164">
        <f>+'[2]Datos REG y HIJOS'!$D$27</f>
        <v>0</v>
      </c>
      <c r="J274" s="199">
        <f>+'[2]Datos REG y HIJOS'!$E$27</f>
        <v>1</v>
      </c>
      <c r="K274" s="570" t="s">
        <v>601</v>
      </c>
      <c r="L274" s="571" t="s">
        <v>262</v>
      </c>
      <c r="M274" s="67"/>
      <c r="N274" s="182" t="s">
        <v>30</v>
      </c>
      <c r="O274" s="183">
        <v>11</v>
      </c>
      <c r="P274" s="568" t="s">
        <v>259</v>
      </c>
    </row>
    <row r="275" spans="1:16" s="66" customFormat="1" ht="39.950000000000003" customHeight="1" x14ac:dyDescent="0.2">
      <c r="A275" s="67"/>
      <c r="B275" s="163" t="s">
        <v>603</v>
      </c>
      <c r="C275" s="1805" t="s">
        <v>604</v>
      </c>
      <c r="D275" s="1805"/>
      <c r="E275" s="1805"/>
      <c r="F275" s="1805"/>
      <c r="G275" s="1805"/>
      <c r="H275" s="1805"/>
      <c r="I275" s="164">
        <f>+'[2]Datos REG y HIJOS'!$D$28</f>
        <v>0</v>
      </c>
      <c r="J275" s="199">
        <f>+'[2]Datos REG y HIJOS'!$E$28</f>
        <v>0.95</v>
      </c>
      <c r="K275" s="570" t="s">
        <v>603</v>
      </c>
      <c r="L275" s="571" t="s">
        <v>262</v>
      </c>
      <c r="M275" s="67"/>
      <c r="N275" s="182" t="s">
        <v>30</v>
      </c>
      <c r="O275" s="183">
        <v>11</v>
      </c>
      <c r="P275" s="568" t="s">
        <v>259</v>
      </c>
    </row>
    <row r="276" spans="1:16" ht="39.950000000000003" customHeight="1" x14ac:dyDescent="0.2">
      <c r="A276" s="45"/>
      <c r="B276" s="541" t="s">
        <v>769</v>
      </c>
      <c r="C276" s="1252" t="s">
        <v>770</v>
      </c>
      <c r="D276" s="1252"/>
      <c r="E276" s="1252"/>
      <c r="F276" s="1252"/>
      <c r="G276" s="1252"/>
      <c r="H276" s="1252"/>
      <c r="I276" s="580" t="str">
        <f>+'[2]Datos REG y HIJOS'!$D$29</f>
        <v>1 día de hab.</v>
      </c>
      <c r="J276" s="353">
        <f>+'[2]Datos REG y HIJOS'!$E$29</f>
        <v>0.7</v>
      </c>
      <c r="K276" s="570" t="s">
        <v>769</v>
      </c>
      <c r="L276" s="571" t="s">
        <v>262</v>
      </c>
      <c r="M276" s="66"/>
      <c r="N276" s="182" t="s">
        <v>30</v>
      </c>
      <c r="O276" s="183">
        <v>11</v>
      </c>
      <c r="P276" s="568" t="s">
        <v>259</v>
      </c>
    </row>
    <row r="277" spans="1:16" ht="30" customHeight="1" x14ac:dyDescent="0.2">
      <c r="A277" s="572"/>
      <c r="B277" s="541" t="s">
        <v>767</v>
      </c>
      <c r="C277" s="1432" t="s">
        <v>768</v>
      </c>
      <c r="D277" s="1433"/>
      <c r="E277" s="432"/>
      <c r="F277" s="432"/>
      <c r="G277" s="432"/>
      <c r="H277" s="433"/>
      <c r="I277" s="580">
        <v>0</v>
      </c>
      <c r="J277" s="353">
        <v>0.6</v>
      </c>
      <c r="K277" s="66"/>
      <c r="L277" s="661"/>
      <c r="M277" s="66"/>
      <c r="O277" s="67"/>
      <c r="P277" s="586"/>
    </row>
    <row r="278" spans="1:16" ht="30" customHeight="1" x14ac:dyDescent="0.2">
      <c r="B278" s="1897" t="s">
        <v>264</v>
      </c>
      <c r="C278" s="1897"/>
      <c r="D278" s="1897"/>
      <c r="E278" s="1897"/>
      <c r="F278" s="1897"/>
      <c r="G278" s="1897"/>
      <c r="H278" s="1897"/>
      <c r="I278" s="1897"/>
      <c r="J278" s="1897"/>
      <c r="N278" s="182" t="s">
        <v>30</v>
      </c>
      <c r="O278" s="183">
        <v>11</v>
      </c>
      <c r="P278" s="657" t="s">
        <v>265</v>
      </c>
    </row>
    <row r="279" spans="1:16" ht="21.75" customHeight="1" x14ac:dyDescent="0.2">
      <c r="B279" s="1818" t="s">
        <v>26</v>
      </c>
      <c r="C279" s="1203" t="s">
        <v>32</v>
      </c>
      <c r="D279" s="1204"/>
      <c r="E279" s="1204" t="s">
        <v>170</v>
      </c>
      <c r="F279" s="1204"/>
      <c r="G279" s="1204" t="s">
        <v>35</v>
      </c>
      <c r="H279" s="1205"/>
      <c r="I279" s="1698" t="str">
        <f>+'[2]Datos REG y HIJOS'!$F$17</f>
        <v>1 día de hab.</v>
      </c>
      <c r="J279" s="915">
        <f>+'[2]Datos REG y HIJOS'!$G$17</f>
        <v>0.9</v>
      </c>
      <c r="K279" s="570" t="s">
        <v>26</v>
      </c>
      <c r="L279" s="571" t="s">
        <v>266</v>
      </c>
      <c r="M279" s="598"/>
      <c r="O279" s="183">
        <v>11</v>
      </c>
      <c r="P279" s="657" t="s">
        <v>265</v>
      </c>
    </row>
    <row r="280" spans="1:16" ht="21.75" customHeight="1" x14ac:dyDescent="0.2">
      <c r="B280" s="1793"/>
      <c r="C280" s="137" t="s">
        <v>29</v>
      </c>
      <c r="D280" s="134"/>
      <c r="E280" s="1180" t="s">
        <v>31</v>
      </c>
      <c r="F280" s="1180"/>
      <c r="G280" s="1192" t="s">
        <v>27</v>
      </c>
      <c r="H280" s="1215"/>
      <c r="I280" s="1699"/>
      <c r="J280" s="1045"/>
      <c r="K280" s="570" t="s">
        <v>26</v>
      </c>
      <c r="L280" s="571" t="s">
        <v>266</v>
      </c>
      <c r="M280" s="598"/>
      <c r="O280" s="183">
        <v>11</v>
      </c>
      <c r="P280" s="657" t="s">
        <v>265</v>
      </c>
    </row>
    <row r="281" spans="1:16" ht="21.75" customHeight="1" x14ac:dyDescent="0.2">
      <c r="B281" s="1793"/>
      <c r="C281" s="1194" t="s">
        <v>38</v>
      </c>
      <c r="D281" s="1177"/>
      <c r="E281" s="1213"/>
      <c r="F281" s="1213"/>
      <c r="G281" s="862"/>
      <c r="H281" s="863"/>
      <c r="I281" s="1699"/>
      <c r="J281" s="1045"/>
      <c r="K281" s="570" t="s">
        <v>26</v>
      </c>
      <c r="L281" s="571" t="s">
        <v>266</v>
      </c>
      <c r="M281" s="598"/>
      <c r="O281" s="183">
        <v>11</v>
      </c>
      <c r="P281" s="657" t="s">
        <v>265</v>
      </c>
    </row>
    <row r="282" spans="1:16" ht="39.950000000000003" customHeight="1" x14ac:dyDescent="0.2">
      <c r="B282" s="1783" t="s">
        <v>40</v>
      </c>
      <c r="C282" s="1895" t="s">
        <v>42</v>
      </c>
      <c r="D282" s="1896"/>
      <c r="E282" s="1896" t="s">
        <v>45</v>
      </c>
      <c r="F282" s="1896"/>
      <c r="G282" s="1696" t="s">
        <v>56</v>
      </c>
      <c r="H282" s="1697"/>
      <c r="I282" s="1698" t="str">
        <f>+'[2]Datos REG y HIJOS'!$F$18</f>
        <v>1 día de hab.</v>
      </c>
      <c r="J282" s="915">
        <f>+'[2]Datos REG y HIJOS'!$G$18</f>
        <v>0.9</v>
      </c>
      <c r="K282" s="570" t="s">
        <v>40</v>
      </c>
      <c r="L282" s="571" t="s">
        <v>266</v>
      </c>
      <c r="M282" s="598"/>
      <c r="N282" s="182" t="s">
        <v>30</v>
      </c>
      <c r="O282" s="183">
        <v>11</v>
      </c>
      <c r="P282" s="657" t="s">
        <v>265</v>
      </c>
    </row>
    <row r="283" spans="1:16" ht="39.950000000000003" customHeight="1" x14ac:dyDescent="0.2">
      <c r="B283" s="1784"/>
      <c r="C283" s="1701" t="s">
        <v>44</v>
      </c>
      <c r="D283" s="1702"/>
      <c r="E283" s="1702" t="s">
        <v>48</v>
      </c>
      <c r="F283" s="1702"/>
      <c r="G283" s="1702" t="s">
        <v>46</v>
      </c>
      <c r="H283" s="1703"/>
      <c r="I283" s="1699"/>
      <c r="J283" s="1045"/>
      <c r="K283" s="570" t="s">
        <v>40</v>
      </c>
      <c r="L283" s="571" t="s">
        <v>266</v>
      </c>
      <c r="M283" s="598"/>
      <c r="O283" s="183">
        <v>11</v>
      </c>
      <c r="P283" s="657" t="s">
        <v>265</v>
      </c>
    </row>
    <row r="284" spans="1:16" ht="30" customHeight="1" x14ac:dyDescent="0.2">
      <c r="B284" s="1784"/>
      <c r="C284" s="1893" t="s">
        <v>47</v>
      </c>
      <c r="D284" s="1841"/>
      <c r="E284" s="1702" t="s">
        <v>267</v>
      </c>
      <c r="F284" s="1702"/>
      <c r="G284" s="1702" t="s">
        <v>49</v>
      </c>
      <c r="H284" s="1703"/>
      <c r="I284" s="1699"/>
      <c r="J284" s="1045"/>
      <c r="K284" s="570" t="s">
        <v>40</v>
      </c>
      <c r="L284" s="571" t="s">
        <v>266</v>
      </c>
      <c r="M284" s="598"/>
      <c r="O284" s="183">
        <v>11</v>
      </c>
      <c r="P284" s="657" t="s">
        <v>265</v>
      </c>
    </row>
    <row r="285" spans="1:16" ht="50.1" customHeight="1" x14ac:dyDescent="0.2">
      <c r="B285" s="1784"/>
      <c r="C285" s="1893" t="s">
        <v>62</v>
      </c>
      <c r="D285" s="1841"/>
      <c r="E285" s="1841" t="s">
        <v>54</v>
      </c>
      <c r="F285" s="1841"/>
      <c r="G285" s="1132" t="s">
        <v>68</v>
      </c>
      <c r="H285" s="1134"/>
      <c r="I285" s="1699"/>
      <c r="J285" s="1045"/>
      <c r="K285" s="570" t="s">
        <v>40</v>
      </c>
      <c r="L285" s="571" t="s">
        <v>266</v>
      </c>
      <c r="M285" s="598"/>
      <c r="O285" s="183">
        <v>11</v>
      </c>
      <c r="P285" s="657" t="s">
        <v>265</v>
      </c>
    </row>
    <row r="286" spans="1:16" ht="39.950000000000003" customHeight="1" x14ac:dyDescent="0.2">
      <c r="B286" s="1784"/>
      <c r="C286" s="1841" t="s">
        <v>64</v>
      </c>
      <c r="D286" s="1841"/>
      <c r="E286" s="1841" t="s">
        <v>58</v>
      </c>
      <c r="F286" s="1841"/>
      <c r="G286" s="1841" t="s">
        <v>55</v>
      </c>
      <c r="H286" s="1894"/>
      <c r="I286" s="1699"/>
      <c r="J286" s="1045"/>
      <c r="K286" s="570" t="s">
        <v>40</v>
      </c>
      <c r="L286" s="571" t="s">
        <v>266</v>
      </c>
      <c r="M286" s="598"/>
      <c r="O286" s="183">
        <v>11</v>
      </c>
      <c r="P286" s="657" t="s">
        <v>265</v>
      </c>
    </row>
    <row r="287" spans="1:16" ht="39.950000000000003" customHeight="1" x14ac:dyDescent="0.2">
      <c r="A287" s="572" t="s">
        <v>69</v>
      </c>
      <c r="B287" s="1785"/>
      <c r="C287" s="1704" t="s">
        <v>70</v>
      </c>
      <c r="D287" s="1685"/>
      <c r="E287" s="1685"/>
      <c r="F287" s="1685"/>
      <c r="G287" s="1685"/>
      <c r="H287" s="1686"/>
      <c r="I287" s="1700"/>
      <c r="J287" s="916"/>
      <c r="K287" s="570" t="s">
        <v>40</v>
      </c>
      <c r="L287" s="571" t="s">
        <v>266</v>
      </c>
      <c r="M287" s="598"/>
      <c r="O287" s="183">
        <v>11</v>
      </c>
      <c r="P287" s="657" t="s">
        <v>265</v>
      </c>
    </row>
    <row r="288" spans="1:16" ht="30" customHeight="1" x14ac:dyDescent="0.2">
      <c r="B288" s="1718" t="s">
        <v>71</v>
      </c>
      <c r="C288" s="1187" t="s">
        <v>72</v>
      </c>
      <c r="D288" s="1188"/>
      <c r="E288" s="1188" t="s">
        <v>74</v>
      </c>
      <c r="F288" s="1188"/>
      <c r="G288" s="1188" t="s">
        <v>80</v>
      </c>
      <c r="H288" s="1189"/>
      <c r="I288" s="1698" t="str">
        <f>+'[2]Datos REG y HIJOS'!$F$19</f>
        <v>1 día de hab.</v>
      </c>
      <c r="J288" s="915">
        <f>+'[2]Datos REG y HIJOS'!$G$19</f>
        <v>0.85</v>
      </c>
      <c r="K288" s="570" t="s">
        <v>71</v>
      </c>
      <c r="L288" s="571" t="s">
        <v>266</v>
      </c>
      <c r="M288" s="598"/>
      <c r="N288" s="182" t="s">
        <v>30</v>
      </c>
      <c r="O288" s="183">
        <v>11</v>
      </c>
      <c r="P288" s="657" t="s">
        <v>265</v>
      </c>
    </row>
    <row r="289" spans="1:16" ht="30" customHeight="1" x14ac:dyDescent="0.2">
      <c r="B289" s="1891"/>
      <c r="C289" s="158" t="s">
        <v>75</v>
      </c>
      <c r="D289" s="24"/>
      <c r="E289" s="969" t="s">
        <v>81</v>
      </c>
      <c r="F289" s="969"/>
      <c r="G289" s="969" t="s">
        <v>82</v>
      </c>
      <c r="H289" s="1193"/>
      <c r="I289" s="1699"/>
      <c r="J289" s="1045"/>
      <c r="K289" s="570" t="s">
        <v>71</v>
      </c>
      <c r="L289" s="571" t="s">
        <v>266</v>
      </c>
      <c r="M289" s="598"/>
      <c r="O289" s="183">
        <v>11</v>
      </c>
      <c r="P289" s="657" t="s">
        <v>265</v>
      </c>
    </row>
    <row r="290" spans="1:16" ht="30" customHeight="1" x14ac:dyDescent="0.2">
      <c r="B290" s="1719"/>
      <c r="C290" s="1144" t="s">
        <v>77</v>
      </c>
      <c r="D290" s="1145"/>
      <c r="E290" s="1145" t="s">
        <v>76</v>
      </c>
      <c r="F290" s="1145"/>
      <c r="G290" s="969" t="s">
        <v>78</v>
      </c>
      <c r="H290" s="1193"/>
      <c r="I290" s="1700"/>
      <c r="J290" s="916"/>
      <c r="K290" s="570" t="s">
        <v>71</v>
      </c>
      <c r="L290" s="571" t="s">
        <v>266</v>
      </c>
      <c r="M290" s="598"/>
      <c r="O290" s="183">
        <v>11</v>
      </c>
      <c r="P290" s="657" t="s">
        <v>265</v>
      </c>
    </row>
    <row r="291" spans="1:16" ht="39.950000000000003" customHeight="1" x14ac:dyDescent="0.2">
      <c r="B291" s="1718" t="s">
        <v>85</v>
      </c>
      <c r="C291" s="1895" t="s">
        <v>378</v>
      </c>
      <c r="D291" s="1896"/>
      <c r="E291" s="1896" t="s">
        <v>342</v>
      </c>
      <c r="F291" s="1896"/>
      <c r="G291" s="1896" t="s">
        <v>86</v>
      </c>
      <c r="H291" s="1900"/>
      <c r="I291" s="1887" t="str">
        <f>+'[2]Datos REG y HIJOS'!$F$20</f>
        <v>1 día de hab.</v>
      </c>
      <c r="J291" s="915">
        <f>+'[2]Datos REG y HIJOS'!$G$20</f>
        <v>0.85</v>
      </c>
      <c r="K291" s="570" t="s">
        <v>85</v>
      </c>
      <c r="L291" s="571" t="s">
        <v>266</v>
      </c>
      <c r="M291" s="598"/>
      <c r="N291" s="182" t="s">
        <v>30</v>
      </c>
      <c r="O291" s="183">
        <v>11</v>
      </c>
      <c r="P291" s="657" t="s">
        <v>265</v>
      </c>
    </row>
    <row r="292" spans="1:16" ht="39.950000000000003" customHeight="1" x14ac:dyDescent="0.2">
      <c r="B292" s="1891"/>
      <c r="C292" s="1701" t="s">
        <v>574</v>
      </c>
      <c r="D292" s="1702"/>
      <c r="E292" s="1748" t="s">
        <v>402</v>
      </c>
      <c r="F292" s="1748"/>
      <c r="G292" s="1702" t="s">
        <v>576</v>
      </c>
      <c r="H292" s="1703"/>
      <c r="I292" s="1892"/>
      <c r="J292" s="1045"/>
      <c r="K292" s="570" t="s">
        <v>85</v>
      </c>
      <c r="L292" s="571" t="s">
        <v>266</v>
      </c>
      <c r="M292" s="598"/>
      <c r="N292" s="677"/>
      <c r="O292" s="183">
        <v>11</v>
      </c>
      <c r="P292" s="657" t="s">
        <v>265</v>
      </c>
    </row>
    <row r="293" spans="1:16" ht="30" customHeight="1" x14ac:dyDescent="0.2">
      <c r="B293" s="1891"/>
      <c r="C293" s="1701" t="s">
        <v>577</v>
      </c>
      <c r="D293" s="1702"/>
      <c r="E293" s="1702" t="s">
        <v>624</v>
      </c>
      <c r="F293" s="1702"/>
      <c r="G293" s="1702" t="s">
        <v>578</v>
      </c>
      <c r="H293" s="1703"/>
      <c r="I293" s="1892"/>
      <c r="J293" s="1045"/>
      <c r="K293" s="570" t="s">
        <v>85</v>
      </c>
      <c r="L293" s="571" t="s">
        <v>266</v>
      </c>
      <c r="M293" s="598"/>
      <c r="O293" s="183">
        <v>11</v>
      </c>
      <c r="P293" s="657" t="s">
        <v>265</v>
      </c>
    </row>
    <row r="294" spans="1:16" ht="30" customHeight="1" x14ac:dyDescent="0.2">
      <c r="B294" s="1891"/>
      <c r="C294" s="1211" t="s">
        <v>580</v>
      </c>
      <c r="D294" s="1190"/>
      <c r="E294" s="1190" t="s">
        <v>581</v>
      </c>
      <c r="F294" s="1190"/>
      <c r="G294" s="1748" t="s">
        <v>579</v>
      </c>
      <c r="H294" s="1749"/>
      <c r="I294" s="1892"/>
      <c r="J294" s="1045"/>
      <c r="K294" s="570" t="s">
        <v>85</v>
      </c>
      <c r="L294" s="571" t="s">
        <v>266</v>
      </c>
      <c r="M294" s="598"/>
      <c r="O294" s="183">
        <v>11</v>
      </c>
      <c r="P294" s="657" t="s">
        <v>265</v>
      </c>
    </row>
    <row r="295" spans="1:16" ht="30" customHeight="1" x14ac:dyDescent="0.2">
      <c r="B295" s="1719"/>
      <c r="C295" s="1206" t="s">
        <v>573</v>
      </c>
      <c r="D295" s="1207"/>
      <c r="E295" s="344"/>
      <c r="F295" s="344"/>
      <c r="G295" s="705"/>
      <c r="H295" s="706"/>
      <c r="I295" s="1888"/>
      <c r="J295" s="916"/>
      <c r="K295" s="570" t="s">
        <v>85</v>
      </c>
      <c r="L295" s="571" t="s">
        <v>266</v>
      </c>
      <c r="M295" s="598"/>
      <c r="O295" s="183">
        <v>11</v>
      </c>
      <c r="P295" s="657" t="s">
        <v>265</v>
      </c>
    </row>
    <row r="296" spans="1:16" ht="30" customHeight="1" x14ac:dyDescent="0.2">
      <c r="B296" s="1718" t="s">
        <v>87</v>
      </c>
      <c r="C296" s="1701" t="s">
        <v>88</v>
      </c>
      <c r="D296" s="1702"/>
      <c r="E296" s="1702" t="s">
        <v>89</v>
      </c>
      <c r="F296" s="1702"/>
      <c r="G296" s="1702" t="s">
        <v>90</v>
      </c>
      <c r="H296" s="1703"/>
      <c r="I296" s="1887" t="str">
        <f>+'[2]Datos REG y HIJOS'!$F$21</f>
        <v>1 día de hab.</v>
      </c>
      <c r="J296" s="915">
        <f>+'[2]Datos REG y HIJOS'!$G$21</f>
        <v>0.85</v>
      </c>
      <c r="K296" s="570" t="s">
        <v>87</v>
      </c>
      <c r="L296" s="571" t="s">
        <v>266</v>
      </c>
      <c r="M296" s="598"/>
      <c r="N296" s="182" t="s">
        <v>30</v>
      </c>
      <c r="O296" s="183">
        <v>11</v>
      </c>
      <c r="P296" s="657" t="s">
        <v>265</v>
      </c>
    </row>
    <row r="297" spans="1:16" ht="30" customHeight="1" x14ac:dyDescent="0.2">
      <c r="B297" s="1719"/>
      <c r="C297" s="1704" t="s">
        <v>92</v>
      </c>
      <c r="D297" s="1685"/>
      <c r="E297" s="1685" t="s">
        <v>93</v>
      </c>
      <c r="F297" s="1685"/>
      <c r="G297" s="1889" t="s">
        <v>39</v>
      </c>
      <c r="H297" s="1890"/>
      <c r="I297" s="1888"/>
      <c r="J297" s="916"/>
      <c r="K297" s="570" t="s">
        <v>87</v>
      </c>
      <c r="L297" s="571" t="s">
        <v>266</v>
      </c>
      <c r="M297" s="598"/>
      <c r="O297" s="183">
        <v>11</v>
      </c>
      <c r="P297" s="657" t="s">
        <v>265</v>
      </c>
    </row>
    <row r="298" spans="1:16" ht="30" customHeight="1" x14ac:dyDescent="0.2">
      <c r="B298" s="538" t="s">
        <v>567</v>
      </c>
      <c r="C298" s="1881" t="s">
        <v>134</v>
      </c>
      <c r="D298" s="1882"/>
      <c r="E298" s="1882" t="s">
        <v>95</v>
      </c>
      <c r="F298" s="1882"/>
      <c r="G298" s="658" t="s">
        <v>631</v>
      </c>
      <c r="H298" s="659"/>
      <c r="I298" s="409" t="str">
        <f>+'[2]Datos REG y HIJOS'!$F$22</f>
        <v>1 día de hab.</v>
      </c>
      <c r="J298" s="42">
        <f>+'[2]Datos REG y HIJOS'!$G$22</f>
        <v>0.8</v>
      </c>
      <c r="K298" s="570" t="s">
        <v>567</v>
      </c>
      <c r="L298" s="571" t="s">
        <v>266</v>
      </c>
      <c r="M298" s="598"/>
      <c r="N298" s="182" t="s">
        <v>30</v>
      </c>
      <c r="O298" s="183">
        <v>11</v>
      </c>
      <c r="P298" s="657" t="s">
        <v>265</v>
      </c>
    </row>
    <row r="299" spans="1:16" s="66" customFormat="1" ht="30" customHeight="1" x14ac:dyDescent="0.2">
      <c r="A299" s="67"/>
      <c r="B299" s="1883" t="s">
        <v>584</v>
      </c>
      <c r="C299" s="1476" t="s">
        <v>585</v>
      </c>
      <c r="D299" s="1477"/>
      <c r="E299" s="1477" t="s">
        <v>138</v>
      </c>
      <c r="F299" s="1477"/>
      <c r="G299" s="1885" t="s">
        <v>586</v>
      </c>
      <c r="H299" s="1886"/>
      <c r="I299" s="1874" t="str">
        <f>+'[2]Datos REG y HIJOS'!$F$24</f>
        <v>1 día de hab.</v>
      </c>
      <c r="J299" s="1156">
        <f>+'[2]Datos REG y HIJOS'!$G$24</f>
        <v>0.75</v>
      </c>
      <c r="K299" s="570" t="s">
        <v>584</v>
      </c>
      <c r="L299" s="571" t="s">
        <v>266</v>
      </c>
      <c r="M299" s="67"/>
      <c r="O299" s="183">
        <v>11</v>
      </c>
      <c r="P299" s="657" t="s">
        <v>265</v>
      </c>
    </row>
    <row r="300" spans="1:16" s="66" customFormat="1" ht="30" customHeight="1" x14ac:dyDescent="0.2">
      <c r="A300" s="67"/>
      <c r="B300" s="1884"/>
      <c r="C300" s="1609" t="s">
        <v>587</v>
      </c>
      <c r="D300" s="1610"/>
      <c r="E300" s="82"/>
      <c r="F300" s="82"/>
      <c r="G300" s="1876"/>
      <c r="H300" s="1877"/>
      <c r="I300" s="1875"/>
      <c r="J300" s="1158"/>
      <c r="K300" s="570" t="s">
        <v>584</v>
      </c>
      <c r="L300" s="571" t="s">
        <v>266</v>
      </c>
      <c r="M300" s="67"/>
      <c r="O300" s="183">
        <v>11</v>
      </c>
      <c r="P300" s="657" t="s">
        <v>265</v>
      </c>
    </row>
    <row r="301" spans="1:16" s="66" customFormat="1" ht="30" customHeight="1" x14ac:dyDescent="0.2">
      <c r="A301" s="67"/>
      <c r="B301" s="631" t="s">
        <v>571</v>
      </c>
      <c r="C301" s="1458" t="s">
        <v>596</v>
      </c>
      <c r="D301" s="1459"/>
      <c r="E301" s="1781" t="s">
        <v>598</v>
      </c>
      <c r="F301" s="1781"/>
      <c r="G301" s="1459" t="s">
        <v>599</v>
      </c>
      <c r="H301" s="1460"/>
      <c r="I301" s="351" t="str">
        <f>'[2]Datos REG y HIJOS'!$F$23</f>
        <v>1 día de hab.</v>
      </c>
      <c r="J301" s="42">
        <f>'[2]Datos REG y HIJOS'!$G$23</f>
        <v>0.8</v>
      </c>
      <c r="K301" s="570" t="s">
        <v>571</v>
      </c>
      <c r="L301" s="571" t="s">
        <v>266</v>
      </c>
      <c r="M301" s="67"/>
      <c r="N301" s="182" t="s">
        <v>30</v>
      </c>
      <c r="O301" s="183">
        <v>11</v>
      </c>
      <c r="P301" s="657" t="s">
        <v>265</v>
      </c>
    </row>
    <row r="302" spans="1:16" s="66" customFormat="1" ht="39.950000000000003" customHeight="1" x14ac:dyDescent="0.2">
      <c r="A302" s="67"/>
      <c r="B302" s="1865" t="s">
        <v>591</v>
      </c>
      <c r="C302" s="1461" t="s">
        <v>592</v>
      </c>
      <c r="D302" s="1462"/>
      <c r="E302" s="1462" t="s">
        <v>176</v>
      </c>
      <c r="F302" s="1462"/>
      <c r="G302" s="1462" t="s">
        <v>593</v>
      </c>
      <c r="H302" s="1463"/>
      <c r="I302" s="1868" t="str">
        <f>+'[2]Datos REG y HIJOS'!$F$25</f>
        <v>1 día de hab.</v>
      </c>
      <c r="J302" s="1449">
        <f>+'[2]Datos REG y HIJOS'!$G$25</f>
        <v>0.7</v>
      </c>
      <c r="K302" s="570" t="s">
        <v>591</v>
      </c>
      <c r="L302" s="571" t="s">
        <v>266</v>
      </c>
      <c r="N302" s="182" t="s">
        <v>30</v>
      </c>
      <c r="O302" s="183">
        <v>11</v>
      </c>
      <c r="P302" s="657" t="s">
        <v>265</v>
      </c>
    </row>
    <row r="303" spans="1:16" s="66" customFormat="1" ht="39.950000000000003" customHeight="1" x14ac:dyDescent="0.2">
      <c r="A303" s="67"/>
      <c r="B303" s="1866"/>
      <c r="C303" s="1192" t="s">
        <v>594</v>
      </c>
      <c r="D303" s="1192"/>
      <c r="E303" s="346"/>
      <c r="F303" s="346"/>
      <c r="G303" s="346"/>
      <c r="H303" s="347"/>
      <c r="I303" s="1869"/>
      <c r="J303" s="1450"/>
      <c r="K303" s="570" t="s">
        <v>591</v>
      </c>
      <c r="L303" s="571" t="s">
        <v>266</v>
      </c>
      <c r="N303" s="67"/>
      <c r="O303" s="183">
        <v>11</v>
      </c>
      <c r="P303" s="657" t="s">
        <v>265</v>
      </c>
    </row>
    <row r="304" spans="1:16" s="66" customFormat="1" ht="30" customHeight="1" x14ac:dyDescent="0.2">
      <c r="A304" s="67"/>
      <c r="B304" s="1866"/>
      <c r="C304" s="364" t="s">
        <v>98</v>
      </c>
      <c r="D304" s="346"/>
      <c r="E304" s="346"/>
      <c r="F304" s="346"/>
      <c r="G304" s="346"/>
      <c r="H304" s="347"/>
      <c r="I304" s="1869"/>
      <c r="J304" s="1450"/>
      <c r="K304" s="570" t="s">
        <v>591</v>
      </c>
      <c r="L304" s="571" t="s">
        <v>266</v>
      </c>
      <c r="N304" s="67"/>
      <c r="O304" s="183">
        <v>11</v>
      </c>
      <c r="P304" s="657" t="s">
        <v>265</v>
      </c>
    </row>
    <row r="305" spans="1:32" s="66" customFormat="1" ht="30" customHeight="1" x14ac:dyDescent="0.2">
      <c r="B305" s="1867"/>
      <c r="C305" s="1453" t="s">
        <v>643</v>
      </c>
      <c r="D305" s="1213"/>
      <c r="E305" s="1213"/>
      <c r="F305" s="1213"/>
      <c r="G305" s="1213"/>
      <c r="H305" s="1454"/>
      <c r="I305" s="1870"/>
      <c r="J305" s="1451"/>
      <c r="K305" s="570" t="s">
        <v>591</v>
      </c>
      <c r="L305" s="571" t="s">
        <v>266</v>
      </c>
      <c r="N305" s="67"/>
      <c r="O305" s="183">
        <v>11</v>
      </c>
      <c r="P305" s="657" t="s">
        <v>265</v>
      </c>
      <c r="Q305" s="45"/>
      <c r="R305" s="45"/>
      <c r="S305" s="45"/>
      <c r="T305" s="45"/>
      <c r="U305" s="45"/>
      <c r="V305" s="45"/>
      <c r="W305" s="45"/>
      <c r="X305" s="45"/>
      <c r="Y305" s="45"/>
      <c r="Z305" s="45"/>
      <c r="AA305" s="45"/>
      <c r="AB305" s="45"/>
      <c r="AC305" s="45"/>
      <c r="AD305" s="45"/>
      <c r="AE305" s="45"/>
      <c r="AF305" s="45"/>
    </row>
    <row r="306" spans="1:32" s="66" customFormat="1" ht="30" customHeight="1" x14ac:dyDescent="0.2">
      <c r="A306" s="595"/>
      <c r="B306" s="1865" t="s">
        <v>758</v>
      </c>
      <c r="C306" s="1461" t="s">
        <v>759</v>
      </c>
      <c r="D306" s="1462"/>
      <c r="E306" s="1462" t="s">
        <v>776</v>
      </c>
      <c r="F306" s="1462"/>
      <c r="G306" s="1462" t="s">
        <v>762</v>
      </c>
      <c r="H306" s="1463"/>
      <c r="I306" s="1868" t="str">
        <f>+'[2]Datos REG y HIJOS'!$F$26</f>
        <v>1 día de hab.</v>
      </c>
      <c r="J306" s="1449">
        <f>+'[2]Datos REG y HIJOS'!$G$26</f>
        <v>0.7</v>
      </c>
      <c r="K306" s="570" t="s">
        <v>758</v>
      </c>
      <c r="L306" s="571" t="s">
        <v>266</v>
      </c>
      <c r="N306" s="182" t="s">
        <v>30</v>
      </c>
      <c r="O306" s="183">
        <v>11</v>
      </c>
      <c r="P306" s="657" t="s">
        <v>265</v>
      </c>
      <c r="Q306" s="45"/>
      <c r="R306" s="45"/>
      <c r="S306" s="45"/>
      <c r="T306" s="45"/>
      <c r="U306" s="45"/>
      <c r="V306" s="45"/>
      <c r="W306" s="45"/>
      <c r="X306" s="45"/>
      <c r="Y306" s="45"/>
      <c r="Z306" s="45"/>
      <c r="AA306" s="45"/>
      <c r="AB306" s="45"/>
      <c r="AC306" s="45"/>
      <c r="AD306" s="45"/>
      <c r="AE306" s="45"/>
      <c r="AF306" s="45"/>
    </row>
    <row r="307" spans="1:32" s="66" customFormat="1" ht="30" customHeight="1" x14ac:dyDescent="0.2">
      <c r="A307" s="595"/>
      <c r="B307" s="1866"/>
      <c r="C307" s="1452" t="s">
        <v>215</v>
      </c>
      <c r="D307" s="1192"/>
      <c r="E307" s="621"/>
      <c r="F307" s="621"/>
      <c r="G307" s="346"/>
      <c r="H307" s="347"/>
      <c r="I307" s="1869"/>
      <c r="J307" s="1450"/>
      <c r="K307" s="570" t="s">
        <v>758</v>
      </c>
      <c r="L307" s="571" t="s">
        <v>266</v>
      </c>
      <c r="N307" s="67"/>
      <c r="O307" s="183">
        <v>11</v>
      </c>
      <c r="P307" s="657" t="s">
        <v>265</v>
      </c>
      <c r="Q307" s="45"/>
      <c r="R307" s="45"/>
      <c r="S307" s="45"/>
      <c r="T307" s="45"/>
      <c r="U307" s="45"/>
      <c r="V307" s="45"/>
      <c r="W307" s="45"/>
      <c r="X307" s="45"/>
      <c r="Y307" s="45"/>
      <c r="Z307" s="45"/>
      <c r="AA307" s="45"/>
      <c r="AB307" s="45"/>
      <c r="AC307" s="45"/>
      <c r="AD307" s="45"/>
      <c r="AE307" s="45"/>
      <c r="AF307" s="45"/>
    </row>
    <row r="308" spans="1:32" s="66" customFormat="1" ht="30" customHeight="1" x14ac:dyDescent="0.2">
      <c r="A308" s="572" t="s">
        <v>69</v>
      </c>
      <c r="B308" s="1867"/>
      <c r="C308" s="1453" t="s">
        <v>765</v>
      </c>
      <c r="D308" s="1213"/>
      <c r="E308" s="1213"/>
      <c r="F308" s="1213"/>
      <c r="G308" s="1213"/>
      <c r="H308" s="1454"/>
      <c r="I308" s="1870"/>
      <c r="J308" s="1451"/>
      <c r="K308" s="570" t="s">
        <v>758</v>
      </c>
      <c r="L308" s="571" t="s">
        <v>266</v>
      </c>
      <c r="N308" s="67"/>
      <c r="O308" s="183">
        <v>11</v>
      </c>
      <c r="P308" s="657" t="s">
        <v>265</v>
      </c>
      <c r="Q308" s="45"/>
      <c r="R308" s="45"/>
      <c r="S308" s="45"/>
      <c r="T308" s="45"/>
      <c r="U308" s="45"/>
      <c r="V308" s="45"/>
      <c r="W308" s="45"/>
      <c r="X308" s="45"/>
      <c r="Y308" s="45"/>
      <c r="Z308" s="45"/>
      <c r="AA308" s="45"/>
      <c r="AB308" s="45"/>
      <c r="AC308" s="45"/>
      <c r="AD308" s="45"/>
      <c r="AE308" s="45"/>
      <c r="AF308" s="45"/>
    </row>
    <row r="309" spans="1:32" s="66" customFormat="1" ht="39.950000000000003" customHeight="1" x14ac:dyDescent="0.2">
      <c r="A309" s="67"/>
      <c r="B309" s="541" t="s">
        <v>601</v>
      </c>
      <c r="C309" s="1861" t="s">
        <v>602</v>
      </c>
      <c r="D309" s="1861"/>
      <c r="E309" s="1861"/>
      <c r="F309" s="1861"/>
      <c r="G309" s="1861"/>
      <c r="H309" s="1861"/>
      <c r="I309" s="580" t="str">
        <f>+'[2]Datos REG y HIJOS'!$F$27</f>
        <v>1 día de hab.</v>
      </c>
      <c r="J309" s="353">
        <f>+'[2]Datos REG y HIJOS'!$G$27</f>
        <v>0.9</v>
      </c>
      <c r="K309" s="570" t="s">
        <v>601</v>
      </c>
      <c r="L309" s="571" t="s">
        <v>266</v>
      </c>
      <c r="M309" s="67"/>
      <c r="N309" s="182" t="s">
        <v>30</v>
      </c>
      <c r="O309" s="183">
        <v>11</v>
      </c>
      <c r="P309" s="657" t="s">
        <v>265</v>
      </c>
    </row>
    <row r="310" spans="1:32" s="66" customFormat="1" ht="39.950000000000003" customHeight="1" x14ac:dyDescent="0.2">
      <c r="A310" s="67"/>
      <c r="B310" s="541" t="s">
        <v>603</v>
      </c>
      <c r="C310" s="1252" t="s">
        <v>604</v>
      </c>
      <c r="D310" s="1252"/>
      <c r="E310" s="1252"/>
      <c r="F310" s="1252"/>
      <c r="G310" s="1252"/>
      <c r="H310" s="1252"/>
      <c r="I310" s="580" t="str">
        <f>+'[2]Datos REG y HIJOS'!$F$28</f>
        <v>1 día de hab.</v>
      </c>
      <c r="J310" s="353">
        <f>+'[2]Datos REG y HIJOS'!$G$28</f>
        <v>0.8</v>
      </c>
      <c r="K310" s="570" t="s">
        <v>603</v>
      </c>
      <c r="L310" s="571" t="s">
        <v>266</v>
      </c>
      <c r="M310" s="149"/>
      <c r="N310" s="182" t="s">
        <v>30</v>
      </c>
      <c r="O310" s="183">
        <v>11</v>
      </c>
      <c r="P310" s="657" t="s">
        <v>265</v>
      </c>
    </row>
    <row r="311" spans="1:32" s="66" customFormat="1" ht="39.950000000000003" customHeight="1" x14ac:dyDescent="0.2">
      <c r="B311" s="541" t="s">
        <v>769</v>
      </c>
      <c r="C311" s="1252" t="s">
        <v>770</v>
      </c>
      <c r="D311" s="1252"/>
      <c r="E311" s="1252"/>
      <c r="F311" s="1252"/>
      <c r="G311" s="1252"/>
      <c r="H311" s="1252"/>
      <c r="I311" s="580" t="str">
        <f>+'[2]Datos REG y HIJOS'!$F$29</f>
        <v>1 día de hab.</v>
      </c>
      <c r="J311" s="353">
        <f>+'[2]Datos REG y HIJOS'!$G$29</f>
        <v>0.65</v>
      </c>
      <c r="K311" s="570" t="s">
        <v>769</v>
      </c>
      <c r="L311" s="571" t="s">
        <v>266</v>
      </c>
      <c r="N311" s="182" t="s">
        <v>30</v>
      </c>
      <c r="O311" s="183">
        <v>11</v>
      </c>
      <c r="P311" s="657" t="s">
        <v>265</v>
      </c>
      <c r="Q311" s="45"/>
      <c r="R311" s="45"/>
      <c r="S311" s="45"/>
      <c r="T311" s="45"/>
      <c r="U311" s="45"/>
      <c r="V311" s="45"/>
      <c r="W311" s="45"/>
      <c r="X311" s="45"/>
      <c r="Y311" s="45"/>
      <c r="Z311" s="45"/>
      <c r="AA311" s="45"/>
      <c r="AB311" s="45"/>
      <c r="AC311" s="45"/>
      <c r="AD311" s="45"/>
      <c r="AE311" s="45"/>
      <c r="AF311" s="45"/>
    </row>
    <row r="312" spans="1:32" s="66" customFormat="1" ht="45" customHeight="1" x14ac:dyDescent="0.2">
      <c r="A312" s="572"/>
      <c r="B312" s="541" t="s">
        <v>767</v>
      </c>
      <c r="C312" s="1432" t="s">
        <v>768</v>
      </c>
      <c r="D312" s="1433"/>
      <c r="E312" s="432"/>
      <c r="F312" s="432"/>
      <c r="G312" s="432"/>
      <c r="H312" s="433"/>
      <c r="I312" s="580" t="s">
        <v>409</v>
      </c>
      <c r="J312" s="353">
        <v>0.6</v>
      </c>
      <c r="L312" s="661"/>
      <c r="N312" s="67"/>
      <c r="O312" s="67"/>
      <c r="P312" s="586"/>
      <c r="Q312" s="45"/>
      <c r="R312" s="45"/>
      <c r="S312" s="45"/>
      <c r="T312" s="45"/>
      <c r="U312" s="45"/>
      <c r="V312" s="45"/>
      <c r="W312" s="45"/>
      <c r="X312" s="45"/>
      <c r="Y312" s="45"/>
      <c r="Z312" s="45"/>
      <c r="AA312" s="45"/>
      <c r="AB312" s="45"/>
      <c r="AC312" s="45"/>
      <c r="AD312" s="45"/>
      <c r="AE312" s="45"/>
      <c r="AF312" s="45"/>
    </row>
    <row r="313" spans="1:32" s="66" customFormat="1" ht="20.100000000000001" customHeight="1" x14ac:dyDescent="0.2">
      <c r="A313" s="572"/>
      <c r="B313" s="616"/>
      <c r="C313" s="346"/>
      <c r="D313" s="346"/>
      <c r="E313" s="346"/>
      <c r="F313" s="346"/>
      <c r="G313" s="346"/>
      <c r="H313" s="346"/>
      <c r="I313" s="660"/>
      <c r="J313" s="142"/>
      <c r="L313" s="661"/>
      <c r="N313" s="67"/>
      <c r="O313" s="67"/>
      <c r="P313" s="586"/>
      <c r="Q313" s="45"/>
      <c r="R313" s="45"/>
      <c r="S313" s="45"/>
      <c r="T313" s="45"/>
      <c r="U313" s="45"/>
      <c r="V313" s="45"/>
      <c r="W313" s="45"/>
      <c r="X313" s="45"/>
      <c r="Y313" s="45"/>
      <c r="Z313" s="45"/>
      <c r="AA313" s="45"/>
      <c r="AB313" s="45"/>
      <c r="AC313" s="45"/>
      <c r="AD313" s="45"/>
      <c r="AE313" s="45"/>
      <c r="AF313" s="45"/>
    </row>
    <row r="314" spans="1:32" ht="30" customHeight="1" x14ac:dyDescent="0.2">
      <c r="A314" s="45"/>
      <c r="B314" s="1662" t="s">
        <v>309</v>
      </c>
      <c r="C314" s="1663"/>
      <c r="D314" s="1663"/>
      <c r="E314" s="1663"/>
      <c r="F314" s="1663"/>
      <c r="G314" s="1663"/>
      <c r="H314" s="1664"/>
      <c r="I314" s="406" t="s">
        <v>17</v>
      </c>
      <c r="J314" s="35" t="s">
        <v>18</v>
      </c>
      <c r="K314" s="226" t="s">
        <v>310</v>
      </c>
      <c r="L314" s="183">
        <v>12</v>
      </c>
      <c r="N314" s="182" t="s">
        <v>30</v>
      </c>
      <c r="O314" s="183">
        <v>12</v>
      </c>
    </row>
    <row r="315" spans="1:32" ht="174.75" customHeight="1" x14ac:dyDescent="0.2">
      <c r="A315" s="45"/>
      <c r="B315" s="1169" t="s">
        <v>311</v>
      </c>
      <c r="C315" s="1170"/>
      <c r="D315" s="1170"/>
      <c r="E315" s="1170"/>
      <c r="F315" s="1170"/>
      <c r="G315" s="1170"/>
      <c r="H315" s="1170"/>
      <c r="I315" s="1170"/>
      <c r="J315" s="1171"/>
      <c r="K315" s="226" t="s">
        <v>310</v>
      </c>
      <c r="L315" s="183">
        <v>12</v>
      </c>
      <c r="M315" s="181"/>
      <c r="O315" s="183">
        <v>12</v>
      </c>
    </row>
    <row r="316" spans="1:32" ht="65.25" customHeight="1" x14ac:dyDescent="0.2">
      <c r="A316" s="45"/>
      <c r="B316" s="471" t="s">
        <v>312</v>
      </c>
      <c r="C316" s="1169" t="s">
        <v>313</v>
      </c>
      <c r="D316" s="1170"/>
      <c r="E316" s="1170"/>
      <c r="F316" s="1170"/>
      <c r="G316" s="1170"/>
      <c r="H316" s="1171"/>
      <c r="I316" s="539">
        <v>0</v>
      </c>
      <c r="J316" s="75">
        <v>1</v>
      </c>
      <c r="K316" s="226" t="s">
        <v>310</v>
      </c>
      <c r="L316" s="183">
        <v>12</v>
      </c>
      <c r="N316" s="182" t="s">
        <v>30</v>
      </c>
      <c r="O316" s="183">
        <v>12</v>
      </c>
    </row>
    <row r="317" spans="1:32" ht="61.5" customHeight="1" x14ac:dyDescent="0.2">
      <c r="A317" s="45"/>
      <c r="B317" s="538" t="s">
        <v>884</v>
      </c>
      <c r="C317" s="2019" t="s">
        <v>885</v>
      </c>
      <c r="D317" s="2019"/>
      <c r="E317" s="2019"/>
      <c r="F317" s="2019"/>
      <c r="G317" s="2019"/>
      <c r="H317" s="2019"/>
      <c r="I317" s="409">
        <v>0</v>
      </c>
      <c r="J317" s="42">
        <v>1</v>
      </c>
      <c r="K317" s="226" t="s">
        <v>310</v>
      </c>
      <c r="L317" s="183">
        <v>12</v>
      </c>
      <c r="M317" s="181"/>
      <c r="N317" s="182" t="s">
        <v>30</v>
      </c>
      <c r="O317" s="183">
        <v>12</v>
      </c>
    </row>
    <row r="318" spans="1:32" ht="401.25" customHeight="1" x14ac:dyDescent="0.2">
      <c r="A318" s="45"/>
      <c r="B318" s="538" t="s">
        <v>314</v>
      </c>
      <c r="C318" s="1635" t="s">
        <v>315</v>
      </c>
      <c r="D318" s="1636"/>
      <c r="E318" s="1636"/>
      <c r="F318" s="1636"/>
      <c r="G318" s="1636"/>
      <c r="H318" s="1637"/>
      <c r="I318" s="662">
        <v>0</v>
      </c>
      <c r="J318" s="42">
        <v>1</v>
      </c>
      <c r="K318" s="663" t="s">
        <v>310</v>
      </c>
      <c r="L318" s="183">
        <v>12</v>
      </c>
      <c r="N318" s="182" t="s">
        <v>30</v>
      </c>
      <c r="O318" s="183">
        <v>12</v>
      </c>
    </row>
    <row r="319" spans="1:32" ht="117.75" customHeight="1" x14ac:dyDescent="0.2">
      <c r="A319" s="45"/>
      <c r="B319" s="538" t="s">
        <v>316</v>
      </c>
      <c r="C319" s="1858" t="s">
        <v>317</v>
      </c>
      <c r="D319" s="1859"/>
      <c r="E319" s="1859"/>
      <c r="F319" s="1859"/>
      <c r="G319" s="1859"/>
      <c r="H319" s="1860"/>
      <c r="I319" s="409">
        <v>0</v>
      </c>
      <c r="J319" s="42">
        <v>1</v>
      </c>
      <c r="K319" s="663" t="s">
        <v>310</v>
      </c>
      <c r="L319" s="183">
        <v>12</v>
      </c>
      <c r="N319" s="182" t="s">
        <v>30</v>
      </c>
      <c r="O319" s="183">
        <v>12</v>
      </c>
    </row>
    <row r="320" spans="1:32" ht="20.100000000000001" customHeight="1" x14ac:dyDescent="0.2">
      <c r="A320" s="45"/>
      <c r="B320" s="664"/>
      <c r="C320" s="665"/>
      <c r="D320" s="665"/>
      <c r="E320" s="665"/>
      <c r="F320" s="665"/>
      <c r="G320" s="665"/>
      <c r="H320" s="665"/>
      <c r="I320" s="666"/>
      <c r="J320" s="180"/>
    </row>
    <row r="321" spans="2:25" s="45" customFormat="1" ht="30" customHeight="1" x14ac:dyDescent="0.2">
      <c r="B321" s="2020" t="s">
        <v>318</v>
      </c>
      <c r="C321" s="1956"/>
      <c r="D321" s="1956"/>
      <c r="E321" s="1956"/>
      <c r="F321" s="1956"/>
      <c r="G321" s="1956"/>
      <c r="H321" s="1956"/>
      <c r="I321" s="815" t="s">
        <v>130</v>
      </c>
      <c r="J321" s="89" t="s">
        <v>18</v>
      </c>
      <c r="K321" s="36" t="s">
        <v>319</v>
      </c>
      <c r="L321" s="36" t="s">
        <v>319</v>
      </c>
      <c r="M321" s="181"/>
      <c r="N321" s="182" t="s">
        <v>30</v>
      </c>
      <c r="O321" s="183">
        <v>13</v>
      </c>
      <c r="P321"/>
    </row>
    <row r="322" spans="2:25" s="45" customFormat="1" ht="54" customHeight="1" x14ac:dyDescent="0.2">
      <c r="B322" s="949" t="s">
        <v>320</v>
      </c>
      <c r="C322" s="950"/>
      <c r="D322" s="950"/>
      <c r="E322" s="950"/>
      <c r="F322" s="950"/>
      <c r="G322" s="950"/>
      <c r="H322" s="950"/>
      <c r="I322" s="950"/>
      <c r="J322" s="951"/>
      <c r="K322" s="36" t="s">
        <v>319</v>
      </c>
      <c r="L322" s="36" t="s">
        <v>319</v>
      </c>
      <c r="M322" s="181"/>
      <c r="N322" s="67"/>
      <c r="O322" s="183">
        <v>13</v>
      </c>
      <c r="P322"/>
      <c r="U322" s="70"/>
      <c r="V322" s="184"/>
      <c r="W322" s="693"/>
      <c r="X322" s="694"/>
      <c r="Y322" s="69"/>
    </row>
    <row r="323" spans="2:25" s="45" customFormat="1" ht="31.5" customHeight="1" x14ac:dyDescent="0.2">
      <c r="B323" s="1172" t="s">
        <v>26</v>
      </c>
      <c r="C323" s="985" t="s">
        <v>32</v>
      </c>
      <c r="D323" s="986"/>
      <c r="E323" s="986" t="s">
        <v>200</v>
      </c>
      <c r="F323" s="986"/>
      <c r="G323" s="986" t="s">
        <v>29</v>
      </c>
      <c r="H323" s="987"/>
      <c r="I323" s="1138">
        <f>+'[2]Datos REG y HIJOS'!$D$3</f>
        <v>35</v>
      </c>
      <c r="J323" s="1141">
        <f>+'[2]Datos REG y HIJOS'!$E$3</f>
        <v>0.9</v>
      </c>
      <c r="K323" s="43" t="s">
        <v>26</v>
      </c>
      <c r="L323" s="36" t="s">
        <v>319</v>
      </c>
      <c r="M323" s="181"/>
      <c r="N323" s="182" t="s">
        <v>30</v>
      </c>
      <c r="O323" s="183">
        <v>13</v>
      </c>
      <c r="P323"/>
      <c r="U323" s="70"/>
      <c r="V323" s="70"/>
      <c r="W323" s="187"/>
      <c r="X323" s="69"/>
      <c r="Y323" s="69"/>
    </row>
    <row r="324" spans="2:25" s="45" customFormat="1" ht="34.5" customHeight="1" x14ac:dyDescent="0.2">
      <c r="B324" s="1173"/>
      <c r="C324" s="1144" t="s">
        <v>37</v>
      </c>
      <c r="D324" s="1145"/>
      <c r="E324" s="956" t="s">
        <v>27</v>
      </c>
      <c r="F324" s="956"/>
      <c r="G324" s="957" t="s">
        <v>36</v>
      </c>
      <c r="H324" s="958"/>
      <c r="I324" s="1139"/>
      <c r="J324" s="1142"/>
      <c r="K324" s="43" t="s">
        <v>26</v>
      </c>
      <c r="L324" s="36" t="s">
        <v>319</v>
      </c>
      <c r="M324" s="181"/>
      <c r="N324" s="4"/>
      <c r="O324" s="183">
        <v>13</v>
      </c>
      <c r="P324"/>
      <c r="U324" s="70"/>
      <c r="V324" s="70"/>
      <c r="W324" s="187"/>
      <c r="X324" s="69"/>
      <c r="Y324" s="69"/>
    </row>
    <row r="325" spans="2:25" s="45" customFormat="1" ht="39.950000000000003" customHeight="1" x14ac:dyDescent="0.2">
      <c r="B325" s="952" t="s">
        <v>40</v>
      </c>
      <c r="C325" s="985" t="s">
        <v>41</v>
      </c>
      <c r="D325" s="986"/>
      <c r="E325" s="1149" t="s">
        <v>42</v>
      </c>
      <c r="F325" s="1149"/>
      <c r="G325" s="986" t="s">
        <v>43</v>
      </c>
      <c r="H325" s="987"/>
      <c r="I325" s="1153">
        <f>+'[2]Datos REG y HIJOS'!$D$4</f>
        <v>35</v>
      </c>
      <c r="J325" s="1156">
        <f>+'[2]Datos REG y HIJOS'!$E$4</f>
        <v>0.9</v>
      </c>
      <c r="K325" s="43" t="s">
        <v>40</v>
      </c>
      <c r="L325" s="36" t="s">
        <v>319</v>
      </c>
      <c r="M325" s="181"/>
      <c r="N325" s="182" t="s">
        <v>30</v>
      </c>
      <c r="O325" s="183">
        <v>13</v>
      </c>
      <c r="P325"/>
    </row>
    <row r="326" spans="2:25" s="45" customFormat="1" ht="39.950000000000003" customHeight="1" x14ac:dyDescent="0.2">
      <c r="B326" s="953"/>
      <c r="C326" s="1144" t="s">
        <v>44</v>
      </c>
      <c r="D326" s="1145"/>
      <c r="E326" s="1145" t="s">
        <v>51</v>
      </c>
      <c r="F326" s="1145"/>
      <c r="G326" s="1145" t="s">
        <v>49</v>
      </c>
      <c r="H326" s="1146"/>
      <c r="I326" s="1154"/>
      <c r="J326" s="1157"/>
      <c r="K326" s="43" t="s">
        <v>40</v>
      </c>
      <c r="L326" s="36" t="s">
        <v>319</v>
      </c>
      <c r="M326" s="181"/>
      <c r="N326" s="4"/>
      <c r="O326" s="183">
        <v>13</v>
      </c>
      <c r="P326"/>
    </row>
    <row r="327" spans="2:25" s="66" customFormat="1" ht="39.950000000000003" customHeight="1" x14ac:dyDescent="0.2">
      <c r="B327" s="953"/>
      <c r="C327" s="965" t="s">
        <v>59</v>
      </c>
      <c r="D327" s="957"/>
      <c r="E327" s="1145" t="s">
        <v>48</v>
      </c>
      <c r="F327" s="1145"/>
      <c r="G327" s="957" t="s">
        <v>62</v>
      </c>
      <c r="H327" s="958"/>
      <c r="I327" s="1154"/>
      <c r="J327" s="1157"/>
      <c r="K327" s="43" t="s">
        <v>40</v>
      </c>
      <c r="L327" s="36" t="s">
        <v>319</v>
      </c>
      <c r="M327" s="181"/>
      <c r="N327" s="4"/>
      <c r="O327" s="183">
        <v>13</v>
      </c>
      <c r="P327"/>
    </row>
    <row r="328" spans="2:25" s="66" customFormat="1" ht="39.950000000000003" customHeight="1" x14ac:dyDescent="0.2">
      <c r="B328" s="953"/>
      <c r="C328" s="965" t="s">
        <v>60</v>
      </c>
      <c r="D328" s="957"/>
      <c r="E328" s="1145" t="s">
        <v>54</v>
      </c>
      <c r="F328" s="1145"/>
      <c r="G328" s="957" t="s">
        <v>52</v>
      </c>
      <c r="H328" s="958"/>
      <c r="I328" s="1154"/>
      <c r="J328" s="1157"/>
      <c r="K328" s="43" t="s">
        <v>40</v>
      </c>
      <c r="L328" s="36" t="s">
        <v>319</v>
      </c>
      <c r="M328" s="181"/>
      <c r="N328" s="4"/>
      <c r="O328" s="183">
        <v>13</v>
      </c>
      <c r="P328"/>
    </row>
    <row r="329" spans="2:25" s="45" customFormat="1" ht="39.950000000000003" customHeight="1" x14ac:dyDescent="0.2">
      <c r="B329" s="953"/>
      <c r="C329" s="965" t="s">
        <v>45</v>
      </c>
      <c r="D329" s="957"/>
      <c r="E329" s="957" t="s">
        <v>248</v>
      </c>
      <c r="F329" s="957"/>
      <c r="G329" s="957" t="s">
        <v>321</v>
      </c>
      <c r="H329" s="958"/>
      <c r="I329" s="1154"/>
      <c r="J329" s="1157"/>
      <c r="K329" s="43" t="s">
        <v>40</v>
      </c>
      <c r="L329" s="36" t="s">
        <v>319</v>
      </c>
      <c r="M329" s="181"/>
      <c r="N329" s="4"/>
      <c r="O329" s="183">
        <v>13</v>
      </c>
      <c r="P329"/>
    </row>
    <row r="330" spans="2:25" s="45" customFormat="1" ht="39.950000000000003" customHeight="1" x14ac:dyDescent="0.2">
      <c r="B330" s="954"/>
      <c r="C330" s="1147" t="s">
        <v>322</v>
      </c>
      <c r="D330" s="1148"/>
      <c r="E330" s="1148"/>
      <c r="F330" s="1148"/>
      <c r="G330" s="1148"/>
      <c r="H330" s="1152"/>
      <c r="I330" s="1155"/>
      <c r="J330" s="1158"/>
      <c r="K330" s="43" t="s">
        <v>40</v>
      </c>
      <c r="L330" s="36" t="s">
        <v>319</v>
      </c>
      <c r="M330" s="181"/>
      <c r="N330" s="4"/>
      <c r="O330" s="183">
        <v>13</v>
      </c>
      <c r="P330"/>
    </row>
    <row r="331" spans="2:25" s="45" customFormat="1" ht="30" customHeight="1" x14ac:dyDescent="0.2">
      <c r="B331" s="952" t="s">
        <v>71</v>
      </c>
      <c r="C331" s="1150" t="s">
        <v>72</v>
      </c>
      <c r="D331" s="1149"/>
      <c r="E331" s="1149" t="s">
        <v>80</v>
      </c>
      <c r="F331" s="1149"/>
      <c r="G331" s="1149" t="s">
        <v>74</v>
      </c>
      <c r="H331" s="1151"/>
      <c r="I331" s="1138">
        <f>+'[2]Datos REG y HIJOS'!$D$5</f>
        <v>40</v>
      </c>
      <c r="J331" s="1141">
        <f>+'[2]Datos REG y HIJOS'!$E$5</f>
        <v>0.9</v>
      </c>
      <c r="K331" s="43" t="s">
        <v>71</v>
      </c>
      <c r="L331" s="36" t="s">
        <v>319</v>
      </c>
      <c r="M331" s="181"/>
      <c r="N331" s="182" t="s">
        <v>30</v>
      </c>
      <c r="O331" s="183">
        <v>13</v>
      </c>
      <c r="P331"/>
    </row>
    <row r="332" spans="2:25" s="45" customFormat="1" ht="30" customHeight="1" x14ac:dyDescent="0.2">
      <c r="B332" s="953"/>
      <c r="C332" s="1144" t="s">
        <v>75</v>
      </c>
      <c r="D332" s="1145"/>
      <c r="E332" s="1145" t="s">
        <v>82</v>
      </c>
      <c r="F332" s="1145"/>
      <c r="G332" s="1145" t="s">
        <v>73</v>
      </c>
      <c r="H332" s="1146"/>
      <c r="I332" s="1139"/>
      <c r="J332" s="1142"/>
      <c r="K332" s="43" t="s">
        <v>71</v>
      </c>
      <c r="L332" s="36" t="s">
        <v>319</v>
      </c>
      <c r="M332" s="181"/>
      <c r="N332" s="4"/>
      <c r="O332" s="183">
        <v>13</v>
      </c>
      <c r="P332"/>
    </row>
    <row r="333" spans="2:25" s="45" customFormat="1" ht="30" customHeight="1" x14ac:dyDescent="0.2">
      <c r="B333" s="953"/>
      <c r="C333" s="1144" t="s">
        <v>81</v>
      </c>
      <c r="D333" s="1145"/>
      <c r="E333" s="1145" t="s">
        <v>79</v>
      </c>
      <c r="F333" s="1145"/>
      <c r="G333" s="1145" t="s">
        <v>830</v>
      </c>
      <c r="H333" s="1146"/>
      <c r="I333" s="1139"/>
      <c r="J333" s="1142"/>
      <c r="K333" s="43" t="s">
        <v>71</v>
      </c>
      <c r="L333" s="36" t="s">
        <v>319</v>
      </c>
      <c r="M333" s="181"/>
      <c r="N333" s="4"/>
      <c r="O333" s="183">
        <v>13</v>
      </c>
      <c r="P333"/>
    </row>
    <row r="334" spans="2:25" s="45" customFormat="1" ht="30" customHeight="1" x14ac:dyDescent="0.2">
      <c r="B334" s="954"/>
      <c r="C334" s="971" t="s">
        <v>177</v>
      </c>
      <c r="D334" s="944"/>
      <c r="E334" s="944" t="s">
        <v>78</v>
      </c>
      <c r="F334" s="944"/>
      <c r="G334" s="944"/>
      <c r="H334" s="945"/>
      <c r="I334" s="1140"/>
      <c r="J334" s="1143"/>
      <c r="K334" s="43" t="s">
        <v>71</v>
      </c>
      <c r="L334" s="36" t="s">
        <v>319</v>
      </c>
      <c r="M334" s="181"/>
      <c r="N334" s="4"/>
      <c r="O334" s="183">
        <v>13</v>
      </c>
      <c r="P334"/>
    </row>
    <row r="335" spans="2:25" s="45" customFormat="1" ht="39.950000000000003" customHeight="1" x14ac:dyDescent="0.2">
      <c r="B335" s="952" t="s">
        <v>85</v>
      </c>
      <c r="C335" s="1150" t="s">
        <v>577</v>
      </c>
      <c r="D335" s="1149"/>
      <c r="E335" s="1149" t="s">
        <v>378</v>
      </c>
      <c r="F335" s="1149"/>
      <c r="G335" s="986" t="s">
        <v>342</v>
      </c>
      <c r="H335" s="987"/>
      <c r="I335" s="1138">
        <f>+'[2]Datos REG y HIJOS'!$D$6</f>
        <v>40</v>
      </c>
      <c r="J335" s="1141">
        <f>+'[2]Datos REG y HIJOS'!$E$6</f>
        <v>0.85</v>
      </c>
      <c r="K335" s="43" t="s">
        <v>85</v>
      </c>
      <c r="L335" s="36" t="s">
        <v>319</v>
      </c>
      <c r="M335" s="181"/>
      <c r="N335" s="182" t="s">
        <v>30</v>
      </c>
      <c r="O335" s="183">
        <v>13</v>
      </c>
      <c r="P335"/>
    </row>
    <row r="336" spans="2:25" s="45" customFormat="1" ht="39.950000000000003" customHeight="1" x14ac:dyDescent="0.2">
      <c r="B336" s="953"/>
      <c r="C336" s="1144" t="s">
        <v>86</v>
      </c>
      <c r="D336" s="1145"/>
      <c r="E336" s="1145" t="s">
        <v>574</v>
      </c>
      <c r="F336" s="1145"/>
      <c r="G336" s="1145" t="s">
        <v>580</v>
      </c>
      <c r="H336" s="1146"/>
      <c r="I336" s="1139"/>
      <c r="J336" s="1142"/>
      <c r="K336" s="43" t="s">
        <v>85</v>
      </c>
      <c r="L336" s="36" t="s">
        <v>319</v>
      </c>
      <c r="M336" s="181"/>
      <c r="N336" s="4"/>
      <c r="O336" s="183">
        <v>13</v>
      </c>
      <c r="P336"/>
    </row>
    <row r="337" spans="1:16" ht="39.950000000000003" customHeight="1" x14ac:dyDescent="0.2">
      <c r="A337" s="45"/>
      <c r="B337" s="954"/>
      <c r="C337" s="1144" t="s">
        <v>576</v>
      </c>
      <c r="D337" s="1145"/>
      <c r="E337" s="1145" t="s">
        <v>578</v>
      </c>
      <c r="F337" s="1145"/>
      <c r="G337" s="957" t="s">
        <v>657</v>
      </c>
      <c r="H337" s="958"/>
      <c r="I337" s="1140"/>
      <c r="J337" s="1143"/>
      <c r="K337" s="43" t="s">
        <v>85</v>
      </c>
      <c r="L337" s="36" t="s">
        <v>319</v>
      </c>
      <c r="M337" s="181"/>
      <c r="N337" s="4"/>
      <c r="O337" s="183">
        <v>13</v>
      </c>
      <c r="P337"/>
    </row>
    <row r="338" spans="1:16" ht="30" customHeight="1" x14ac:dyDescent="0.2">
      <c r="A338" s="45"/>
      <c r="B338" s="982" t="s">
        <v>87</v>
      </c>
      <c r="C338" s="1150" t="s">
        <v>92</v>
      </c>
      <c r="D338" s="1149"/>
      <c r="E338" s="1149" t="s">
        <v>89</v>
      </c>
      <c r="F338" s="1149"/>
      <c r="G338" s="1149" t="s">
        <v>90</v>
      </c>
      <c r="H338" s="1151"/>
      <c r="I338" s="1414">
        <f>+'[2]Datos REG y HIJOS'!$D$7</f>
        <v>45</v>
      </c>
      <c r="J338" s="1141">
        <f>+'[2]Datos REG y HIJOS'!$E$7</f>
        <v>0.85</v>
      </c>
      <c r="K338" s="43" t="s">
        <v>87</v>
      </c>
      <c r="L338" s="36" t="s">
        <v>319</v>
      </c>
      <c r="M338" s="181"/>
      <c r="N338" s="182" t="s">
        <v>30</v>
      </c>
      <c r="O338" s="183">
        <v>13</v>
      </c>
      <c r="P338"/>
    </row>
    <row r="339" spans="1:16" ht="30" customHeight="1" x14ac:dyDescent="0.2">
      <c r="A339" s="45"/>
      <c r="B339" s="983"/>
      <c r="C339" s="1144" t="s">
        <v>88</v>
      </c>
      <c r="D339" s="1145"/>
      <c r="E339" s="1145" t="s">
        <v>323</v>
      </c>
      <c r="F339" s="1145"/>
      <c r="G339" s="1145" t="s">
        <v>94</v>
      </c>
      <c r="H339" s="1146"/>
      <c r="I339" s="1415"/>
      <c r="J339" s="1142"/>
      <c r="K339" s="43" t="s">
        <v>87</v>
      </c>
      <c r="L339" s="36" t="s">
        <v>319</v>
      </c>
      <c r="M339" s="181"/>
      <c r="N339" s="4"/>
      <c r="O339" s="183">
        <v>13</v>
      </c>
      <c r="P339"/>
    </row>
    <row r="340" spans="1:16" ht="30" customHeight="1" x14ac:dyDescent="0.2">
      <c r="A340" s="45"/>
      <c r="B340" s="984"/>
      <c r="C340" s="1147" t="s">
        <v>95</v>
      </c>
      <c r="D340" s="1148"/>
      <c r="E340" s="190"/>
      <c r="F340" s="190"/>
      <c r="G340" s="190"/>
      <c r="H340" s="191"/>
      <c r="I340" s="1419"/>
      <c r="J340" s="1143"/>
      <c r="K340" s="43" t="s">
        <v>87</v>
      </c>
      <c r="L340" s="36" t="s">
        <v>319</v>
      </c>
      <c r="M340" s="181"/>
      <c r="N340" s="4"/>
      <c r="O340" s="183">
        <v>13</v>
      </c>
      <c r="P340"/>
    </row>
    <row r="341" spans="1:16" ht="30" customHeight="1" x14ac:dyDescent="0.2">
      <c r="A341" s="45"/>
      <c r="B341" s="952" t="s">
        <v>567</v>
      </c>
      <c r="C341" s="1420" t="s">
        <v>134</v>
      </c>
      <c r="D341" s="1421"/>
      <c r="E341" s="1608" t="s">
        <v>652</v>
      </c>
      <c r="F341" s="1608"/>
      <c r="G341" s="1145" t="s">
        <v>570</v>
      </c>
      <c r="H341" s="1146"/>
      <c r="I341" s="1138">
        <f>+'[2]Datos REG y HIJOS'!$D$8</f>
        <v>45</v>
      </c>
      <c r="J341" s="1141">
        <f>+'[2]Datos REG y HIJOS'!$E$8</f>
        <v>0.85</v>
      </c>
      <c r="K341" s="43" t="s">
        <v>567</v>
      </c>
      <c r="L341" s="36" t="s">
        <v>319</v>
      </c>
      <c r="M341" s="181"/>
      <c r="N341" s="182" t="s">
        <v>30</v>
      </c>
      <c r="O341" s="183">
        <v>13</v>
      </c>
      <c r="P341"/>
    </row>
    <row r="342" spans="1:16" ht="30" customHeight="1" x14ac:dyDescent="0.2">
      <c r="A342" s="45"/>
      <c r="B342" s="953"/>
      <c r="C342" s="1420" t="s">
        <v>653</v>
      </c>
      <c r="D342" s="1421"/>
      <c r="E342" s="1608" t="s">
        <v>654</v>
      </c>
      <c r="F342" s="1608"/>
      <c r="G342" s="378" t="s">
        <v>655</v>
      </c>
      <c r="H342" s="380"/>
      <c r="I342" s="1139"/>
      <c r="J342" s="1142"/>
      <c r="K342" s="43" t="s">
        <v>567</v>
      </c>
      <c r="L342" s="36" t="s">
        <v>319</v>
      </c>
      <c r="M342" s="181"/>
      <c r="N342" s="4"/>
      <c r="O342" s="183">
        <v>13</v>
      </c>
      <c r="P342"/>
    </row>
    <row r="343" spans="1:16" ht="30" customHeight="1" x14ac:dyDescent="0.2">
      <c r="A343" s="45"/>
      <c r="B343" s="954"/>
      <c r="C343" s="1147" t="s">
        <v>656</v>
      </c>
      <c r="D343" s="1148"/>
      <c r="E343" s="1034"/>
      <c r="F343" s="1034"/>
      <c r="G343" s="50"/>
      <c r="H343" s="124"/>
      <c r="I343" s="1140"/>
      <c r="J343" s="1143"/>
      <c r="K343" s="43" t="s">
        <v>567</v>
      </c>
      <c r="L343" s="36" t="s">
        <v>319</v>
      </c>
      <c r="M343" s="181"/>
      <c r="N343" s="4"/>
      <c r="O343" s="183">
        <v>13</v>
      </c>
      <c r="P343"/>
    </row>
    <row r="344" spans="1:16" ht="39.950000000000003" customHeight="1" x14ac:dyDescent="0.2">
      <c r="A344" s="45"/>
      <c r="B344" s="381" t="s">
        <v>584</v>
      </c>
      <c r="C344" s="1404" t="s">
        <v>587</v>
      </c>
      <c r="D344" s="1405"/>
      <c r="E344" s="1406" t="s">
        <v>658</v>
      </c>
      <c r="F344" s="1406"/>
      <c r="G344" s="1406"/>
      <c r="H344" s="1407"/>
      <c r="I344" s="382">
        <f>+'[2]Datos REG y HIJOS'!$D$10</f>
        <v>50</v>
      </c>
      <c r="J344" s="53">
        <f>+'[2]Datos REG y HIJOS'!$E$10</f>
        <v>0.85</v>
      </c>
      <c r="K344" s="43" t="s">
        <v>584</v>
      </c>
      <c r="L344" s="36" t="s">
        <v>319</v>
      </c>
      <c r="M344" s="181"/>
      <c r="N344" s="182" t="s">
        <v>30</v>
      </c>
      <c r="O344" s="183">
        <v>13</v>
      </c>
      <c r="P344"/>
    </row>
    <row r="345" spans="1:16" ht="30" customHeight="1" x14ac:dyDescent="0.2">
      <c r="A345" s="45"/>
      <c r="B345" s="1408" t="s">
        <v>571</v>
      </c>
      <c r="C345" s="1410" t="s">
        <v>596</v>
      </c>
      <c r="D345" s="1411"/>
      <c r="E345" s="1195" t="s">
        <v>597</v>
      </c>
      <c r="F345" s="1195"/>
      <c r="G345" s="1412" t="s">
        <v>598</v>
      </c>
      <c r="H345" s="1413"/>
      <c r="I345" s="1397">
        <f>+'[2]Datos REG y HIJOS'!$D$9</f>
        <v>40</v>
      </c>
      <c r="J345" s="915">
        <f>+'[2]Datos REG y HIJOS'!$E$9</f>
        <v>0.85</v>
      </c>
      <c r="K345" s="43" t="s">
        <v>571</v>
      </c>
      <c r="L345" s="36" t="s">
        <v>319</v>
      </c>
      <c r="M345" s="181"/>
      <c r="N345" s="182" t="s">
        <v>30</v>
      </c>
      <c r="O345" s="183">
        <v>13</v>
      </c>
      <c r="P345"/>
    </row>
    <row r="346" spans="1:16" s="225" customFormat="1" ht="30" customHeight="1" x14ac:dyDescent="0.2">
      <c r="A346" s="672"/>
      <c r="B346" s="1409"/>
      <c r="C346" s="1399" t="s">
        <v>599</v>
      </c>
      <c r="D346" s="1400"/>
      <c r="E346" s="1400"/>
      <c r="F346" s="1400"/>
      <c r="G346" s="384"/>
      <c r="H346" s="385"/>
      <c r="I346" s="1398"/>
      <c r="J346" s="916"/>
      <c r="K346" s="43" t="s">
        <v>571</v>
      </c>
      <c r="L346" s="36" t="s">
        <v>319</v>
      </c>
      <c r="M346" s="181"/>
      <c r="N346" s="4"/>
      <c r="O346" s="183">
        <v>13</v>
      </c>
      <c r="P346"/>
    </row>
    <row r="347" spans="1:16" s="66" customFormat="1" ht="30" customHeight="1" x14ac:dyDescent="0.25">
      <c r="A347" s="45"/>
      <c r="B347" s="327" t="s">
        <v>591</v>
      </c>
      <c r="C347" s="1401" t="s">
        <v>592</v>
      </c>
      <c r="D347" s="1402"/>
      <c r="E347" s="2018" t="s">
        <v>176</v>
      </c>
      <c r="F347" s="2018"/>
      <c r="G347" s="816"/>
      <c r="H347" s="817"/>
      <c r="I347" s="448">
        <f>+'[2]Datos REG y HIJOS'!$D$11</f>
        <v>80</v>
      </c>
      <c r="J347" s="449">
        <f>+'[2]Datos REG y HIJOS'!$E$11</f>
        <v>0.75</v>
      </c>
      <c r="K347" s="43" t="s">
        <v>591</v>
      </c>
      <c r="L347" s="36" t="s">
        <v>319</v>
      </c>
      <c r="M347" s="383"/>
      <c r="N347" s="4"/>
      <c r="O347" s="37">
        <v>13</v>
      </c>
      <c r="P347"/>
    </row>
    <row r="348" spans="1:16" s="66" customFormat="1" ht="30" customHeight="1" x14ac:dyDescent="0.25">
      <c r="A348" s="45"/>
      <c r="B348" s="327" t="s">
        <v>758</v>
      </c>
      <c r="C348" s="1401" t="s">
        <v>765</v>
      </c>
      <c r="D348" s="1402"/>
      <c r="E348" s="1402"/>
      <c r="F348" s="1402"/>
      <c r="G348" s="1402"/>
      <c r="H348" s="1403"/>
      <c r="I348" s="448">
        <f>+'[2]Datos REG y HIJOS'!$D$12</f>
        <v>90</v>
      </c>
      <c r="J348" s="449">
        <f>+'[2]Datos REG y HIJOS'!$E$12</f>
        <v>0.7</v>
      </c>
      <c r="K348" s="43" t="s">
        <v>758</v>
      </c>
      <c r="L348" s="36" t="s">
        <v>319</v>
      </c>
      <c r="M348" s="383"/>
      <c r="N348" s="46" t="s">
        <v>30</v>
      </c>
      <c r="O348" s="37">
        <v>13</v>
      </c>
      <c r="P348"/>
    </row>
    <row r="349" spans="1:16" s="66" customFormat="1" ht="30" customHeight="1" x14ac:dyDescent="0.25">
      <c r="A349" s="45"/>
      <c r="B349" s="96" t="s">
        <v>767</v>
      </c>
      <c r="C349" s="1401" t="s">
        <v>779</v>
      </c>
      <c r="D349" s="1402"/>
      <c r="E349" s="1402" t="s">
        <v>783</v>
      </c>
      <c r="F349" s="1402"/>
      <c r="G349" s="1402" t="s">
        <v>768</v>
      </c>
      <c r="H349" s="1403"/>
      <c r="I349" s="74">
        <v>120</v>
      </c>
      <c r="J349" s="75">
        <v>0.6</v>
      </c>
      <c r="K349" s="818"/>
      <c r="L349" s="18"/>
      <c r="M349" s="819"/>
      <c r="N349" s="4"/>
      <c r="O349" s="37"/>
      <c r="P349"/>
    </row>
    <row r="350" spans="1:16" s="66" customFormat="1" ht="60" customHeight="1" x14ac:dyDescent="0.25">
      <c r="A350" s="45"/>
      <c r="B350" s="1279" t="s">
        <v>312</v>
      </c>
      <c r="C350" s="1519" t="s">
        <v>784</v>
      </c>
      <c r="D350" s="1520"/>
      <c r="E350" s="1520"/>
      <c r="F350" s="1520"/>
      <c r="G350" s="1520"/>
      <c r="H350" s="1521"/>
      <c r="I350" s="74">
        <v>0</v>
      </c>
      <c r="J350" s="75">
        <v>1</v>
      </c>
      <c r="K350" s="18"/>
      <c r="L350" s="18"/>
      <c r="M350" s="819"/>
      <c r="N350" s="4"/>
      <c r="O350" s="37"/>
      <c r="P350"/>
    </row>
    <row r="351" spans="1:16" s="66" customFormat="1" ht="34.5" customHeight="1" x14ac:dyDescent="0.25">
      <c r="A351" s="45"/>
      <c r="B351" s="1280"/>
      <c r="C351" s="1522" t="s">
        <v>779</v>
      </c>
      <c r="D351" s="1523"/>
      <c r="E351" s="1523" t="s">
        <v>783</v>
      </c>
      <c r="F351" s="1523"/>
      <c r="G351" s="1523" t="s">
        <v>768</v>
      </c>
      <c r="H351" s="1524"/>
      <c r="I351" s="74" t="s">
        <v>785</v>
      </c>
      <c r="J351" s="75" t="s">
        <v>785</v>
      </c>
      <c r="K351" s="18"/>
      <c r="L351" s="18"/>
      <c r="M351" s="819"/>
      <c r="N351" s="819"/>
      <c r="O351" s="37"/>
      <c r="P351"/>
    </row>
    <row r="352" spans="1:16" s="66" customFormat="1" ht="30" customHeight="1" x14ac:dyDescent="0.25">
      <c r="A352" s="45"/>
      <c r="B352" s="901" t="s">
        <v>325</v>
      </c>
      <c r="C352" s="902"/>
      <c r="D352" s="902"/>
      <c r="E352" s="902"/>
      <c r="F352" s="902"/>
      <c r="G352" s="902"/>
      <c r="H352" s="902"/>
      <c r="I352" s="902"/>
      <c r="J352" s="903"/>
      <c r="K352" s="383"/>
      <c r="L352" s="383"/>
      <c r="M352" s="383"/>
      <c r="N352" s="383"/>
      <c r="O352" s="383"/>
      <c r="P352" s="383"/>
    </row>
    <row r="353" spans="1:32" ht="20.100000000000001" customHeight="1" x14ac:dyDescent="0.2">
      <c r="A353" s="45"/>
      <c r="B353" s="591"/>
      <c r="C353" s="648"/>
      <c r="D353" s="648"/>
      <c r="E353" s="648"/>
      <c r="F353" s="648"/>
      <c r="G353" s="648"/>
      <c r="H353" s="648"/>
      <c r="I353" s="593"/>
      <c r="J353" s="65"/>
    </row>
    <row r="354" spans="1:32" ht="30" customHeight="1" x14ac:dyDescent="0.2">
      <c r="A354" s="45"/>
      <c r="B354" s="1675" t="s">
        <v>326</v>
      </c>
      <c r="C354" s="1676"/>
      <c r="D354" s="1676"/>
      <c r="E354" s="1676"/>
      <c r="F354" s="1676"/>
      <c r="G354" s="1676"/>
      <c r="H354" s="1677"/>
      <c r="I354" s="406" t="s">
        <v>17</v>
      </c>
      <c r="J354" s="193" t="s">
        <v>18</v>
      </c>
      <c r="K354" s="669" t="s">
        <v>327</v>
      </c>
      <c r="L354" s="238">
        <v>14</v>
      </c>
      <c r="M354" s="181"/>
      <c r="N354" s="182" t="s">
        <v>30</v>
      </c>
      <c r="O354" s="238">
        <v>14</v>
      </c>
    </row>
    <row r="355" spans="1:32" s="66" customFormat="1" ht="39.950000000000003" customHeight="1" x14ac:dyDescent="0.2">
      <c r="B355" s="471" t="s">
        <v>328</v>
      </c>
      <c r="C355" s="1169" t="s">
        <v>787</v>
      </c>
      <c r="D355" s="1162"/>
      <c r="E355" s="1162"/>
      <c r="F355" s="1162"/>
      <c r="G355" s="1162"/>
      <c r="H355" s="1163"/>
      <c r="I355" s="539">
        <v>0</v>
      </c>
      <c r="J355" s="75">
        <v>1</v>
      </c>
      <c r="K355" s="669" t="s">
        <v>327</v>
      </c>
      <c r="L355" s="238">
        <v>14</v>
      </c>
      <c r="M355" s="67"/>
      <c r="N355" s="67"/>
      <c r="O355" s="238">
        <v>14</v>
      </c>
    </row>
    <row r="356" spans="1:32" s="66" customFormat="1" ht="39" customHeight="1" x14ac:dyDescent="0.2">
      <c r="B356" s="471" t="s">
        <v>701</v>
      </c>
      <c r="C356" s="1252" t="s">
        <v>787</v>
      </c>
      <c r="D356" s="1844"/>
      <c r="E356" s="1844"/>
      <c r="F356" s="1844"/>
      <c r="G356" s="1844"/>
      <c r="H356" s="1844"/>
      <c r="I356" s="539">
        <v>0</v>
      </c>
      <c r="J356" s="75">
        <v>0.8</v>
      </c>
      <c r="K356" s="669" t="s">
        <v>327</v>
      </c>
      <c r="L356" s="238">
        <v>14</v>
      </c>
      <c r="M356" s="67"/>
      <c r="N356" s="67"/>
      <c r="O356" s="238">
        <v>14</v>
      </c>
    </row>
    <row r="357" spans="1:32" ht="20.100000000000001" customHeight="1" x14ac:dyDescent="0.2">
      <c r="A357" s="45"/>
      <c r="B357" s="591"/>
      <c r="C357" s="648"/>
      <c r="D357" s="648"/>
      <c r="E357" s="648"/>
      <c r="F357" s="648"/>
      <c r="G357" s="648"/>
      <c r="H357" s="648"/>
      <c r="I357" s="593"/>
      <c r="J357" s="65"/>
    </row>
    <row r="358" spans="1:32" s="66" customFormat="1" ht="30" customHeight="1" x14ac:dyDescent="0.2">
      <c r="A358" s="45"/>
      <c r="B358" s="1662" t="s">
        <v>330</v>
      </c>
      <c r="C358" s="1663"/>
      <c r="D358" s="1663"/>
      <c r="E358" s="1663"/>
      <c r="F358" s="1663"/>
      <c r="G358" s="1663"/>
      <c r="H358" s="1664"/>
      <c r="I358" s="406" t="s">
        <v>17</v>
      </c>
      <c r="J358" s="35" t="s">
        <v>18</v>
      </c>
      <c r="K358" s="237" t="s">
        <v>331</v>
      </c>
      <c r="L358" s="238">
        <v>15</v>
      </c>
      <c r="M358" s="68"/>
      <c r="N358" s="182" t="s">
        <v>30</v>
      </c>
      <c r="O358" s="238">
        <v>15</v>
      </c>
      <c r="Q358" s="45"/>
      <c r="R358" s="45"/>
      <c r="S358" s="45"/>
      <c r="T358" s="45"/>
      <c r="U358" s="45"/>
      <c r="V358" s="45"/>
      <c r="W358" s="45"/>
      <c r="X358" s="45"/>
      <c r="Y358" s="45"/>
      <c r="Z358" s="45"/>
      <c r="AA358" s="45"/>
      <c r="AB358" s="45"/>
      <c r="AC358" s="45"/>
      <c r="AD358" s="45"/>
      <c r="AE358" s="45"/>
      <c r="AF358" s="45"/>
    </row>
    <row r="359" spans="1:32" s="66" customFormat="1" ht="30" customHeight="1" x14ac:dyDescent="0.2">
      <c r="A359" s="45"/>
      <c r="B359" s="1725" t="s">
        <v>332</v>
      </c>
      <c r="C359" s="1726"/>
      <c r="D359" s="1726"/>
      <c r="E359" s="1726"/>
      <c r="F359" s="1726"/>
      <c r="G359" s="1726"/>
      <c r="H359" s="1726"/>
      <c r="I359" s="1726"/>
      <c r="J359" s="1727"/>
      <c r="K359" s="237" t="s">
        <v>331</v>
      </c>
      <c r="L359" s="238">
        <v>15</v>
      </c>
      <c r="M359" s="68"/>
      <c r="N359" s="67"/>
      <c r="O359" s="238">
        <v>15</v>
      </c>
      <c r="Q359" s="45"/>
      <c r="R359" s="45"/>
      <c r="S359" s="45"/>
      <c r="T359" s="45"/>
      <c r="U359" s="45"/>
      <c r="V359" s="45"/>
      <c r="W359" s="45"/>
      <c r="X359" s="45"/>
      <c r="Y359" s="45"/>
      <c r="Z359" s="45"/>
      <c r="AA359" s="45"/>
      <c r="AB359" s="45"/>
      <c r="AC359" s="45"/>
      <c r="AD359" s="45"/>
      <c r="AE359" s="45"/>
      <c r="AF359" s="45"/>
    </row>
    <row r="360" spans="1:32" s="66" customFormat="1" ht="91.5" customHeight="1" x14ac:dyDescent="0.2">
      <c r="A360" s="45"/>
      <c r="B360" s="538" t="s">
        <v>333</v>
      </c>
      <c r="C360" s="1706" t="s">
        <v>334</v>
      </c>
      <c r="D360" s="1706"/>
      <c r="E360" s="1706"/>
      <c r="F360" s="1706"/>
      <c r="G360" s="1706"/>
      <c r="H360" s="1706"/>
      <c r="I360" s="409">
        <v>0</v>
      </c>
      <c r="J360" s="42">
        <v>1</v>
      </c>
      <c r="K360" s="237" t="s">
        <v>331</v>
      </c>
      <c r="L360" s="238">
        <v>15</v>
      </c>
      <c r="M360" s="68"/>
      <c r="N360" s="67"/>
      <c r="O360" s="238">
        <v>15</v>
      </c>
      <c r="Q360" s="45"/>
      <c r="R360" s="45"/>
      <c r="S360" s="45"/>
      <c r="T360" s="45"/>
      <c r="U360" s="45"/>
      <c r="V360" s="45"/>
      <c r="W360" s="45"/>
      <c r="X360" s="45"/>
      <c r="Y360" s="45"/>
      <c r="Z360" s="45"/>
      <c r="AA360" s="45"/>
      <c r="AB360" s="45"/>
      <c r="AC360" s="45"/>
      <c r="AD360" s="45"/>
      <c r="AE360" s="45"/>
      <c r="AF360" s="45"/>
    </row>
    <row r="361" spans="1:32" s="66" customFormat="1" ht="39.950000000000003" customHeight="1" x14ac:dyDescent="0.2">
      <c r="A361" s="45"/>
      <c r="B361" s="1783" t="s">
        <v>335</v>
      </c>
      <c r="C361" s="1695" t="s">
        <v>336</v>
      </c>
      <c r="D361" s="1696"/>
      <c r="E361" s="1696"/>
      <c r="F361" s="1696"/>
      <c r="G361" s="1696"/>
      <c r="H361" s="1697"/>
      <c r="I361" s="1698">
        <v>0</v>
      </c>
      <c r="J361" s="915">
        <v>1</v>
      </c>
      <c r="K361" s="237" t="s">
        <v>331</v>
      </c>
      <c r="L361" s="238">
        <v>15</v>
      </c>
      <c r="M361" s="68"/>
      <c r="N361" s="182" t="s">
        <v>30</v>
      </c>
      <c r="O361" s="238">
        <v>15</v>
      </c>
      <c r="Q361" s="45"/>
      <c r="R361" s="45"/>
      <c r="S361" s="45"/>
      <c r="T361" s="45"/>
      <c r="U361" s="45"/>
      <c r="V361" s="45"/>
      <c r="W361" s="45"/>
      <c r="X361" s="45"/>
      <c r="Y361" s="45"/>
      <c r="Z361" s="45"/>
      <c r="AA361" s="45"/>
      <c r="AB361" s="45"/>
      <c r="AC361" s="45"/>
      <c r="AD361" s="45"/>
      <c r="AE361" s="45"/>
      <c r="AF361" s="45"/>
    </row>
    <row r="362" spans="1:32" s="66" customFormat="1" ht="30" customHeight="1" x14ac:dyDescent="0.2">
      <c r="A362" s="45"/>
      <c r="B362" s="1784"/>
      <c r="C362" s="971" t="s">
        <v>337</v>
      </c>
      <c r="D362" s="944"/>
      <c r="E362" s="957" t="s">
        <v>338</v>
      </c>
      <c r="F362" s="957"/>
      <c r="G362" s="957" t="s">
        <v>239</v>
      </c>
      <c r="H362" s="957"/>
      <c r="I362" s="1699"/>
      <c r="J362" s="1045"/>
      <c r="K362" s="237" t="s">
        <v>331</v>
      </c>
      <c r="L362" s="238">
        <v>15</v>
      </c>
      <c r="M362" s="68"/>
      <c r="N362" s="67"/>
      <c r="O362" s="238">
        <v>15</v>
      </c>
      <c r="Q362" s="45"/>
      <c r="R362" s="45"/>
      <c r="S362" s="45"/>
      <c r="T362" s="45"/>
      <c r="U362" s="45"/>
      <c r="V362" s="45"/>
      <c r="W362" s="45"/>
      <c r="X362" s="45"/>
      <c r="Y362" s="45"/>
      <c r="Z362" s="45"/>
      <c r="AA362" s="45"/>
      <c r="AB362" s="45"/>
      <c r="AC362" s="45"/>
      <c r="AD362" s="45"/>
      <c r="AE362" s="45"/>
      <c r="AF362" s="45"/>
    </row>
    <row r="363" spans="1:32" s="66" customFormat="1" ht="30" customHeight="1" x14ac:dyDescent="0.2">
      <c r="A363" s="45"/>
      <c r="B363" s="1785"/>
      <c r="C363" s="903" t="s">
        <v>790</v>
      </c>
      <c r="D363" s="1063"/>
      <c r="E363" s="1063"/>
      <c r="F363" s="1063"/>
      <c r="G363" s="1063"/>
      <c r="H363" s="1063"/>
      <c r="I363" s="1700"/>
      <c r="J363" s="916"/>
      <c r="K363" s="237" t="s">
        <v>331</v>
      </c>
      <c r="L363" s="238">
        <v>15</v>
      </c>
      <c r="M363" s="68"/>
      <c r="N363" s="67"/>
      <c r="O363" s="238">
        <v>15</v>
      </c>
      <c r="Q363" s="45"/>
      <c r="R363" s="45"/>
      <c r="S363" s="45"/>
      <c r="T363" s="45"/>
      <c r="U363" s="45"/>
      <c r="V363" s="45"/>
      <c r="W363" s="45"/>
      <c r="X363" s="45"/>
      <c r="Y363" s="45"/>
      <c r="Z363" s="45"/>
      <c r="AA363" s="45"/>
      <c r="AB363" s="45"/>
      <c r="AC363" s="45"/>
      <c r="AD363" s="45"/>
      <c r="AE363" s="45"/>
      <c r="AF363" s="45"/>
    </row>
    <row r="364" spans="1:32" s="66" customFormat="1" ht="30" customHeight="1" x14ac:dyDescent="0.2">
      <c r="A364" s="45"/>
      <c r="B364" s="1835" t="s">
        <v>340</v>
      </c>
      <c r="C364" s="1838" t="s">
        <v>341</v>
      </c>
      <c r="D364" s="1839"/>
      <c r="E364" s="1839"/>
      <c r="F364" s="1839"/>
      <c r="G364" s="1839"/>
      <c r="H364" s="1840"/>
      <c r="I364" s="1819">
        <v>0</v>
      </c>
      <c r="J364" s="962">
        <v>1</v>
      </c>
      <c r="K364" s="237" t="s">
        <v>331</v>
      </c>
      <c r="L364" s="238">
        <v>15</v>
      </c>
      <c r="M364" s="68"/>
      <c r="N364" s="182" t="s">
        <v>30</v>
      </c>
      <c r="O364" s="238">
        <v>15</v>
      </c>
      <c r="Q364" s="45"/>
      <c r="R364" s="45"/>
      <c r="S364" s="45"/>
      <c r="T364" s="45"/>
      <c r="U364" s="45"/>
      <c r="V364" s="45"/>
      <c r="W364" s="45"/>
      <c r="X364" s="45"/>
      <c r="Y364" s="45"/>
      <c r="Z364" s="45"/>
      <c r="AA364" s="45"/>
      <c r="AB364" s="45"/>
      <c r="AC364" s="45"/>
      <c r="AD364" s="45"/>
      <c r="AE364" s="45"/>
      <c r="AF364" s="45"/>
    </row>
    <row r="365" spans="1:32" s="66" customFormat="1" ht="39.950000000000003" customHeight="1" x14ac:dyDescent="0.2">
      <c r="A365" s="45"/>
      <c r="B365" s="1836"/>
      <c r="C365" s="1841" t="s">
        <v>342</v>
      </c>
      <c r="D365" s="1841"/>
      <c r="E365" s="1748" t="s">
        <v>42</v>
      </c>
      <c r="F365" s="1748"/>
      <c r="G365" s="1842" t="s">
        <v>92</v>
      </c>
      <c r="H365" s="1843"/>
      <c r="I365" s="1826"/>
      <c r="J365" s="963"/>
      <c r="K365" s="237" t="s">
        <v>331</v>
      </c>
      <c r="L365" s="238">
        <v>15</v>
      </c>
      <c r="M365" s="68"/>
      <c r="N365" s="182"/>
      <c r="O365" s="238">
        <v>15</v>
      </c>
      <c r="Q365" s="45"/>
      <c r="R365" s="45"/>
      <c r="S365" s="45"/>
      <c r="T365" s="45"/>
      <c r="U365" s="45"/>
      <c r="V365" s="45"/>
      <c r="W365" s="45"/>
      <c r="X365" s="45"/>
      <c r="Y365" s="45"/>
      <c r="Z365" s="45"/>
      <c r="AA365" s="45"/>
      <c r="AB365" s="45"/>
      <c r="AC365" s="45"/>
      <c r="AD365" s="45"/>
      <c r="AE365" s="45"/>
      <c r="AF365" s="45"/>
    </row>
    <row r="366" spans="1:32" s="66" customFormat="1" ht="39.950000000000003" customHeight="1" x14ac:dyDescent="0.2">
      <c r="A366" s="45"/>
      <c r="B366" s="1836"/>
      <c r="C366" s="1747" t="s">
        <v>134</v>
      </c>
      <c r="D366" s="1748"/>
      <c r="E366" s="1841"/>
      <c r="F366" s="1841"/>
      <c r="G366" s="1702"/>
      <c r="H366" s="1703"/>
      <c r="I366" s="1826"/>
      <c r="J366" s="963"/>
      <c r="K366" s="237" t="s">
        <v>331</v>
      </c>
      <c r="L366" s="238">
        <v>15</v>
      </c>
      <c r="M366" s="68"/>
      <c r="N366" s="182"/>
      <c r="O366" s="238">
        <v>15</v>
      </c>
      <c r="Q366" s="45"/>
      <c r="R366" s="45"/>
      <c r="S366" s="45"/>
      <c r="T366" s="45"/>
      <c r="U366" s="45"/>
      <c r="V366" s="45"/>
      <c r="W366" s="45"/>
      <c r="X366" s="45"/>
      <c r="Y366" s="45"/>
      <c r="Z366" s="45"/>
      <c r="AA366" s="45"/>
      <c r="AB366" s="45"/>
      <c r="AC366" s="45"/>
      <c r="AD366" s="45"/>
      <c r="AE366" s="45"/>
      <c r="AF366" s="45"/>
    </row>
    <row r="367" spans="1:32" s="66" customFormat="1" ht="30" customHeight="1" x14ac:dyDescent="0.2">
      <c r="A367" s="45"/>
      <c r="B367" s="1837"/>
      <c r="C367" s="903" t="s">
        <v>790</v>
      </c>
      <c r="D367" s="1063"/>
      <c r="E367" s="1063"/>
      <c r="F367" s="1063"/>
      <c r="G367" s="1063"/>
      <c r="H367" s="1063"/>
      <c r="I367" s="1820"/>
      <c r="J367" s="964"/>
      <c r="K367" s="237" t="s">
        <v>331</v>
      </c>
      <c r="L367" s="238">
        <v>15</v>
      </c>
      <c r="M367" s="68"/>
      <c r="N367" s="149"/>
      <c r="O367" s="238">
        <v>15</v>
      </c>
      <c r="Q367" s="45"/>
      <c r="R367" s="45"/>
      <c r="S367" s="45"/>
      <c r="T367" s="45"/>
      <c r="U367" s="45"/>
      <c r="V367" s="45"/>
      <c r="W367" s="45"/>
      <c r="X367" s="45"/>
      <c r="Y367" s="45"/>
      <c r="Z367" s="45"/>
      <c r="AA367" s="45"/>
      <c r="AB367" s="45"/>
      <c r="AC367" s="45"/>
      <c r="AD367" s="45"/>
      <c r="AE367" s="45"/>
      <c r="AF367" s="45"/>
    </row>
    <row r="368" spans="1:32" s="66" customFormat="1" ht="30" customHeight="1" x14ac:dyDescent="0.2">
      <c r="A368" s="45"/>
      <c r="B368" s="1827" t="s">
        <v>343</v>
      </c>
      <c r="C368" s="1830" t="s">
        <v>134</v>
      </c>
      <c r="D368" s="1831"/>
      <c r="E368" s="1831" t="s">
        <v>92</v>
      </c>
      <c r="F368" s="1831"/>
      <c r="G368" s="670" t="s">
        <v>146</v>
      </c>
      <c r="H368" s="671"/>
      <c r="I368" s="1832">
        <v>0</v>
      </c>
      <c r="J368" s="962">
        <v>1</v>
      </c>
      <c r="K368" s="237" t="s">
        <v>331</v>
      </c>
      <c r="L368" s="238">
        <v>15</v>
      </c>
      <c r="M368" s="68"/>
      <c r="N368" s="182" t="s">
        <v>30</v>
      </c>
      <c r="O368" s="238">
        <v>15</v>
      </c>
      <c r="Q368" s="45"/>
      <c r="R368" s="45"/>
      <c r="S368" s="45"/>
      <c r="T368" s="45"/>
      <c r="U368" s="45"/>
      <c r="V368" s="45"/>
      <c r="W368" s="45"/>
      <c r="X368" s="45"/>
      <c r="Y368" s="45"/>
      <c r="Z368" s="45"/>
      <c r="AA368" s="45"/>
      <c r="AB368" s="45"/>
      <c r="AC368" s="45"/>
      <c r="AD368" s="45"/>
      <c r="AE368" s="45"/>
      <c r="AF368" s="45"/>
    </row>
    <row r="369" spans="1:32" s="66" customFormat="1" ht="30" customHeight="1" x14ac:dyDescent="0.2">
      <c r="A369" s="45"/>
      <c r="B369" s="1828"/>
      <c r="C369" s="1774" t="s">
        <v>344</v>
      </c>
      <c r="D369" s="1775"/>
      <c r="E369" s="1775" t="s">
        <v>149</v>
      </c>
      <c r="F369" s="1775"/>
      <c r="G369" s="1775" t="s">
        <v>345</v>
      </c>
      <c r="H369" s="1776"/>
      <c r="I369" s="1833"/>
      <c r="J369" s="963"/>
      <c r="K369" s="237" t="s">
        <v>331</v>
      </c>
      <c r="L369" s="238">
        <v>15</v>
      </c>
      <c r="M369" s="68"/>
      <c r="N369" s="67"/>
      <c r="O369" s="238">
        <v>15</v>
      </c>
      <c r="Q369" s="45"/>
      <c r="R369" s="45"/>
      <c r="S369" s="45"/>
      <c r="T369" s="45"/>
      <c r="U369" s="45"/>
      <c r="V369" s="45"/>
      <c r="W369" s="45"/>
      <c r="X369" s="45"/>
      <c r="Y369" s="45"/>
      <c r="Z369" s="45"/>
      <c r="AA369" s="45"/>
      <c r="AB369" s="45"/>
      <c r="AC369" s="45"/>
      <c r="AD369" s="45"/>
      <c r="AE369" s="45"/>
      <c r="AF369" s="45"/>
    </row>
    <row r="370" spans="1:32" s="66" customFormat="1" ht="30" customHeight="1" x14ac:dyDescent="0.2">
      <c r="A370" s="45"/>
      <c r="B370" s="1828"/>
      <c r="C370" s="1774" t="s">
        <v>148</v>
      </c>
      <c r="D370" s="1775"/>
      <c r="E370" s="1775" t="s">
        <v>150</v>
      </c>
      <c r="F370" s="1775"/>
      <c r="G370" s="45"/>
      <c r="H370" s="624"/>
      <c r="I370" s="1833"/>
      <c r="J370" s="963"/>
      <c r="K370" s="237" t="s">
        <v>331</v>
      </c>
      <c r="L370" s="238">
        <v>15</v>
      </c>
      <c r="M370" s="68"/>
      <c r="N370" s="67"/>
      <c r="O370" s="238">
        <v>15</v>
      </c>
      <c r="Q370" s="45"/>
      <c r="R370" s="45"/>
      <c r="S370" s="45"/>
      <c r="T370" s="45"/>
      <c r="U370" s="45"/>
      <c r="V370" s="45"/>
      <c r="W370" s="45"/>
      <c r="X370" s="45"/>
      <c r="Y370" s="45"/>
      <c r="Z370" s="45"/>
      <c r="AA370" s="45"/>
      <c r="AB370" s="45"/>
      <c r="AC370" s="45"/>
      <c r="AD370" s="45"/>
      <c r="AE370" s="45"/>
      <c r="AF370" s="45"/>
    </row>
    <row r="371" spans="1:32" s="66" customFormat="1" ht="30" customHeight="1" x14ac:dyDescent="0.2">
      <c r="A371" s="45"/>
      <c r="B371" s="1829"/>
      <c r="C371" s="1063" t="s">
        <v>790</v>
      </c>
      <c r="D371" s="1063"/>
      <c r="E371" s="1063"/>
      <c r="F371" s="1063"/>
      <c r="G371" s="1063"/>
      <c r="H371" s="1063"/>
      <c r="I371" s="1834"/>
      <c r="J371" s="964"/>
      <c r="K371" s="237" t="s">
        <v>331</v>
      </c>
      <c r="L371" s="238">
        <v>15</v>
      </c>
      <c r="M371" s="68"/>
      <c r="N371" s="67"/>
      <c r="O371" s="238">
        <v>15</v>
      </c>
      <c r="Q371" s="45"/>
      <c r="R371" s="45"/>
      <c r="S371" s="45"/>
      <c r="T371" s="45"/>
      <c r="U371" s="45"/>
      <c r="V371" s="45"/>
      <c r="W371" s="45"/>
      <c r="X371" s="45"/>
      <c r="Y371" s="45"/>
      <c r="Z371" s="45"/>
      <c r="AA371" s="45"/>
      <c r="AB371" s="45"/>
      <c r="AC371" s="45"/>
      <c r="AD371" s="45"/>
      <c r="AE371" s="45"/>
      <c r="AF371" s="45"/>
    </row>
    <row r="372" spans="1:32" s="66" customFormat="1" ht="30" customHeight="1" x14ac:dyDescent="0.2">
      <c r="A372" s="45"/>
      <c r="B372" s="620" t="s">
        <v>346</v>
      </c>
      <c r="C372" s="1777" t="s">
        <v>347</v>
      </c>
      <c r="D372" s="1283"/>
      <c r="E372" s="1283"/>
      <c r="F372" s="1283"/>
      <c r="G372" s="1283"/>
      <c r="H372" s="1813"/>
      <c r="I372" s="539">
        <v>0</v>
      </c>
      <c r="J372" s="75">
        <v>1</v>
      </c>
      <c r="K372" s="237" t="s">
        <v>331</v>
      </c>
      <c r="L372" s="238">
        <v>15</v>
      </c>
      <c r="M372" s="68"/>
      <c r="N372" s="182" t="s">
        <v>30</v>
      </c>
      <c r="O372" s="238">
        <v>15</v>
      </c>
      <c r="Q372" s="45"/>
      <c r="R372" s="45"/>
      <c r="S372" s="45"/>
      <c r="T372" s="45"/>
      <c r="U372" s="45"/>
      <c r="V372" s="45"/>
      <c r="W372" s="45"/>
      <c r="X372" s="45"/>
      <c r="Y372" s="45"/>
      <c r="Z372" s="45"/>
      <c r="AA372" s="45"/>
      <c r="AB372" s="45"/>
      <c r="AC372" s="45"/>
      <c r="AD372" s="45"/>
      <c r="AE372" s="45"/>
      <c r="AF372" s="45"/>
    </row>
    <row r="373" spans="1:32" s="225" customFormat="1" ht="39.950000000000003" customHeight="1" x14ac:dyDescent="0.2">
      <c r="A373" s="672"/>
      <c r="B373" s="1821" t="s">
        <v>348</v>
      </c>
      <c r="C373" s="1823" t="s">
        <v>349</v>
      </c>
      <c r="D373" s="1824"/>
      <c r="E373" s="1824" t="s">
        <v>793</v>
      </c>
      <c r="F373" s="1824"/>
      <c r="G373" s="1824" t="s">
        <v>239</v>
      </c>
      <c r="H373" s="1825"/>
      <c r="I373" s="1819">
        <v>0</v>
      </c>
      <c r="J373" s="962">
        <v>1</v>
      </c>
      <c r="K373" s="237" t="s">
        <v>331</v>
      </c>
      <c r="L373" s="238">
        <v>15</v>
      </c>
      <c r="N373" s="673" t="s">
        <v>30</v>
      </c>
      <c r="O373" s="674">
        <v>15</v>
      </c>
    </row>
    <row r="374" spans="1:32" s="225" customFormat="1" ht="30" customHeight="1" x14ac:dyDescent="0.2">
      <c r="A374" s="672"/>
      <c r="B374" s="2017"/>
      <c r="C374" s="2014" t="s">
        <v>792</v>
      </c>
      <c r="D374" s="2015"/>
      <c r="E374" s="1903"/>
      <c r="F374" s="1903"/>
      <c r="G374" s="2015"/>
      <c r="H374" s="2016"/>
      <c r="I374" s="1820"/>
      <c r="J374" s="964"/>
      <c r="K374" s="237" t="s">
        <v>331</v>
      </c>
      <c r="L374" s="238">
        <v>15</v>
      </c>
      <c r="M374" s="675"/>
      <c r="N374" s="676"/>
      <c r="O374" s="674">
        <v>15</v>
      </c>
    </row>
    <row r="375" spans="1:32" s="66" customFormat="1" ht="30" customHeight="1" x14ac:dyDescent="0.2">
      <c r="A375" s="45"/>
      <c r="B375" s="1818" t="s">
        <v>794</v>
      </c>
      <c r="C375" s="1517" t="s">
        <v>795</v>
      </c>
      <c r="D375" s="1515"/>
      <c r="E375" s="1515" t="s">
        <v>793</v>
      </c>
      <c r="F375" s="1515"/>
      <c r="G375" s="1515"/>
      <c r="H375" s="1516"/>
      <c r="I375" s="1819">
        <v>0</v>
      </c>
      <c r="J375" s="962">
        <v>1</v>
      </c>
      <c r="K375" s="237" t="s">
        <v>331</v>
      </c>
      <c r="L375" s="238">
        <v>15</v>
      </c>
      <c r="M375" s="67"/>
      <c r="N375" s="182" t="s">
        <v>30</v>
      </c>
      <c r="O375" s="238">
        <v>15</v>
      </c>
    </row>
    <row r="376" spans="1:32" s="66" customFormat="1" ht="30" customHeight="1" x14ac:dyDescent="0.2">
      <c r="A376" s="45"/>
      <c r="B376" s="1793"/>
      <c r="C376" s="903" t="s">
        <v>790</v>
      </c>
      <c r="D376" s="1063"/>
      <c r="E376" s="1063"/>
      <c r="F376" s="1063"/>
      <c r="G376" s="1063"/>
      <c r="H376" s="1063"/>
      <c r="I376" s="1820"/>
      <c r="J376" s="964"/>
      <c r="K376" s="237" t="s">
        <v>331</v>
      </c>
      <c r="L376" s="238">
        <v>15</v>
      </c>
      <c r="M376" s="67"/>
      <c r="N376" s="537"/>
      <c r="O376" s="238">
        <v>15</v>
      </c>
    </row>
    <row r="377" spans="1:32" s="66" customFormat="1" ht="65.25" customHeight="1" x14ac:dyDescent="0.2">
      <c r="A377" s="45"/>
      <c r="B377" s="1783" t="s">
        <v>350</v>
      </c>
      <c r="C377" s="1635" t="s">
        <v>351</v>
      </c>
      <c r="D377" s="1636"/>
      <c r="E377" s="1636"/>
      <c r="F377" s="1636"/>
      <c r="G377" s="1636"/>
      <c r="H377" s="1636"/>
      <c r="I377" s="1636"/>
      <c r="J377" s="1637"/>
      <c r="K377" s="237" t="s">
        <v>331</v>
      </c>
      <c r="L377" s="238">
        <v>15</v>
      </c>
      <c r="M377" s="68"/>
      <c r="N377" s="182" t="s">
        <v>30</v>
      </c>
      <c r="O377" s="238">
        <v>15</v>
      </c>
    </row>
    <row r="378" spans="1:32" s="66" customFormat="1" ht="30" customHeight="1" x14ac:dyDescent="0.2">
      <c r="A378" s="45"/>
      <c r="B378" s="1785"/>
      <c r="C378" s="1777" t="s">
        <v>790</v>
      </c>
      <c r="D378" s="1283"/>
      <c r="E378" s="1283"/>
      <c r="F378" s="1283"/>
      <c r="G378" s="1283"/>
      <c r="H378" s="1813"/>
      <c r="I378" s="539">
        <v>0</v>
      </c>
      <c r="J378" s="75">
        <v>1</v>
      </c>
      <c r="K378" s="237" t="s">
        <v>331</v>
      </c>
      <c r="L378" s="238">
        <v>15</v>
      </c>
      <c r="M378" s="68"/>
      <c r="N378" s="677"/>
      <c r="O378" s="238">
        <v>15</v>
      </c>
    </row>
    <row r="379" spans="1:32" s="66" customFormat="1" ht="57" customHeight="1" x14ac:dyDescent="0.2">
      <c r="A379" s="45"/>
      <c r="B379" s="1783" t="s">
        <v>352</v>
      </c>
      <c r="C379" s="1635" t="s">
        <v>796</v>
      </c>
      <c r="D379" s="1636"/>
      <c r="E379" s="1636"/>
      <c r="F379" s="1636"/>
      <c r="G379" s="1636"/>
      <c r="H379" s="1636"/>
      <c r="I379" s="1698">
        <v>0</v>
      </c>
      <c r="J379" s="915">
        <v>1</v>
      </c>
      <c r="K379" s="237" t="s">
        <v>331</v>
      </c>
      <c r="L379" s="238">
        <v>15</v>
      </c>
      <c r="M379" s="67"/>
      <c r="N379" s="182" t="s">
        <v>30</v>
      </c>
      <c r="O379" s="238">
        <v>15</v>
      </c>
    </row>
    <row r="380" spans="1:32" s="66" customFormat="1" ht="70.5" customHeight="1" x14ac:dyDescent="0.2">
      <c r="A380" s="45"/>
      <c r="B380" s="1784"/>
      <c r="C380" s="1635" t="s">
        <v>797</v>
      </c>
      <c r="D380" s="1636"/>
      <c r="E380" s="1636"/>
      <c r="F380" s="1636"/>
      <c r="G380" s="1636"/>
      <c r="H380" s="1636"/>
      <c r="I380" s="1699"/>
      <c r="J380" s="1045"/>
      <c r="K380" s="237" t="s">
        <v>331</v>
      </c>
      <c r="L380" s="238">
        <v>15</v>
      </c>
      <c r="M380" s="67"/>
      <c r="N380" s="67"/>
      <c r="O380" s="238">
        <v>15</v>
      </c>
    </row>
    <row r="381" spans="1:32" s="66" customFormat="1" ht="62.25" customHeight="1" x14ac:dyDescent="0.2">
      <c r="A381" s="45"/>
      <c r="B381" s="1784"/>
      <c r="C381" s="1635" t="s">
        <v>798</v>
      </c>
      <c r="D381" s="1636"/>
      <c r="E381" s="1636"/>
      <c r="F381" s="1636"/>
      <c r="G381" s="1636"/>
      <c r="H381" s="1636"/>
      <c r="I381" s="1699"/>
      <c r="J381" s="1045"/>
      <c r="K381" s="237" t="s">
        <v>331</v>
      </c>
      <c r="L381" s="238">
        <v>15</v>
      </c>
      <c r="M381" s="67"/>
      <c r="N381" s="67"/>
      <c r="O381" s="238">
        <v>15</v>
      </c>
    </row>
    <row r="382" spans="1:32" s="66" customFormat="1" ht="34.5" customHeight="1" x14ac:dyDescent="0.2">
      <c r="A382" s="45"/>
      <c r="B382" s="1784"/>
      <c r="C382" s="1811" t="s">
        <v>799</v>
      </c>
      <c r="D382" s="1812"/>
      <c r="E382" s="1812"/>
      <c r="F382" s="1812"/>
      <c r="G382" s="1812"/>
      <c r="H382" s="1812"/>
      <c r="I382" s="1699"/>
      <c r="J382" s="1045"/>
      <c r="K382" s="237" t="s">
        <v>331</v>
      </c>
      <c r="L382" s="238">
        <v>15</v>
      </c>
      <c r="M382" s="67"/>
      <c r="N382" s="67"/>
      <c r="O382" s="238">
        <v>15</v>
      </c>
    </row>
    <row r="383" spans="1:32" s="66" customFormat="1" ht="34.5" customHeight="1" x14ac:dyDescent="0.2">
      <c r="A383" s="45"/>
      <c r="B383" s="1784"/>
      <c r="C383" s="1635" t="s">
        <v>800</v>
      </c>
      <c r="D383" s="1636"/>
      <c r="E383" s="1636"/>
      <c r="F383" s="1636"/>
      <c r="G383" s="1636"/>
      <c r="H383" s="1636"/>
      <c r="I383" s="1700"/>
      <c r="J383" s="916"/>
      <c r="K383" s="237" t="s">
        <v>331</v>
      </c>
      <c r="L383" s="238">
        <v>15</v>
      </c>
      <c r="M383" s="67"/>
      <c r="N383" s="67"/>
      <c r="O383" s="238">
        <v>15</v>
      </c>
    </row>
    <row r="384" spans="1:32" s="66" customFormat="1" ht="45" customHeight="1" x14ac:dyDescent="0.2">
      <c r="A384" s="45"/>
      <c r="B384" s="1785"/>
      <c r="C384" s="1635" t="s">
        <v>904</v>
      </c>
      <c r="D384" s="1636"/>
      <c r="E384" s="1636"/>
      <c r="F384" s="1636"/>
      <c r="G384" s="1636"/>
      <c r="H384" s="1637"/>
      <c r="I384" s="678" t="s">
        <v>256</v>
      </c>
      <c r="J384" s="199" t="s">
        <v>256</v>
      </c>
      <c r="K384" s="237" t="s">
        <v>331</v>
      </c>
      <c r="L384" s="238">
        <v>15</v>
      </c>
      <c r="M384" s="67"/>
      <c r="N384" s="67"/>
      <c r="O384" s="238">
        <v>15</v>
      </c>
    </row>
    <row r="385" spans="1:32" s="66" customFormat="1" ht="39.950000000000003" customHeight="1" x14ac:dyDescent="0.2">
      <c r="A385" s="45"/>
      <c r="B385" s="1783" t="s">
        <v>359</v>
      </c>
      <c r="C385" s="1169" t="s">
        <v>360</v>
      </c>
      <c r="D385" s="1170"/>
      <c r="E385" s="1170"/>
      <c r="F385" s="1170"/>
      <c r="G385" s="1170"/>
      <c r="H385" s="1170"/>
      <c r="I385" s="1170"/>
      <c r="J385" s="1171"/>
      <c r="K385" s="237" t="s">
        <v>331</v>
      </c>
      <c r="L385" s="238">
        <v>15</v>
      </c>
      <c r="M385" s="67"/>
      <c r="N385" s="182" t="s">
        <v>30</v>
      </c>
      <c r="O385" s="238">
        <v>15</v>
      </c>
    </row>
    <row r="386" spans="1:32" s="66" customFormat="1" ht="30" customHeight="1" x14ac:dyDescent="0.2">
      <c r="A386" s="45"/>
      <c r="B386" s="1784"/>
      <c r="C386" s="1777" t="s">
        <v>790</v>
      </c>
      <c r="D386" s="1283"/>
      <c r="E386" s="1283"/>
      <c r="F386" s="1283"/>
      <c r="G386" s="1283"/>
      <c r="H386" s="1813"/>
      <c r="I386" s="539">
        <v>0</v>
      </c>
      <c r="J386" s="75">
        <v>1</v>
      </c>
      <c r="K386" s="237" t="s">
        <v>331</v>
      </c>
      <c r="L386" s="238">
        <v>15</v>
      </c>
      <c r="M386" s="67"/>
      <c r="N386" s="537"/>
      <c r="O386" s="238">
        <v>15</v>
      </c>
    </row>
    <row r="387" spans="1:32" s="66" customFormat="1" ht="30" customHeight="1" x14ac:dyDescent="0.2">
      <c r="B387" s="471" t="s">
        <v>701</v>
      </c>
      <c r="C387" s="1169" t="s">
        <v>802</v>
      </c>
      <c r="D387" s="1170"/>
      <c r="E387" s="1170"/>
      <c r="F387" s="1170"/>
      <c r="G387" s="1170"/>
      <c r="H387" s="1171"/>
      <c r="I387" s="539">
        <v>0</v>
      </c>
      <c r="J387" s="75">
        <v>0.75</v>
      </c>
      <c r="K387" s="237" t="s">
        <v>331</v>
      </c>
      <c r="L387" s="238">
        <v>15</v>
      </c>
      <c r="M387" s="67"/>
      <c r="N387" s="182" t="s">
        <v>30</v>
      </c>
      <c r="O387" s="238">
        <v>15</v>
      </c>
    </row>
    <row r="388" spans="1:32" s="66" customFormat="1" ht="39.75" customHeight="1" x14ac:dyDescent="0.2">
      <c r="A388" s="45"/>
      <c r="B388" s="1706" t="s">
        <v>869</v>
      </c>
      <c r="C388" s="1706"/>
      <c r="D388" s="1706"/>
      <c r="E388" s="1706"/>
      <c r="F388" s="1706"/>
      <c r="G388" s="1706"/>
      <c r="H388" s="1706"/>
      <c r="I388" s="1706"/>
      <c r="J388" s="1706"/>
      <c r="K388" s="237" t="s">
        <v>331</v>
      </c>
      <c r="L388" s="238">
        <v>15</v>
      </c>
      <c r="M388" s="68"/>
      <c r="N388" s="182" t="s">
        <v>30</v>
      </c>
      <c r="O388" s="238">
        <v>15</v>
      </c>
      <c r="Q388" s="45"/>
      <c r="R388" s="45"/>
      <c r="S388" s="45"/>
      <c r="T388" s="45"/>
      <c r="U388" s="45"/>
      <c r="V388" s="45"/>
      <c r="W388" s="45"/>
      <c r="X388" s="45"/>
      <c r="Y388" s="45"/>
      <c r="Z388" s="45"/>
      <c r="AA388" s="45"/>
      <c r="AB388" s="45"/>
      <c r="AC388" s="45"/>
      <c r="AD388" s="45"/>
      <c r="AE388" s="45"/>
      <c r="AF388" s="45"/>
    </row>
    <row r="389" spans="1:32" ht="20.100000000000001" customHeight="1" x14ac:dyDescent="0.2">
      <c r="A389" s="45"/>
      <c r="B389" s="648"/>
      <c r="C389" s="648"/>
      <c r="D389" s="648"/>
      <c r="E389" s="648"/>
      <c r="F389" s="648"/>
      <c r="G389" s="648"/>
      <c r="H389" s="648"/>
      <c r="I389" s="648"/>
      <c r="J389" s="200"/>
      <c r="K389" s="237"/>
      <c r="L389" s="238"/>
      <c r="N389" s="182"/>
      <c r="O389" s="238"/>
    </row>
    <row r="390" spans="1:32" ht="30" customHeight="1" x14ac:dyDescent="0.2">
      <c r="A390" s="45"/>
      <c r="B390" s="1807" t="s">
        <v>362</v>
      </c>
      <c r="C390" s="1807"/>
      <c r="D390" s="1807"/>
      <c r="E390" s="1807"/>
      <c r="F390" s="1807"/>
      <c r="G390" s="1807"/>
      <c r="H390" s="1807"/>
      <c r="I390" s="679" t="s">
        <v>130</v>
      </c>
      <c r="J390" s="35" t="s">
        <v>18</v>
      </c>
      <c r="K390" s="237" t="s">
        <v>331</v>
      </c>
      <c r="L390" s="238">
        <v>15</v>
      </c>
      <c r="M390" s="181"/>
      <c r="N390" s="182" t="s">
        <v>30</v>
      </c>
      <c r="O390" s="238">
        <v>15</v>
      </c>
      <c r="P390" s="45"/>
    </row>
    <row r="391" spans="1:32" ht="70.5" customHeight="1" x14ac:dyDescent="0.2">
      <c r="A391" s="45"/>
      <c r="B391" s="1706" t="s">
        <v>363</v>
      </c>
      <c r="C391" s="1706"/>
      <c r="D391" s="1706"/>
      <c r="E391" s="1706"/>
      <c r="F391" s="1706"/>
      <c r="G391" s="1706"/>
      <c r="H391" s="1706"/>
      <c r="I391" s="1706"/>
      <c r="J391" s="1706"/>
      <c r="K391" s="237" t="s">
        <v>331</v>
      </c>
      <c r="L391" s="238">
        <v>15</v>
      </c>
      <c r="M391" s="181"/>
      <c r="O391" s="238">
        <v>15</v>
      </c>
      <c r="P391" s="45"/>
    </row>
    <row r="392" spans="1:32" ht="39.75" customHeight="1" x14ac:dyDescent="0.2">
      <c r="A392" s="45"/>
      <c r="B392" s="1783" t="s">
        <v>364</v>
      </c>
      <c r="C392" s="1706" t="s">
        <v>365</v>
      </c>
      <c r="D392" s="1706"/>
      <c r="E392" s="1706"/>
      <c r="F392" s="1706"/>
      <c r="G392" s="1706"/>
      <c r="H392" s="1706"/>
      <c r="I392" s="1698">
        <v>0</v>
      </c>
      <c r="J392" s="915">
        <v>1</v>
      </c>
      <c r="K392" s="237" t="s">
        <v>331</v>
      </c>
      <c r="L392" s="238">
        <v>15</v>
      </c>
      <c r="M392" s="181"/>
      <c r="O392" s="238">
        <v>15</v>
      </c>
      <c r="P392" s="45"/>
    </row>
    <row r="393" spans="1:32" ht="39.75" customHeight="1" x14ac:dyDescent="0.2">
      <c r="A393" s="45"/>
      <c r="B393" s="1784"/>
      <c r="C393" s="1706" t="s">
        <v>366</v>
      </c>
      <c r="D393" s="1706"/>
      <c r="E393" s="1706"/>
      <c r="F393" s="1706"/>
      <c r="G393" s="1706"/>
      <c r="H393" s="1706"/>
      <c r="I393" s="1699"/>
      <c r="J393" s="1045"/>
      <c r="K393" s="237" t="s">
        <v>331</v>
      </c>
      <c r="L393" s="238">
        <v>15</v>
      </c>
      <c r="M393" s="181"/>
      <c r="O393" s="238">
        <v>15</v>
      </c>
      <c r="P393" s="45"/>
    </row>
    <row r="394" spans="1:32" ht="39.75" customHeight="1" x14ac:dyDescent="0.2">
      <c r="A394" s="45"/>
      <c r="B394" s="1785"/>
      <c r="C394" s="1706" t="s">
        <v>367</v>
      </c>
      <c r="D394" s="1706"/>
      <c r="E394" s="1706"/>
      <c r="F394" s="1706"/>
      <c r="G394" s="1706"/>
      <c r="H394" s="1706"/>
      <c r="I394" s="1700"/>
      <c r="J394" s="916"/>
      <c r="K394" s="237" t="s">
        <v>331</v>
      </c>
      <c r="L394" s="238">
        <v>15</v>
      </c>
      <c r="M394" s="181"/>
      <c r="O394" s="238">
        <v>15</v>
      </c>
      <c r="P394" s="45"/>
    </row>
    <row r="395" spans="1:32" ht="84" customHeight="1" x14ac:dyDescent="0.2">
      <c r="A395" s="45"/>
      <c r="B395" s="1635" t="s">
        <v>368</v>
      </c>
      <c r="C395" s="1636"/>
      <c r="D395" s="1636"/>
      <c r="E395" s="1636"/>
      <c r="F395" s="1636"/>
      <c r="G395" s="1636"/>
      <c r="H395" s="1636"/>
      <c r="I395" s="1636"/>
      <c r="J395" s="1637"/>
      <c r="K395" s="237" t="s">
        <v>331</v>
      </c>
      <c r="L395" s="238">
        <v>15</v>
      </c>
      <c r="M395" s="181"/>
      <c r="O395" s="238">
        <v>15</v>
      </c>
      <c r="P395" s="45"/>
    </row>
    <row r="396" spans="1:32" ht="20.100000000000001" customHeight="1" x14ac:dyDescent="0.2">
      <c r="A396" s="45"/>
      <c r="B396" s="648"/>
      <c r="C396" s="648"/>
      <c r="D396" s="648"/>
      <c r="E396" s="648"/>
      <c r="F396" s="648"/>
      <c r="G396" s="648"/>
      <c r="H396" s="648"/>
      <c r="I396" s="648"/>
      <c r="J396" s="200"/>
      <c r="L396" s="561"/>
      <c r="M396" s="181"/>
      <c r="O396" s="561"/>
      <c r="P396" s="45"/>
    </row>
    <row r="397" spans="1:32" ht="30" customHeight="1" x14ac:dyDescent="0.2">
      <c r="A397" s="45"/>
      <c r="B397" s="1087" t="s">
        <v>369</v>
      </c>
      <c r="C397" s="1088"/>
      <c r="D397" s="1088"/>
      <c r="E397" s="1088"/>
      <c r="F397" s="1088"/>
      <c r="G397" s="1088"/>
      <c r="H397" s="1088"/>
      <c r="I397" s="201" t="s">
        <v>130</v>
      </c>
      <c r="J397" s="35" t="s">
        <v>18</v>
      </c>
      <c r="K397" s="226" t="s">
        <v>370</v>
      </c>
      <c r="L397" s="183">
        <v>44</v>
      </c>
      <c r="N397" s="182" t="s">
        <v>30</v>
      </c>
      <c r="O397" s="183">
        <v>44</v>
      </c>
      <c r="P397" s="45"/>
    </row>
    <row r="398" spans="1:32" ht="59.25" customHeight="1" x14ac:dyDescent="0.2">
      <c r="A398" s="45"/>
      <c r="B398" s="1105" t="s">
        <v>833</v>
      </c>
      <c r="C398" s="1106"/>
      <c r="D398" s="1106"/>
      <c r="E398" s="1106"/>
      <c r="F398" s="1106"/>
      <c r="G398" s="1106"/>
      <c r="H398" s="1106"/>
      <c r="I398" s="1106"/>
      <c r="J398" s="1107"/>
      <c r="K398" s="226" t="s">
        <v>370</v>
      </c>
      <c r="L398" s="183">
        <v>44</v>
      </c>
      <c r="M398" s="181"/>
      <c r="O398" s="183">
        <v>44</v>
      </c>
      <c r="P398" s="45"/>
    </row>
    <row r="399" spans="1:32" ht="30" customHeight="1" x14ac:dyDescent="0.2">
      <c r="A399" s="45"/>
      <c r="B399" s="976" t="s">
        <v>372</v>
      </c>
      <c r="C399" s="977"/>
      <c r="D399" s="977"/>
      <c r="E399" s="977"/>
      <c r="F399" s="977"/>
      <c r="G399" s="977"/>
      <c r="H399" s="977"/>
      <c r="I399" s="977"/>
      <c r="J399" s="978"/>
      <c r="K399" s="226" t="s">
        <v>370</v>
      </c>
      <c r="L399" s="183">
        <v>44</v>
      </c>
      <c r="M399" s="181"/>
      <c r="O399" s="183">
        <v>44</v>
      </c>
      <c r="P399" s="45"/>
    </row>
    <row r="400" spans="1:32" ht="30" customHeight="1" x14ac:dyDescent="0.2">
      <c r="A400" s="45"/>
      <c r="B400" s="202" t="s">
        <v>373</v>
      </c>
      <c r="C400" s="1103" t="s">
        <v>374</v>
      </c>
      <c r="D400" s="1104"/>
      <c r="E400" s="1177" t="s">
        <v>34</v>
      </c>
      <c r="F400" s="1177"/>
      <c r="G400" s="203"/>
      <c r="H400" s="204"/>
      <c r="I400" s="205">
        <v>30</v>
      </c>
      <c r="J400" s="75">
        <v>0.9</v>
      </c>
      <c r="K400" s="226" t="s">
        <v>370</v>
      </c>
      <c r="L400" s="183">
        <v>44</v>
      </c>
      <c r="M400" s="181"/>
      <c r="O400" s="183">
        <v>44</v>
      </c>
      <c r="P400" s="45"/>
    </row>
    <row r="401" spans="1:15" s="45" customFormat="1" ht="30" customHeight="1" x14ac:dyDescent="0.2">
      <c r="B401" s="202" t="s">
        <v>375</v>
      </c>
      <c r="C401" s="1103" t="s">
        <v>376</v>
      </c>
      <c r="D401" s="1104"/>
      <c r="E401" s="1104" t="s">
        <v>29</v>
      </c>
      <c r="F401" s="1104"/>
      <c r="G401" s="203"/>
      <c r="H401" s="204"/>
      <c r="I401" s="205">
        <v>50</v>
      </c>
      <c r="J401" s="75">
        <v>0.6</v>
      </c>
      <c r="K401" s="226" t="s">
        <v>370</v>
      </c>
      <c r="L401" s="183">
        <v>44</v>
      </c>
      <c r="M401" s="181"/>
      <c r="N401" s="67"/>
      <c r="O401" s="183">
        <v>44</v>
      </c>
    </row>
    <row r="402" spans="1:15" s="66" customFormat="1" ht="30" customHeight="1" x14ac:dyDescent="0.2">
      <c r="A402" s="149"/>
      <c r="B402" s="680" t="s">
        <v>512</v>
      </c>
      <c r="C402" s="1086" t="s">
        <v>383</v>
      </c>
      <c r="D402" s="1086"/>
      <c r="E402" s="1086"/>
      <c r="F402" s="1086"/>
      <c r="G402" s="1086"/>
      <c r="H402" s="1086"/>
      <c r="I402" s="681">
        <v>80</v>
      </c>
      <c r="J402" s="199">
        <v>0.5</v>
      </c>
      <c r="K402" s="226" t="s">
        <v>370</v>
      </c>
      <c r="L402" s="183">
        <v>44</v>
      </c>
      <c r="M402" s="181"/>
      <c r="N402" s="67"/>
      <c r="O402" s="183">
        <v>44</v>
      </c>
    </row>
    <row r="403" spans="1:15" s="66" customFormat="1" ht="30" customHeight="1" x14ac:dyDescent="0.2">
      <c r="B403" s="680" t="s">
        <v>788</v>
      </c>
      <c r="C403" s="1086" t="s">
        <v>383</v>
      </c>
      <c r="D403" s="1086"/>
      <c r="E403" s="1086"/>
      <c r="F403" s="1086"/>
      <c r="G403" s="1086"/>
      <c r="H403" s="1086"/>
      <c r="I403" s="681">
        <v>120</v>
      </c>
      <c r="J403" s="199">
        <v>0.5</v>
      </c>
      <c r="K403" s="226" t="s">
        <v>370</v>
      </c>
      <c r="L403" s="183">
        <v>44</v>
      </c>
      <c r="M403" s="181"/>
      <c r="N403" s="182"/>
      <c r="O403" s="183">
        <v>44</v>
      </c>
    </row>
    <row r="404" spans="1:15" s="45" customFormat="1" ht="30" customHeight="1" x14ac:dyDescent="0.2">
      <c r="B404" s="1164" t="s">
        <v>377</v>
      </c>
      <c r="C404" s="1728" t="s">
        <v>378</v>
      </c>
      <c r="D404" s="1729"/>
      <c r="E404" s="933" t="s">
        <v>42</v>
      </c>
      <c r="F404" s="933"/>
      <c r="G404" s="933" t="s">
        <v>63</v>
      </c>
      <c r="H404" s="934"/>
      <c r="I404" s="1093">
        <v>50</v>
      </c>
      <c r="J404" s="1092">
        <v>0.6</v>
      </c>
      <c r="K404" s="226" t="s">
        <v>370</v>
      </c>
      <c r="L404" s="183">
        <v>44</v>
      </c>
      <c r="M404" s="181"/>
      <c r="N404" s="67"/>
      <c r="O404" s="183">
        <v>44</v>
      </c>
    </row>
    <row r="405" spans="1:15" s="45" customFormat="1" ht="30" customHeight="1" x14ac:dyDescent="0.2">
      <c r="B405" s="1753"/>
      <c r="C405" s="1747" t="s">
        <v>379</v>
      </c>
      <c r="D405" s="1748"/>
      <c r="E405" s="1748" t="s">
        <v>380</v>
      </c>
      <c r="F405" s="1748"/>
      <c r="G405" s="1748" t="s">
        <v>56</v>
      </c>
      <c r="H405" s="1749"/>
      <c r="I405" s="1093"/>
      <c r="J405" s="1092"/>
      <c r="K405" s="226" t="s">
        <v>370</v>
      </c>
      <c r="L405" s="183">
        <v>44</v>
      </c>
      <c r="M405" s="181"/>
      <c r="N405" s="67"/>
      <c r="O405" s="183">
        <v>44</v>
      </c>
    </row>
    <row r="406" spans="1:15" s="45" customFormat="1" ht="30" customHeight="1" x14ac:dyDescent="0.2">
      <c r="B406" s="1165"/>
      <c r="C406" s="687" t="s">
        <v>43</v>
      </c>
      <c r="D406" s="688"/>
      <c r="E406" s="1750" t="s">
        <v>381</v>
      </c>
      <c r="F406" s="1750"/>
      <c r="G406" s="1750" t="s">
        <v>287</v>
      </c>
      <c r="H406" s="1751"/>
      <c r="I406" s="1093"/>
      <c r="J406" s="1092"/>
      <c r="K406" s="226" t="s">
        <v>370</v>
      </c>
      <c r="L406" s="183">
        <v>44</v>
      </c>
      <c r="M406" s="181"/>
      <c r="N406" s="67"/>
      <c r="O406" s="183">
        <v>44</v>
      </c>
    </row>
    <row r="407" spans="1:15" s="45" customFormat="1" ht="30" customHeight="1" x14ac:dyDescent="0.2">
      <c r="B407" s="163" t="s">
        <v>382</v>
      </c>
      <c r="C407" s="1086" t="s">
        <v>383</v>
      </c>
      <c r="D407" s="1086"/>
      <c r="E407" s="1086"/>
      <c r="F407" s="1086"/>
      <c r="G407" s="1086"/>
      <c r="H407" s="1086"/>
      <c r="I407" s="208">
        <v>60</v>
      </c>
      <c r="J407" s="75">
        <v>0.6</v>
      </c>
      <c r="K407" s="226" t="s">
        <v>370</v>
      </c>
      <c r="L407" s="183">
        <v>44</v>
      </c>
      <c r="M407" s="181"/>
      <c r="N407" s="67"/>
      <c r="O407" s="183">
        <v>44</v>
      </c>
    </row>
    <row r="408" spans="1:15" s="66" customFormat="1" ht="30" customHeight="1" x14ac:dyDescent="0.2">
      <c r="A408" s="149"/>
      <c r="B408" s="163" t="s">
        <v>670</v>
      </c>
      <c r="C408" s="1086" t="s">
        <v>383</v>
      </c>
      <c r="D408" s="1086"/>
      <c r="E408" s="1086"/>
      <c r="F408" s="1086"/>
      <c r="G408" s="1086"/>
      <c r="H408" s="1086"/>
      <c r="I408" s="392">
        <v>80</v>
      </c>
      <c r="J408" s="393">
        <v>0.5</v>
      </c>
      <c r="K408" s="226" t="s">
        <v>370</v>
      </c>
      <c r="L408" s="183">
        <v>44</v>
      </c>
      <c r="M408" s="181"/>
      <c r="N408" s="67"/>
      <c r="O408" s="183">
        <v>44</v>
      </c>
    </row>
    <row r="409" spans="1:15" s="66" customFormat="1" ht="30" customHeight="1" x14ac:dyDescent="0.2">
      <c r="B409" s="202" t="s">
        <v>789</v>
      </c>
      <c r="C409" s="1086" t="s">
        <v>383</v>
      </c>
      <c r="D409" s="1086"/>
      <c r="E409" s="1086"/>
      <c r="F409" s="1086"/>
      <c r="G409" s="1086"/>
      <c r="H409" s="1086"/>
      <c r="I409" s="682">
        <v>120</v>
      </c>
      <c r="J409" s="199">
        <v>0.5</v>
      </c>
      <c r="K409" s="226" t="s">
        <v>370</v>
      </c>
      <c r="L409" s="183">
        <v>44</v>
      </c>
      <c r="M409" s="181"/>
      <c r="N409" s="182"/>
      <c r="O409" s="183">
        <v>44</v>
      </c>
    </row>
    <row r="410" spans="1:15" s="45" customFormat="1" ht="30" customHeight="1" x14ac:dyDescent="0.2">
      <c r="B410" s="976" t="s">
        <v>384</v>
      </c>
      <c r="C410" s="977"/>
      <c r="D410" s="977"/>
      <c r="E410" s="1518"/>
      <c r="F410" s="1518"/>
      <c r="G410" s="977"/>
      <c r="H410" s="977"/>
      <c r="I410" s="977"/>
      <c r="J410" s="978"/>
      <c r="K410" s="226" t="s">
        <v>370</v>
      </c>
      <c r="L410" s="183">
        <v>44</v>
      </c>
      <c r="M410" s="181"/>
      <c r="N410" s="182" t="s">
        <v>30</v>
      </c>
      <c r="O410" s="183">
        <v>44</v>
      </c>
    </row>
    <row r="411" spans="1:15" s="45" customFormat="1" ht="30" customHeight="1" x14ac:dyDescent="0.2">
      <c r="B411" s="1081" t="s">
        <v>373</v>
      </c>
      <c r="C411" s="1067" t="s">
        <v>385</v>
      </c>
      <c r="D411" s="1068"/>
      <c r="E411" s="1068"/>
      <c r="F411" s="1068"/>
      <c r="G411" s="1068"/>
      <c r="H411" s="1069"/>
      <c r="I411" s="205">
        <v>0</v>
      </c>
      <c r="J411" s="75">
        <v>1</v>
      </c>
      <c r="K411" s="226" t="s">
        <v>370</v>
      </c>
      <c r="L411" s="183">
        <v>44</v>
      </c>
      <c r="M411" s="181"/>
      <c r="N411" s="67"/>
      <c r="O411" s="183">
        <v>44</v>
      </c>
    </row>
    <row r="412" spans="1:15" s="45" customFormat="1" ht="30" customHeight="1" x14ac:dyDescent="0.2">
      <c r="B412" s="1099"/>
      <c r="C412" s="1100" t="s">
        <v>386</v>
      </c>
      <c r="D412" s="1101"/>
      <c r="E412" s="1101"/>
      <c r="F412" s="1101"/>
      <c r="G412" s="1101"/>
      <c r="H412" s="1102"/>
      <c r="I412" s="205">
        <v>0</v>
      </c>
      <c r="J412" s="75">
        <v>0.7</v>
      </c>
      <c r="K412" s="226" t="s">
        <v>370</v>
      </c>
      <c r="L412" s="183">
        <v>44</v>
      </c>
      <c r="M412" s="181"/>
      <c r="N412" s="67"/>
      <c r="O412" s="183">
        <v>44</v>
      </c>
    </row>
    <row r="413" spans="1:15" s="45" customFormat="1" ht="30" customHeight="1" x14ac:dyDescent="0.2">
      <c r="B413" s="209" t="s">
        <v>375</v>
      </c>
      <c r="C413" s="1103" t="s">
        <v>376</v>
      </c>
      <c r="D413" s="1104"/>
      <c r="E413" s="1104" t="s">
        <v>29</v>
      </c>
      <c r="F413" s="1104"/>
      <c r="G413" s="210"/>
      <c r="H413" s="211"/>
      <c r="I413" s="212">
        <v>0</v>
      </c>
      <c r="J413" s="75">
        <v>0.5</v>
      </c>
      <c r="K413" s="226" t="s">
        <v>370</v>
      </c>
      <c r="L413" s="183">
        <v>44</v>
      </c>
      <c r="M413" s="181"/>
      <c r="N413" s="67"/>
      <c r="O413" s="183">
        <v>44</v>
      </c>
    </row>
    <row r="414" spans="1:15" s="66" customFormat="1" ht="30" customHeight="1" x14ac:dyDescent="0.2">
      <c r="A414" s="149"/>
      <c r="B414" s="202" t="s">
        <v>512</v>
      </c>
      <c r="C414" s="1086" t="s">
        <v>383</v>
      </c>
      <c r="D414" s="1086"/>
      <c r="E414" s="1086"/>
      <c r="F414" s="1086"/>
      <c r="G414" s="1086"/>
      <c r="H414" s="1086"/>
      <c r="I414" s="205">
        <v>0</v>
      </c>
      <c r="J414" s="75">
        <v>0.5</v>
      </c>
      <c r="K414" s="226" t="s">
        <v>370</v>
      </c>
      <c r="L414" s="183">
        <v>44</v>
      </c>
      <c r="M414" s="181"/>
      <c r="N414" s="67"/>
      <c r="O414" s="183">
        <v>44</v>
      </c>
    </row>
    <row r="415" spans="1:15" s="66" customFormat="1" ht="30" customHeight="1" x14ac:dyDescent="0.2">
      <c r="B415" s="202" t="s">
        <v>788</v>
      </c>
      <c r="C415" s="1086" t="s">
        <v>383</v>
      </c>
      <c r="D415" s="1086"/>
      <c r="E415" s="1086"/>
      <c r="F415" s="1086"/>
      <c r="G415" s="1086"/>
      <c r="H415" s="1086"/>
      <c r="I415" s="205">
        <v>0</v>
      </c>
      <c r="J415" s="75">
        <v>0.5</v>
      </c>
      <c r="K415" s="226" t="s">
        <v>370</v>
      </c>
      <c r="L415" s="183">
        <v>44</v>
      </c>
      <c r="M415" s="181"/>
      <c r="N415" s="182"/>
      <c r="O415" s="183">
        <v>44</v>
      </c>
    </row>
    <row r="416" spans="1:15" s="45" customFormat="1" ht="30" customHeight="1" x14ac:dyDescent="0.2">
      <c r="B416" s="202" t="s">
        <v>387</v>
      </c>
      <c r="C416" s="1094" t="s">
        <v>388</v>
      </c>
      <c r="D416" s="1095"/>
      <c r="E416" s="1095"/>
      <c r="F416" s="1095"/>
      <c r="G416" s="1095"/>
      <c r="H416" s="1096"/>
      <c r="I416" s="205">
        <v>0</v>
      </c>
      <c r="J416" s="75">
        <v>0.7</v>
      </c>
      <c r="K416" s="226" t="s">
        <v>370</v>
      </c>
      <c r="L416" s="183">
        <v>44</v>
      </c>
      <c r="M416" s="181"/>
      <c r="N416" s="67"/>
      <c r="O416" s="183">
        <v>44</v>
      </c>
    </row>
    <row r="417" spans="1:16" ht="30" customHeight="1" x14ac:dyDescent="0.2">
      <c r="A417" s="45"/>
      <c r="B417" s="202" t="s">
        <v>382</v>
      </c>
      <c r="C417" s="1086" t="s">
        <v>383</v>
      </c>
      <c r="D417" s="1086"/>
      <c r="E417" s="1086"/>
      <c r="F417" s="1086"/>
      <c r="G417" s="1086"/>
      <c r="H417" s="1086"/>
      <c r="I417" s="205">
        <v>0</v>
      </c>
      <c r="J417" s="75">
        <v>0.5</v>
      </c>
      <c r="K417" s="226" t="s">
        <v>370</v>
      </c>
      <c r="L417" s="183">
        <v>44</v>
      </c>
      <c r="M417" s="181"/>
      <c r="O417" s="183">
        <v>44</v>
      </c>
      <c r="P417" s="45"/>
    </row>
    <row r="418" spans="1:16" s="66" customFormat="1" ht="30" customHeight="1" x14ac:dyDescent="0.2">
      <c r="A418" s="149"/>
      <c r="B418" s="202" t="s">
        <v>670</v>
      </c>
      <c r="C418" s="1086" t="s">
        <v>383</v>
      </c>
      <c r="D418" s="1086"/>
      <c r="E418" s="1086"/>
      <c r="F418" s="1086"/>
      <c r="G418" s="1086"/>
      <c r="H418" s="1086"/>
      <c r="I418" s="205">
        <v>0</v>
      </c>
      <c r="J418" s="75">
        <v>0.5</v>
      </c>
      <c r="K418" s="226" t="s">
        <v>370</v>
      </c>
      <c r="L418" s="183">
        <v>44</v>
      </c>
      <c r="M418" s="181"/>
      <c r="N418" s="67"/>
      <c r="O418" s="183">
        <v>44</v>
      </c>
    </row>
    <row r="419" spans="1:16" s="66" customFormat="1" ht="30" customHeight="1" x14ac:dyDescent="0.2">
      <c r="B419" s="202" t="s">
        <v>789</v>
      </c>
      <c r="C419" s="1086" t="s">
        <v>383</v>
      </c>
      <c r="D419" s="1086"/>
      <c r="E419" s="1086"/>
      <c r="F419" s="1086"/>
      <c r="G419" s="1086"/>
      <c r="H419" s="1086"/>
      <c r="I419" s="205">
        <v>0</v>
      </c>
      <c r="J419" s="75">
        <v>0.5</v>
      </c>
      <c r="K419" s="226" t="s">
        <v>370</v>
      </c>
      <c r="L419" s="183">
        <v>44</v>
      </c>
      <c r="M419" s="181"/>
      <c r="N419" s="182"/>
      <c r="O419" s="183">
        <v>44</v>
      </c>
    </row>
    <row r="420" spans="1:16" ht="39.950000000000003" customHeight="1" x14ac:dyDescent="0.2">
      <c r="A420" s="45"/>
      <c r="B420" s="1089" t="s">
        <v>389</v>
      </c>
      <c r="C420" s="1090"/>
      <c r="D420" s="1090"/>
      <c r="E420" s="1090"/>
      <c r="F420" s="1090"/>
      <c r="G420" s="1090"/>
      <c r="H420" s="1091"/>
      <c r="I420" s="205">
        <v>0</v>
      </c>
      <c r="J420" s="75">
        <v>0.5</v>
      </c>
      <c r="K420" s="226" t="s">
        <v>370</v>
      </c>
      <c r="L420" s="183">
        <v>44</v>
      </c>
      <c r="M420" s="181"/>
      <c r="O420" s="183">
        <v>44</v>
      </c>
      <c r="P420" s="45"/>
    </row>
    <row r="421" spans="1:16" ht="30" customHeight="1" x14ac:dyDescent="0.2">
      <c r="A421" s="45"/>
      <c r="B421" s="1161" t="s">
        <v>390</v>
      </c>
      <c r="C421" s="1162"/>
      <c r="D421" s="1162"/>
      <c r="E421" s="1162"/>
      <c r="F421" s="1162"/>
      <c r="G421" s="1162"/>
      <c r="H421" s="1162"/>
      <c r="I421" s="1162"/>
      <c r="J421" s="1163"/>
      <c r="K421" s="226" t="s">
        <v>370</v>
      </c>
      <c r="L421" s="183">
        <v>44</v>
      </c>
      <c r="M421" s="181"/>
      <c r="N421" s="182" t="s">
        <v>30</v>
      </c>
      <c r="O421" s="183">
        <v>44</v>
      </c>
      <c r="P421" s="45"/>
    </row>
    <row r="422" spans="1:16" ht="30" customHeight="1" x14ac:dyDescent="0.2">
      <c r="A422" s="45"/>
      <c r="B422" s="202" t="s">
        <v>373</v>
      </c>
      <c r="C422" s="1097" t="s">
        <v>376</v>
      </c>
      <c r="D422" s="2013"/>
      <c r="E422" s="2013"/>
      <c r="F422" s="1098" t="s">
        <v>29</v>
      </c>
      <c r="G422" s="1098"/>
      <c r="H422" s="1098"/>
      <c r="I422" s="205">
        <v>400</v>
      </c>
      <c r="J422" s="75">
        <v>0.6</v>
      </c>
      <c r="K422" s="226" t="s">
        <v>370</v>
      </c>
      <c r="L422" s="183">
        <v>44</v>
      </c>
      <c r="M422" s="181"/>
      <c r="O422" s="183">
        <v>44</v>
      </c>
      <c r="P422" s="45"/>
    </row>
    <row r="423" spans="1:16" ht="30" customHeight="1" x14ac:dyDescent="0.2">
      <c r="A423" s="45"/>
      <c r="B423" s="202" t="s">
        <v>375</v>
      </c>
      <c r="C423" s="1086" t="s">
        <v>383</v>
      </c>
      <c r="D423" s="1086"/>
      <c r="E423" s="1086"/>
      <c r="F423" s="1086"/>
      <c r="G423" s="1086"/>
      <c r="H423" s="1086"/>
      <c r="I423" s="205">
        <v>500</v>
      </c>
      <c r="J423" s="75">
        <v>0.5</v>
      </c>
      <c r="K423" s="226" t="s">
        <v>370</v>
      </c>
      <c r="L423" s="183">
        <v>44</v>
      </c>
      <c r="M423" s="181"/>
      <c r="O423" s="183">
        <v>44</v>
      </c>
      <c r="P423" s="45"/>
    </row>
    <row r="424" spans="1:16" s="66" customFormat="1" ht="30" customHeight="1" x14ac:dyDescent="0.2">
      <c r="A424" s="149"/>
      <c r="B424" s="680" t="s">
        <v>512</v>
      </c>
      <c r="C424" s="1086" t="s">
        <v>383</v>
      </c>
      <c r="D424" s="1086"/>
      <c r="E424" s="1086"/>
      <c r="F424" s="1086"/>
      <c r="G424" s="1086"/>
      <c r="H424" s="1086"/>
      <c r="I424" s="681">
        <v>600</v>
      </c>
      <c r="J424" s="451">
        <v>0.5</v>
      </c>
      <c r="K424" s="226" t="s">
        <v>370</v>
      </c>
      <c r="L424" s="183">
        <v>44</v>
      </c>
      <c r="M424" s="181"/>
      <c r="N424" s="67"/>
      <c r="O424" s="183">
        <v>44</v>
      </c>
    </row>
    <row r="425" spans="1:16" s="66" customFormat="1" ht="30" customHeight="1" x14ac:dyDescent="0.2">
      <c r="B425" s="163" t="s">
        <v>788</v>
      </c>
      <c r="C425" s="1086" t="s">
        <v>383</v>
      </c>
      <c r="D425" s="1086"/>
      <c r="E425" s="1086"/>
      <c r="F425" s="1086"/>
      <c r="G425" s="1086"/>
      <c r="H425" s="1086"/>
      <c r="I425" s="682">
        <v>800</v>
      </c>
      <c r="J425" s="199">
        <v>0.5</v>
      </c>
      <c r="K425" s="226" t="s">
        <v>370</v>
      </c>
      <c r="L425" s="183">
        <v>44</v>
      </c>
      <c r="M425" s="181"/>
      <c r="N425" s="182"/>
      <c r="O425" s="183">
        <v>44</v>
      </c>
    </row>
    <row r="426" spans="1:16" ht="30" customHeight="1" x14ac:dyDescent="0.2">
      <c r="A426" s="45"/>
      <c r="B426" s="1760" t="s">
        <v>387</v>
      </c>
      <c r="C426" s="1728" t="s">
        <v>378</v>
      </c>
      <c r="D426" s="1729"/>
      <c r="E426" s="933" t="s">
        <v>42</v>
      </c>
      <c r="F426" s="933"/>
      <c r="G426" s="933" t="s">
        <v>63</v>
      </c>
      <c r="H426" s="934"/>
      <c r="I426" s="1093">
        <v>400</v>
      </c>
      <c r="J426" s="1092">
        <v>0.6</v>
      </c>
      <c r="K426" s="226" t="s">
        <v>370</v>
      </c>
      <c r="L426" s="183">
        <v>44</v>
      </c>
      <c r="M426" s="181"/>
      <c r="O426" s="183">
        <v>44</v>
      </c>
      <c r="P426" s="45"/>
    </row>
    <row r="427" spans="1:16" ht="30" customHeight="1" x14ac:dyDescent="0.2">
      <c r="A427" s="45"/>
      <c r="B427" s="1761"/>
      <c r="C427" s="1747" t="s">
        <v>379</v>
      </c>
      <c r="D427" s="1748"/>
      <c r="E427" s="1748" t="s">
        <v>380</v>
      </c>
      <c r="F427" s="1748"/>
      <c r="G427" s="1748" t="s">
        <v>56</v>
      </c>
      <c r="H427" s="1749"/>
      <c r="I427" s="1093"/>
      <c r="J427" s="1092"/>
      <c r="K427" s="226" t="s">
        <v>370</v>
      </c>
      <c r="L427" s="183">
        <v>44</v>
      </c>
      <c r="M427" s="181"/>
      <c r="O427" s="183">
        <v>44</v>
      </c>
      <c r="P427" s="45"/>
    </row>
    <row r="428" spans="1:16" ht="30" customHeight="1" x14ac:dyDescent="0.2">
      <c r="A428" s="45"/>
      <c r="B428" s="1761"/>
      <c r="C428" s="1752" t="s">
        <v>287</v>
      </c>
      <c r="D428" s="1750"/>
      <c r="E428" s="1750" t="s">
        <v>381</v>
      </c>
      <c r="F428" s="1750"/>
      <c r="G428" s="1750"/>
      <c r="H428" s="1751"/>
      <c r="I428" s="1093"/>
      <c r="J428" s="1092"/>
      <c r="K428" s="226" t="s">
        <v>370</v>
      </c>
      <c r="L428" s="183">
        <v>44</v>
      </c>
      <c r="M428" s="181"/>
      <c r="O428" s="183">
        <v>44</v>
      </c>
      <c r="P428" s="45"/>
    </row>
    <row r="429" spans="1:16" ht="30" customHeight="1" x14ac:dyDescent="0.2">
      <c r="A429" s="45"/>
      <c r="B429" s="202" t="s">
        <v>382</v>
      </c>
      <c r="C429" s="1086" t="s">
        <v>383</v>
      </c>
      <c r="D429" s="1086"/>
      <c r="E429" s="1086"/>
      <c r="F429" s="1086"/>
      <c r="G429" s="1086"/>
      <c r="H429" s="1086"/>
      <c r="I429" s="205">
        <v>500</v>
      </c>
      <c r="J429" s="75">
        <v>0.5</v>
      </c>
      <c r="K429" s="226" t="s">
        <v>370</v>
      </c>
      <c r="L429" s="183">
        <v>44</v>
      </c>
      <c r="M429" s="181"/>
      <c r="O429" s="183">
        <v>44</v>
      </c>
      <c r="P429" s="45"/>
    </row>
    <row r="430" spans="1:16" s="66" customFormat="1" ht="30" customHeight="1" x14ac:dyDescent="0.2">
      <c r="A430" s="149"/>
      <c r="B430" s="163" t="s">
        <v>670</v>
      </c>
      <c r="C430" s="1086" t="s">
        <v>383</v>
      </c>
      <c r="D430" s="1086"/>
      <c r="E430" s="1086"/>
      <c r="F430" s="1086"/>
      <c r="G430" s="1086"/>
      <c r="H430" s="1086"/>
      <c r="I430" s="392">
        <v>600</v>
      </c>
      <c r="J430" s="393">
        <v>0.5</v>
      </c>
      <c r="K430" s="226" t="s">
        <v>370</v>
      </c>
      <c r="L430" s="183">
        <v>44</v>
      </c>
      <c r="M430" s="181"/>
      <c r="N430" s="67"/>
      <c r="O430" s="183">
        <v>44</v>
      </c>
    </row>
    <row r="431" spans="1:16" s="66" customFormat="1" ht="30" customHeight="1" x14ac:dyDescent="0.2">
      <c r="B431" s="163" t="s">
        <v>789</v>
      </c>
      <c r="C431" s="1086" t="s">
        <v>383</v>
      </c>
      <c r="D431" s="1086"/>
      <c r="E431" s="1086"/>
      <c r="F431" s="1086"/>
      <c r="G431" s="1086"/>
      <c r="H431" s="1086"/>
      <c r="I431" s="682">
        <v>800</v>
      </c>
      <c r="J431" s="199">
        <v>0.5</v>
      </c>
      <c r="K431" s="226" t="s">
        <v>370</v>
      </c>
      <c r="L431" s="183">
        <v>44</v>
      </c>
      <c r="M431" s="181"/>
      <c r="N431" s="182"/>
      <c r="O431" s="183">
        <v>44</v>
      </c>
    </row>
    <row r="432" spans="1:16" ht="20.100000000000001" customHeight="1" x14ac:dyDescent="0.2">
      <c r="A432" s="45"/>
      <c r="B432" s="648"/>
      <c r="C432" s="648"/>
      <c r="D432" s="648"/>
      <c r="E432" s="648"/>
      <c r="F432" s="648"/>
      <c r="G432" s="648"/>
      <c r="H432" s="648"/>
      <c r="I432" s="648"/>
      <c r="J432" s="200"/>
      <c r="L432" s="561"/>
      <c r="M432" s="181"/>
      <c r="O432" s="561"/>
      <c r="P432" s="45"/>
    </row>
    <row r="433" spans="1:25" ht="30" customHeight="1" x14ac:dyDescent="0.2">
      <c r="A433" s="45"/>
      <c r="B433" s="1087" t="s">
        <v>391</v>
      </c>
      <c r="C433" s="1088"/>
      <c r="D433" s="1088"/>
      <c r="E433" s="1088"/>
      <c r="F433" s="1088"/>
      <c r="G433" s="1088"/>
      <c r="H433" s="1088"/>
      <c r="I433" s="201" t="s">
        <v>130</v>
      </c>
      <c r="J433" s="35" t="s">
        <v>18</v>
      </c>
      <c r="K433" s="686" t="s">
        <v>392</v>
      </c>
      <c r="L433" s="183">
        <v>46</v>
      </c>
      <c r="N433" s="182" t="s">
        <v>30</v>
      </c>
      <c r="O433" s="183">
        <v>46</v>
      </c>
      <c r="P433" s="45"/>
    </row>
    <row r="434" spans="1:25" ht="60" customHeight="1" x14ac:dyDescent="0.2">
      <c r="A434" s="45"/>
      <c r="B434" s="1089" t="s">
        <v>886</v>
      </c>
      <c r="C434" s="1090"/>
      <c r="D434" s="1090"/>
      <c r="E434" s="1090"/>
      <c r="F434" s="1090"/>
      <c r="G434" s="1090"/>
      <c r="H434" s="1090"/>
      <c r="I434" s="1090"/>
      <c r="J434" s="1091"/>
      <c r="K434" s="686" t="s">
        <v>392</v>
      </c>
      <c r="L434" s="183">
        <v>46</v>
      </c>
      <c r="N434" s="182"/>
      <c r="O434" s="183">
        <v>46</v>
      </c>
      <c r="P434" s="45"/>
    </row>
    <row r="435" spans="1:25" ht="30" customHeight="1" x14ac:dyDescent="0.2">
      <c r="A435" s="45"/>
      <c r="B435" s="1073" t="s">
        <v>394</v>
      </c>
      <c r="C435" s="1074"/>
      <c r="D435" s="1074"/>
      <c r="E435" s="1074"/>
      <c r="F435" s="1074"/>
      <c r="G435" s="1074"/>
      <c r="H435" s="1074"/>
      <c r="I435" s="1074"/>
      <c r="J435" s="1075"/>
      <c r="K435" s="686" t="s">
        <v>392</v>
      </c>
      <c r="L435" s="183">
        <v>46</v>
      </c>
      <c r="N435" s="182"/>
      <c r="O435" s="183">
        <v>46</v>
      </c>
      <c r="P435" s="45"/>
    </row>
    <row r="436" spans="1:25" ht="30" customHeight="1" x14ac:dyDescent="0.2">
      <c r="A436" s="45"/>
      <c r="B436" s="209" t="s">
        <v>395</v>
      </c>
      <c r="C436" s="1076" t="s">
        <v>74</v>
      </c>
      <c r="D436" s="1077"/>
      <c r="E436" s="1077" t="s">
        <v>399</v>
      </c>
      <c r="F436" s="1077"/>
      <c r="G436" s="1077"/>
      <c r="H436" s="1078"/>
      <c r="I436" s="214">
        <v>60</v>
      </c>
      <c r="J436" s="109">
        <v>0.6</v>
      </c>
      <c r="K436" s="686" t="s">
        <v>392</v>
      </c>
      <c r="L436" s="183">
        <v>46</v>
      </c>
      <c r="N436" s="182"/>
      <c r="O436" s="183">
        <v>46</v>
      </c>
      <c r="P436" s="45"/>
    </row>
    <row r="437" spans="1:25" ht="30" customHeight="1" x14ac:dyDescent="0.2">
      <c r="A437" s="45"/>
      <c r="B437" s="1760" t="s">
        <v>396</v>
      </c>
      <c r="C437" s="1728" t="s">
        <v>378</v>
      </c>
      <c r="D437" s="1729"/>
      <c r="E437" s="933" t="s">
        <v>42</v>
      </c>
      <c r="F437" s="933"/>
      <c r="G437" s="933" t="s">
        <v>63</v>
      </c>
      <c r="H437" s="934"/>
      <c r="I437" s="1083">
        <v>60</v>
      </c>
      <c r="J437" s="962">
        <v>0.6</v>
      </c>
      <c r="K437" s="686" t="s">
        <v>392</v>
      </c>
      <c r="L437" s="183">
        <v>46</v>
      </c>
      <c r="N437" s="182"/>
      <c r="O437" s="183">
        <v>46</v>
      </c>
      <c r="P437" s="45"/>
    </row>
    <row r="438" spans="1:25" ht="30" customHeight="1" x14ac:dyDescent="0.2">
      <c r="A438" s="45"/>
      <c r="B438" s="1761"/>
      <c r="C438" s="1747" t="s">
        <v>379</v>
      </c>
      <c r="D438" s="1748"/>
      <c r="E438" s="1748" t="s">
        <v>380</v>
      </c>
      <c r="F438" s="1748"/>
      <c r="G438" s="1748" t="s">
        <v>287</v>
      </c>
      <c r="H438" s="1749"/>
      <c r="I438" s="1084"/>
      <c r="J438" s="963"/>
      <c r="K438" s="686" t="s">
        <v>392</v>
      </c>
      <c r="L438" s="183">
        <v>46</v>
      </c>
      <c r="N438" s="182"/>
      <c r="O438" s="183">
        <v>46</v>
      </c>
      <c r="P438" s="45"/>
    </row>
    <row r="439" spans="1:25" ht="30" customHeight="1" x14ac:dyDescent="0.2">
      <c r="A439" s="45"/>
      <c r="B439" s="1762"/>
      <c r="C439" s="687" t="s">
        <v>43</v>
      </c>
      <c r="D439" s="688"/>
      <c r="E439" s="1750" t="s">
        <v>381</v>
      </c>
      <c r="F439" s="1750"/>
      <c r="G439" s="1750"/>
      <c r="H439" s="1751"/>
      <c r="I439" s="1085"/>
      <c r="J439" s="964"/>
      <c r="K439" s="686" t="s">
        <v>392</v>
      </c>
      <c r="L439" s="183">
        <v>46</v>
      </c>
      <c r="N439" s="182"/>
      <c r="O439" s="183">
        <v>46</v>
      </c>
      <c r="P439" s="45"/>
    </row>
    <row r="440" spans="1:25" ht="30" customHeight="1" x14ac:dyDescent="0.2">
      <c r="A440" s="45"/>
      <c r="B440" s="1073" t="s">
        <v>397</v>
      </c>
      <c r="C440" s="1074"/>
      <c r="D440" s="1074"/>
      <c r="E440" s="1074"/>
      <c r="F440" s="1074"/>
      <c r="G440" s="1074"/>
      <c r="H440" s="1074"/>
      <c r="I440" s="1074"/>
      <c r="J440" s="1075"/>
      <c r="K440" s="686" t="s">
        <v>392</v>
      </c>
      <c r="L440" s="183">
        <v>46</v>
      </c>
      <c r="N440" s="182" t="s">
        <v>30</v>
      </c>
      <c r="O440" s="183">
        <v>46</v>
      </c>
      <c r="P440" s="45"/>
    </row>
    <row r="441" spans="1:25" ht="39" customHeight="1" x14ac:dyDescent="0.2">
      <c r="A441" s="45"/>
      <c r="B441" s="202" t="s">
        <v>398</v>
      </c>
      <c r="C441" s="1076" t="s">
        <v>74</v>
      </c>
      <c r="D441" s="1077"/>
      <c r="E441" s="1077" t="s">
        <v>399</v>
      </c>
      <c r="F441" s="1077"/>
      <c r="G441" s="1077"/>
      <c r="H441" s="1078"/>
      <c r="I441" s="217">
        <v>75</v>
      </c>
      <c r="J441" s="75">
        <v>1</v>
      </c>
      <c r="K441" s="686" t="s">
        <v>392</v>
      </c>
      <c r="L441" s="183">
        <v>46</v>
      </c>
      <c r="N441" s="182"/>
      <c r="O441" s="183">
        <v>46</v>
      </c>
      <c r="P441" s="45"/>
    </row>
    <row r="442" spans="1:25" ht="30" customHeight="1" x14ac:dyDescent="0.2">
      <c r="A442" s="45"/>
      <c r="B442" s="1081" t="s">
        <v>400</v>
      </c>
      <c r="C442" s="928" t="s">
        <v>378</v>
      </c>
      <c r="D442" s="928"/>
      <c r="E442" s="986" t="s">
        <v>42</v>
      </c>
      <c r="F442" s="986"/>
      <c r="G442" s="986" t="s">
        <v>63</v>
      </c>
      <c r="H442" s="986"/>
      <c r="I442" s="1083">
        <v>75</v>
      </c>
      <c r="J442" s="962">
        <v>1</v>
      </c>
      <c r="K442" s="213" t="s">
        <v>392</v>
      </c>
      <c r="L442" s="37">
        <v>46</v>
      </c>
      <c r="N442" s="182"/>
      <c r="O442" s="37">
        <v>46</v>
      </c>
      <c r="U442" s="70"/>
      <c r="V442" s="70"/>
      <c r="W442" s="187"/>
      <c r="X442" s="69"/>
      <c r="Y442" s="69"/>
    </row>
    <row r="443" spans="1:25" ht="30" customHeight="1" x14ac:dyDescent="0.2">
      <c r="A443" s="45"/>
      <c r="B443" s="1082"/>
      <c r="C443" s="957" t="s">
        <v>379</v>
      </c>
      <c r="D443" s="957"/>
      <c r="E443" s="957" t="s">
        <v>380</v>
      </c>
      <c r="F443" s="957"/>
      <c r="G443" s="957" t="s">
        <v>401</v>
      </c>
      <c r="H443" s="957"/>
      <c r="I443" s="1084"/>
      <c r="J443" s="963"/>
      <c r="K443" s="213" t="s">
        <v>392</v>
      </c>
      <c r="L443" s="37">
        <v>46</v>
      </c>
      <c r="N443" s="182"/>
      <c r="O443" s="37">
        <v>46</v>
      </c>
      <c r="U443" s="70"/>
      <c r="V443" s="70"/>
      <c r="W443" s="187"/>
      <c r="X443" s="69"/>
      <c r="Y443" s="69"/>
    </row>
    <row r="444" spans="1:25" ht="30" customHeight="1" x14ac:dyDescent="0.2">
      <c r="B444" s="1082"/>
      <c r="C444" s="207" t="s">
        <v>43</v>
      </c>
      <c r="D444" s="207"/>
      <c r="E444" s="957" t="s">
        <v>381</v>
      </c>
      <c r="F444" s="957"/>
      <c r="G444" s="957" t="s">
        <v>287</v>
      </c>
      <c r="H444" s="957"/>
      <c r="I444" s="1084"/>
      <c r="J444" s="963"/>
      <c r="K444" s="213" t="s">
        <v>392</v>
      </c>
      <c r="L444" s="37">
        <v>46</v>
      </c>
      <c r="N444" s="182"/>
      <c r="O444" s="37">
        <v>46</v>
      </c>
      <c r="U444" s="70"/>
      <c r="V444" s="70"/>
      <c r="W444" s="187"/>
      <c r="X444" s="69"/>
      <c r="Y444" s="69"/>
    </row>
    <row r="445" spans="1:25" ht="30" customHeight="1" x14ac:dyDescent="0.2">
      <c r="B445" s="1082"/>
      <c r="C445" s="957" t="s">
        <v>402</v>
      </c>
      <c r="D445" s="957"/>
      <c r="E445" s="957" t="s">
        <v>403</v>
      </c>
      <c r="F445" s="957"/>
      <c r="G445" s="957" t="s">
        <v>66</v>
      </c>
      <c r="H445" s="958"/>
      <c r="I445" s="1084"/>
      <c r="J445" s="963"/>
      <c r="K445" s="213" t="s">
        <v>392</v>
      </c>
      <c r="L445" s="37">
        <v>46</v>
      </c>
      <c r="N445" s="182"/>
      <c r="O445" s="37">
        <v>46</v>
      </c>
      <c r="U445" s="70"/>
      <c r="V445" s="70"/>
      <c r="W445" s="187"/>
      <c r="X445" s="69"/>
      <c r="Y445" s="69"/>
    </row>
    <row r="446" spans="1:25" ht="30" customHeight="1" x14ac:dyDescent="0.2">
      <c r="A446" s="45"/>
      <c r="B446" s="976" t="s">
        <v>404</v>
      </c>
      <c r="C446" s="977"/>
      <c r="D446" s="977"/>
      <c r="E446" s="977"/>
      <c r="F446" s="977"/>
      <c r="G446" s="977"/>
      <c r="H446" s="977"/>
      <c r="I446" s="977"/>
      <c r="J446" s="978"/>
      <c r="K446" s="686" t="s">
        <v>392</v>
      </c>
      <c r="L446" s="183">
        <v>46</v>
      </c>
      <c r="N446" s="182" t="s">
        <v>30</v>
      </c>
      <c r="O446" s="183">
        <v>46</v>
      </c>
      <c r="P446" s="45"/>
    </row>
    <row r="447" spans="1:25" ht="30" customHeight="1" x14ac:dyDescent="0.2">
      <c r="A447" s="45"/>
      <c r="B447" s="538" t="s">
        <v>405</v>
      </c>
      <c r="C447" s="689" t="s">
        <v>406</v>
      </c>
      <c r="D447" s="690"/>
      <c r="E447" s="690" t="s">
        <v>407</v>
      </c>
      <c r="F447" s="691"/>
      <c r="G447" s="690"/>
      <c r="H447" s="692"/>
      <c r="I447" s="539">
        <v>0</v>
      </c>
      <c r="J447" s="75">
        <v>0.7</v>
      </c>
      <c r="K447" s="686" t="s">
        <v>392</v>
      </c>
      <c r="L447" s="183">
        <v>46</v>
      </c>
      <c r="N447" s="182"/>
      <c r="O447" s="183">
        <v>46</v>
      </c>
      <c r="P447" s="45"/>
    </row>
    <row r="448" spans="1:25" ht="30" customHeight="1" x14ac:dyDescent="0.2">
      <c r="A448" s="45"/>
      <c r="B448" s="1073" t="s">
        <v>408</v>
      </c>
      <c r="C448" s="1074"/>
      <c r="D448" s="1074"/>
      <c r="E448" s="1074"/>
      <c r="F448" s="1074"/>
      <c r="G448" s="1074"/>
      <c r="H448" s="1074"/>
      <c r="I448" s="1074"/>
      <c r="J448" s="1075"/>
      <c r="K448" s="686" t="s">
        <v>392</v>
      </c>
      <c r="L448" s="183">
        <v>46</v>
      </c>
      <c r="N448" s="182" t="s">
        <v>30</v>
      </c>
      <c r="O448" s="183">
        <v>46</v>
      </c>
      <c r="P448" s="45"/>
    </row>
    <row r="449" spans="1:25" ht="53.25" customHeight="1" x14ac:dyDescent="0.2">
      <c r="A449" s="45"/>
      <c r="B449" s="222" t="s">
        <v>395</v>
      </c>
      <c r="C449" s="1076" t="s">
        <v>74</v>
      </c>
      <c r="D449" s="1077"/>
      <c r="E449" s="1077" t="s">
        <v>399</v>
      </c>
      <c r="F449" s="1077"/>
      <c r="G449" s="1077"/>
      <c r="H449" s="1078"/>
      <c r="I449" s="223" t="s">
        <v>409</v>
      </c>
      <c r="J449" s="224">
        <v>0.6</v>
      </c>
      <c r="K449" s="686" t="s">
        <v>392</v>
      </c>
      <c r="L449" s="183">
        <v>46</v>
      </c>
      <c r="N449" s="182"/>
      <c r="O449" s="183">
        <v>46</v>
      </c>
      <c r="P449" s="45"/>
    </row>
    <row r="450" spans="1:25" ht="30" customHeight="1" x14ac:dyDescent="0.2">
      <c r="A450" s="45"/>
      <c r="B450" s="1164" t="s">
        <v>396</v>
      </c>
      <c r="C450" s="1729" t="s">
        <v>378</v>
      </c>
      <c r="D450" s="1729"/>
      <c r="E450" s="933" t="s">
        <v>42</v>
      </c>
      <c r="F450" s="933"/>
      <c r="G450" s="933" t="s">
        <v>63</v>
      </c>
      <c r="H450" s="933"/>
      <c r="I450" s="1079" t="s">
        <v>409</v>
      </c>
      <c r="J450" s="1071">
        <v>0.6</v>
      </c>
      <c r="K450" s="686" t="s">
        <v>392</v>
      </c>
      <c r="L450" s="183">
        <v>46</v>
      </c>
      <c r="N450" s="182"/>
      <c r="O450" s="183">
        <v>46</v>
      </c>
      <c r="P450" s="45"/>
    </row>
    <row r="451" spans="1:25" ht="30" customHeight="1" x14ac:dyDescent="0.2">
      <c r="A451" s="45"/>
      <c r="B451" s="1753"/>
      <c r="C451" s="1748" t="s">
        <v>379</v>
      </c>
      <c r="D451" s="1748"/>
      <c r="E451" s="1748" t="s">
        <v>380</v>
      </c>
      <c r="F451" s="1748"/>
      <c r="G451" s="1748" t="s">
        <v>403</v>
      </c>
      <c r="H451" s="1748"/>
      <c r="I451" s="1080"/>
      <c r="J451" s="1072"/>
      <c r="K451" s="686" t="s">
        <v>392</v>
      </c>
      <c r="L451" s="183">
        <v>46</v>
      </c>
      <c r="N451" s="182"/>
      <c r="O451" s="183">
        <v>46</v>
      </c>
      <c r="P451" s="45"/>
    </row>
    <row r="452" spans="1:25" ht="30" customHeight="1" x14ac:dyDescent="0.2">
      <c r="A452" s="45"/>
      <c r="B452" s="1753"/>
      <c r="C452" s="1747" t="s">
        <v>402</v>
      </c>
      <c r="D452" s="1748"/>
      <c r="E452" s="1748" t="s">
        <v>381</v>
      </c>
      <c r="F452" s="1748"/>
      <c r="G452" s="1748" t="s">
        <v>287</v>
      </c>
      <c r="H452" s="1748"/>
      <c r="I452" s="1080"/>
      <c r="J452" s="1072"/>
      <c r="K452" s="686" t="s">
        <v>392</v>
      </c>
      <c r="L452" s="183">
        <v>46</v>
      </c>
      <c r="N452" s="182"/>
      <c r="O452" s="183">
        <v>46</v>
      </c>
      <c r="P452" s="45"/>
    </row>
    <row r="453" spans="1:25" ht="30" customHeight="1" x14ac:dyDescent="0.2">
      <c r="A453" s="45"/>
      <c r="B453" s="1067" t="s">
        <v>411</v>
      </c>
      <c r="C453" s="1068"/>
      <c r="D453" s="1068"/>
      <c r="E453" s="1068"/>
      <c r="F453" s="1068"/>
      <c r="G453" s="1068"/>
      <c r="H453" s="1068"/>
      <c r="I453" s="1068"/>
      <c r="J453" s="1069"/>
      <c r="K453" s="686" t="s">
        <v>392</v>
      </c>
      <c r="L453" s="183">
        <v>46</v>
      </c>
      <c r="N453" s="182"/>
      <c r="O453" s="183">
        <v>46</v>
      </c>
      <c r="P453" s="45"/>
    </row>
    <row r="454" spans="1:25" ht="20.100000000000001" customHeight="1" x14ac:dyDescent="0.2">
      <c r="A454" s="45"/>
      <c r="B454" s="648"/>
      <c r="C454" s="648"/>
      <c r="D454" s="648"/>
      <c r="E454" s="648"/>
      <c r="F454" s="648"/>
      <c r="G454" s="648"/>
      <c r="H454" s="648"/>
      <c r="I454" s="648"/>
      <c r="J454" s="200"/>
      <c r="L454" s="561"/>
      <c r="M454" s="181"/>
      <c r="O454" s="561"/>
      <c r="P454" s="45"/>
    </row>
    <row r="455" spans="1:25" ht="30" customHeight="1" x14ac:dyDescent="0.2">
      <c r="A455" s="45"/>
      <c r="B455" s="1807" t="s">
        <v>412</v>
      </c>
      <c r="C455" s="1807"/>
      <c r="D455" s="1807"/>
      <c r="E455" s="1807"/>
      <c r="F455" s="1807"/>
      <c r="G455" s="1807"/>
      <c r="H455" s="1807"/>
      <c r="I455" s="679" t="s">
        <v>152</v>
      </c>
      <c r="J455" s="35" t="s">
        <v>18</v>
      </c>
      <c r="K455" s="226" t="s">
        <v>413</v>
      </c>
      <c r="L455" s="183">
        <v>16</v>
      </c>
      <c r="M455" s="225"/>
      <c r="N455" s="182" t="s">
        <v>30</v>
      </c>
      <c r="O455" s="183">
        <v>16</v>
      </c>
    </row>
    <row r="456" spans="1:25" ht="24.95" customHeight="1" x14ac:dyDescent="0.2">
      <c r="A456" s="45"/>
      <c r="B456" s="1725" t="s">
        <v>414</v>
      </c>
      <c r="C456" s="1726"/>
      <c r="D456" s="1726"/>
      <c r="E456" s="1726"/>
      <c r="F456" s="1726"/>
      <c r="G456" s="1726"/>
      <c r="H456" s="1726"/>
      <c r="I456" s="1726"/>
      <c r="J456" s="1727"/>
      <c r="K456" s="226" t="s">
        <v>413</v>
      </c>
      <c r="L456" s="183">
        <v>16</v>
      </c>
      <c r="O456" s="183">
        <v>16</v>
      </c>
      <c r="U456" s="820"/>
      <c r="V456" s="184"/>
      <c r="W456" s="693"/>
      <c r="X456" s="694"/>
      <c r="Y456" s="69"/>
    </row>
    <row r="457" spans="1:25" ht="30" customHeight="1" x14ac:dyDescent="0.2">
      <c r="B457" s="538" t="s">
        <v>415</v>
      </c>
      <c r="C457" s="1798" t="s">
        <v>416</v>
      </c>
      <c r="D457" s="1781"/>
      <c r="E457" s="1781"/>
      <c r="F457" s="1781"/>
      <c r="G457" s="1781"/>
      <c r="H457" s="1782"/>
      <c r="I457" s="409">
        <v>50</v>
      </c>
      <c r="J457" s="42">
        <v>1</v>
      </c>
      <c r="K457" s="226" t="s">
        <v>413</v>
      </c>
      <c r="L457" s="183">
        <v>16</v>
      </c>
      <c r="O457" s="183">
        <v>16</v>
      </c>
      <c r="U457" s="820"/>
      <c r="V457" s="820"/>
      <c r="W457" s="821"/>
      <c r="X457" s="69"/>
      <c r="Y457" s="69"/>
    </row>
    <row r="458" spans="1:25" ht="24.95" customHeight="1" x14ac:dyDescent="0.2">
      <c r="A458" s="45"/>
      <c r="B458" s="1725" t="s">
        <v>417</v>
      </c>
      <c r="C458" s="1726"/>
      <c r="D458" s="1726"/>
      <c r="E458" s="1726"/>
      <c r="F458" s="1726"/>
      <c r="G458" s="1726"/>
      <c r="H458" s="1726"/>
      <c r="I458" s="1726"/>
      <c r="J458" s="1727"/>
      <c r="K458" s="226" t="s">
        <v>413</v>
      </c>
      <c r="L458" s="183">
        <v>16</v>
      </c>
      <c r="N458" s="182" t="s">
        <v>30</v>
      </c>
      <c r="O458" s="183">
        <v>16</v>
      </c>
      <c r="U458" s="820"/>
      <c r="V458" s="820"/>
      <c r="W458" s="821"/>
      <c r="X458" s="69"/>
      <c r="Y458" s="69"/>
    </row>
    <row r="459" spans="1:25" ht="30" customHeight="1" x14ac:dyDescent="0.2">
      <c r="A459" s="45"/>
      <c r="B459" s="695" t="s">
        <v>418</v>
      </c>
      <c r="C459" s="696" t="s">
        <v>419</v>
      </c>
      <c r="D459" s="697"/>
      <c r="E459" s="697"/>
      <c r="F459" s="697"/>
      <c r="G459" s="697"/>
      <c r="H459" s="698"/>
      <c r="I459" s="409">
        <v>50</v>
      </c>
      <c r="J459" s="42">
        <v>1</v>
      </c>
      <c r="K459" s="226" t="s">
        <v>413</v>
      </c>
      <c r="L459" s="183">
        <v>16</v>
      </c>
      <c r="N459" s="182"/>
      <c r="O459" s="183">
        <v>16</v>
      </c>
      <c r="U459" s="820"/>
      <c r="V459" s="820"/>
      <c r="W459" s="821"/>
      <c r="X459" s="69"/>
      <c r="Y459" s="69"/>
    </row>
    <row r="460" spans="1:25" ht="30" customHeight="1" x14ac:dyDescent="0.2">
      <c r="A460" s="45"/>
      <c r="B460" s="699" t="s">
        <v>420</v>
      </c>
      <c r="C460" s="1798" t="s">
        <v>416</v>
      </c>
      <c r="D460" s="1781"/>
      <c r="E460" s="1781"/>
      <c r="F460" s="1781"/>
      <c r="G460" s="1781"/>
      <c r="H460" s="1782"/>
      <c r="I460" s="409">
        <v>75</v>
      </c>
      <c r="J460" s="42">
        <v>1</v>
      </c>
      <c r="K460" s="226" t="s">
        <v>413</v>
      </c>
      <c r="L460" s="183">
        <v>16</v>
      </c>
      <c r="N460" s="182"/>
      <c r="O460" s="183">
        <v>16</v>
      </c>
      <c r="U460" s="820"/>
      <c r="V460" s="820"/>
      <c r="W460" s="821"/>
      <c r="X460" s="69"/>
      <c r="Y460" s="69"/>
    </row>
    <row r="461" spans="1:25" ht="30" customHeight="1" x14ac:dyDescent="0.2">
      <c r="A461" s="45"/>
      <c r="B461" s="699" t="s">
        <v>421</v>
      </c>
      <c r="C461" s="1805" t="s">
        <v>422</v>
      </c>
      <c r="D461" s="1806"/>
      <c r="E461" s="1806"/>
      <c r="F461" s="1806"/>
      <c r="G461" s="1806"/>
      <c r="H461" s="1806"/>
      <c r="I461" s="164">
        <v>40</v>
      </c>
      <c r="J461" s="42">
        <v>1</v>
      </c>
      <c r="K461" s="226" t="s">
        <v>413</v>
      </c>
      <c r="L461" s="183">
        <v>16</v>
      </c>
      <c r="N461" s="182"/>
      <c r="O461" s="183">
        <v>16</v>
      </c>
      <c r="U461" s="820"/>
      <c r="V461" s="820"/>
      <c r="W461" s="821"/>
      <c r="X461" s="69"/>
      <c r="Y461" s="69"/>
    </row>
    <row r="462" spans="1:25" ht="24.95" customHeight="1" x14ac:dyDescent="0.2">
      <c r="A462" s="45"/>
      <c r="B462" s="1725" t="s">
        <v>423</v>
      </c>
      <c r="C462" s="1726"/>
      <c r="D462" s="1726"/>
      <c r="E462" s="1726"/>
      <c r="F462" s="1726"/>
      <c r="G462" s="1726"/>
      <c r="H462" s="1726"/>
      <c r="I462" s="1726"/>
      <c r="J462" s="1727"/>
      <c r="K462" s="226" t="s">
        <v>413</v>
      </c>
      <c r="L462" s="183">
        <v>16</v>
      </c>
      <c r="N462" s="182" t="s">
        <v>30</v>
      </c>
      <c r="O462" s="183">
        <v>16</v>
      </c>
      <c r="U462" s="820"/>
      <c r="V462" s="820"/>
      <c r="W462" s="821"/>
      <c r="X462" s="69"/>
      <c r="Y462" s="69"/>
    </row>
    <row r="463" spans="1:25" ht="30" customHeight="1" x14ac:dyDescent="0.2">
      <c r="A463" s="45"/>
      <c r="B463" s="695" t="s">
        <v>418</v>
      </c>
      <c r="C463" s="1798" t="s">
        <v>419</v>
      </c>
      <c r="D463" s="1781"/>
      <c r="E463" s="1781"/>
      <c r="F463" s="1781"/>
      <c r="G463" s="1781"/>
      <c r="H463" s="1782"/>
      <c r="I463" s="409">
        <v>70</v>
      </c>
      <c r="J463" s="199">
        <v>1</v>
      </c>
      <c r="K463" s="226" t="s">
        <v>413</v>
      </c>
      <c r="L463" s="183">
        <v>16</v>
      </c>
      <c r="N463" s="182"/>
      <c r="O463" s="183">
        <v>16</v>
      </c>
      <c r="U463" s="820"/>
      <c r="V463" s="820"/>
      <c r="W463" s="821"/>
      <c r="X463" s="69"/>
      <c r="Y463" s="69"/>
    </row>
    <row r="464" spans="1:25" ht="30" customHeight="1" x14ac:dyDescent="0.2">
      <c r="A464" s="45"/>
      <c r="B464" s="540" t="s">
        <v>420</v>
      </c>
      <c r="C464" s="1798" t="s">
        <v>416</v>
      </c>
      <c r="D464" s="1781"/>
      <c r="E464" s="1781"/>
      <c r="F464" s="1781"/>
      <c r="G464" s="1781"/>
      <c r="H464" s="1782"/>
      <c r="I464" s="409">
        <v>75</v>
      </c>
      <c r="J464" s="199">
        <v>1</v>
      </c>
      <c r="K464" s="226" t="s">
        <v>413</v>
      </c>
      <c r="L464" s="183">
        <v>16</v>
      </c>
      <c r="N464" s="182"/>
      <c r="O464" s="183">
        <v>16</v>
      </c>
      <c r="U464" s="820"/>
      <c r="V464" s="820"/>
      <c r="W464" s="821"/>
      <c r="X464" s="69"/>
      <c r="Y464" s="69"/>
    </row>
    <row r="465" spans="1:25" ht="24.95" customHeight="1" x14ac:dyDescent="0.2">
      <c r="A465" s="45"/>
      <c r="B465" s="1795" t="s">
        <v>424</v>
      </c>
      <c r="C465" s="1796"/>
      <c r="D465" s="1796"/>
      <c r="E465" s="1796"/>
      <c r="F465" s="1796"/>
      <c r="G465" s="1796"/>
      <c r="H465" s="1796"/>
      <c r="I465" s="1796"/>
      <c r="J465" s="1797"/>
      <c r="K465" s="226" t="s">
        <v>413</v>
      </c>
      <c r="L465" s="183">
        <v>16</v>
      </c>
      <c r="N465" s="182" t="s">
        <v>30</v>
      </c>
      <c r="O465" s="183">
        <v>16</v>
      </c>
      <c r="U465" s="820"/>
      <c r="V465" s="820"/>
      <c r="W465" s="821"/>
      <c r="X465" s="69"/>
      <c r="Y465" s="69"/>
    </row>
    <row r="466" spans="1:25" ht="30" customHeight="1" x14ac:dyDescent="0.2">
      <c r="A466" s="45"/>
      <c r="B466" s="695" t="s">
        <v>418</v>
      </c>
      <c r="C466" s="1798" t="s">
        <v>419</v>
      </c>
      <c r="D466" s="1781"/>
      <c r="E466" s="1781"/>
      <c r="F466" s="1781"/>
      <c r="G466" s="1781"/>
      <c r="H466" s="1782"/>
      <c r="I466" s="164">
        <v>50</v>
      </c>
      <c r="J466" s="199">
        <v>1</v>
      </c>
      <c r="K466" s="226" t="s">
        <v>413</v>
      </c>
      <c r="L466" s="183">
        <v>16</v>
      </c>
      <c r="N466" s="182"/>
      <c r="O466" s="183">
        <v>16</v>
      </c>
      <c r="U466" s="820"/>
      <c r="V466" s="820"/>
      <c r="W466" s="821"/>
      <c r="X466" s="69"/>
      <c r="Y466" s="69"/>
    </row>
    <row r="467" spans="1:25" ht="30" customHeight="1" x14ac:dyDescent="0.2">
      <c r="A467" s="45"/>
      <c r="B467" s="540" t="s">
        <v>425</v>
      </c>
      <c r="C467" s="1798" t="s">
        <v>416</v>
      </c>
      <c r="D467" s="1781"/>
      <c r="E467" s="1781"/>
      <c r="F467" s="1781"/>
      <c r="G467" s="1781"/>
      <c r="H467" s="1782"/>
      <c r="I467" s="409">
        <v>75</v>
      </c>
      <c r="J467" s="199">
        <v>1</v>
      </c>
      <c r="K467" s="226" t="s">
        <v>413</v>
      </c>
      <c r="L467" s="183">
        <v>16</v>
      </c>
      <c r="N467" s="182"/>
      <c r="O467" s="183">
        <v>16</v>
      </c>
      <c r="U467" s="820"/>
      <c r="V467" s="820"/>
      <c r="W467" s="821"/>
      <c r="X467" s="69"/>
      <c r="Y467" s="69"/>
    </row>
    <row r="468" spans="1:25" ht="30" customHeight="1" x14ac:dyDescent="0.2">
      <c r="B468" s="540" t="s">
        <v>426</v>
      </c>
      <c r="C468" s="1706" t="s">
        <v>427</v>
      </c>
      <c r="D468" s="1792"/>
      <c r="E468" s="1792"/>
      <c r="F468" s="1792"/>
      <c r="G468" s="1792"/>
      <c r="H468" s="1792"/>
      <c r="I468" s="164">
        <v>70</v>
      </c>
      <c r="J468" s="199">
        <v>1</v>
      </c>
      <c r="K468" s="226" t="s">
        <v>413</v>
      </c>
      <c r="L468" s="183">
        <v>16</v>
      </c>
      <c r="N468" s="182"/>
      <c r="O468" s="183">
        <v>16</v>
      </c>
      <c r="U468" s="820"/>
      <c r="V468" s="820"/>
      <c r="W468" s="821"/>
      <c r="X468" s="69"/>
      <c r="Y468" s="69"/>
    </row>
    <row r="469" spans="1:25" ht="30" customHeight="1" x14ac:dyDescent="0.2">
      <c r="B469" s="1801" t="s">
        <v>428</v>
      </c>
      <c r="C469" s="1802"/>
      <c r="D469" s="1802"/>
      <c r="E469" s="1802"/>
      <c r="F469" s="1802"/>
      <c r="G469" s="1802"/>
      <c r="H469" s="1802"/>
      <c r="I469" s="1802"/>
      <c r="J469" s="1803"/>
      <c r="K469" s="226" t="s">
        <v>413</v>
      </c>
      <c r="L469" s="183">
        <v>16</v>
      </c>
      <c r="N469" s="182" t="s">
        <v>30</v>
      </c>
      <c r="O469" s="183">
        <v>16</v>
      </c>
      <c r="U469" s="820"/>
      <c r="V469" s="820"/>
      <c r="W469" s="821"/>
      <c r="X469" s="69"/>
      <c r="Y469" s="69"/>
    </row>
    <row r="470" spans="1:25" ht="30" customHeight="1" x14ac:dyDescent="0.2">
      <c r="B470" s="695" t="s">
        <v>418</v>
      </c>
      <c r="C470" s="1798" t="s">
        <v>419</v>
      </c>
      <c r="D470" s="1781"/>
      <c r="E470" s="1781"/>
      <c r="F470" s="1781"/>
      <c r="G470" s="1781"/>
      <c r="H470" s="1782"/>
      <c r="I470" s="409">
        <v>40</v>
      </c>
      <c r="J470" s="199">
        <v>1</v>
      </c>
      <c r="K470" s="226" t="s">
        <v>413</v>
      </c>
      <c r="L470" s="183">
        <v>16</v>
      </c>
      <c r="N470" s="182"/>
      <c r="O470" s="183">
        <v>16</v>
      </c>
      <c r="U470" s="820"/>
      <c r="V470" s="820"/>
      <c r="W470" s="821"/>
      <c r="X470" s="69"/>
      <c r="Y470" s="69"/>
    </row>
    <row r="471" spans="1:25" ht="30" customHeight="1" x14ac:dyDescent="0.2">
      <c r="B471" s="540" t="s">
        <v>420</v>
      </c>
      <c r="C471" s="1798" t="s">
        <v>416</v>
      </c>
      <c r="D471" s="1781"/>
      <c r="E471" s="1781"/>
      <c r="F471" s="1781"/>
      <c r="G471" s="1781"/>
      <c r="H471" s="1782"/>
      <c r="I471" s="409">
        <v>150</v>
      </c>
      <c r="J471" s="199">
        <v>1</v>
      </c>
      <c r="K471" s="226" t="s">
        <v>413</v>
      </c>
      <c r="L471" s="183">
        <v>16</v>
      </c>
      <c r="N471" s="182"/>
      <c r="O471" s="183">
        <v>16</v>
      </c>
      <c r="U471" s="820"/>
      <c r="V471" s="820"/>
      <c r="W471" s="821"/>
      <c r="X471" s="69"/>
      <c r="Y471" s="69"/>
    </row>
    <row r="472" spans="1:25" ht="30" customHeight="1" x14ac:dyDescent="0.2">
      <c r="B472" s="620" t="s">
        <v>429</v>
      </c>
      <c r="C472" s="1252" t="s">
        <v>422</v>
      </c>
      <c r="D472" s="1804"/>
      <c r="E472" s="1804"/>
      <c r="F472" s="1804"/>
      <c r="G472" s="1804"/>
      <c r="H472" s="1804"/>
      <c r="I472" s="539">
        <v>40</v>
      </c>
      <c r="J472" s="199">
        <v>1</v>
      </c>
      <c r="K472" s="226" t="s">
        <v>413</v>
      </c>
      <c r="L472" s="183">
        <v>16</v>
      </c>
      <c r="N472" s="182"/>
      <c r="O472" s="183">
        <v>16</v>
      </c>
      <c r="U472" s="820"/>
      <c r="V472" s="820"/>
      <c r="W472" s="821"/>
      <c r="X472" s="69"/>
      <c r="Y472" s="69"/>
    </row>
    <row r="473" spans="1:25" ht="30" customHeight="1" x14ac:dyDescent="0.2">
      <c r="B473" s="1795" t="s">
        <v>430</v>
      </c>
      <c r="C473" s="1796"/>
      <c r="D473" s="1796"/>
      <c r="E473" s="1796"/>
      <c r="F473" s="1796"/>
      <c r="G473" s="1796"/>
      <c r="H473" s="1796"/>
      <c r="I473" s="1796"/>
      <c r="J473" s="1797"/>
      <c r="K473" s="226" t="s">
        <v>413</v>
      </c>
      <c r="L473" s="183">
        <v>16</v>
      </c>
      <c r="N473" s="182" t="s">
        <v>30</v>
      </c>
      <c r="O473" s="183">
        <v>16</v>
      </c>
      <c r="U473" s="820"/>
      <c r="V473" s="820"/>
      <c r="W473" s="821"/>
      <c r="X473" s="69"/>
      <c r="Y473" s="69"/>
    </row>
    <row r="474" spans="1:25" ht="30" customHeight="1" x14ac:dyDescent="0.2">
      <c r="B474" s="695" t="s">
        <v>418</v>
      </c>
      <c r="C474" s="1798" t="s">
        <v>419</v>
      </c>
      <c r="D474" s="1781"/>
      <c r="E474" s="1781"/>
      <c r="F474" s="1781"/>
      <c r="G474" s="1781"/>
      <c r="H474" s="1782"/>
      <c r="I474" s="409">
        <v>50</v>
      </c>
      <c r="J474" s="42">
        <v>1</v>
      </c>
      <c r="K474" s="226" t="s">
        <v>413</v>
      </c>
      <c r="L474" s="183">
        <v>16</v>
      </c>
      <c r="N474" s="182"/>
      <c r="O474" s="183">
        <v>16</v>
      </c>
      <c r="U474" s="820"/>
      <c r="V474" s="820"/>
      <c r="W474" s="821"/>
      <c r="X474" s="69"/>
      <c r="Y474" s="69"/>
    </row>
    <row r="475" spans="1:25" ht="30" customHeight="1" x14ac:dyDescent="0.2">
      <c r="B475" s="540" t="s">
        <v>420</v>
      </c>
      <c r="C475" s="1798" t="s">
        <v>416</v>
      </c>
      <c r="D475" s="1781"/>
      <c r="E475" s="1781"/>
      <c r="F475" s="1781"/>
      <c r="G475" s="1781"/>
      <c r="H475" s="1782"/>
      <c r="I475" s="409">
        <v>100</v>
      </c>
      <c r="J475" s="42">
        <v>1</v>
      </c>
      <c r="K475" s="226" t="s">
        <v>413</v>
      </c>
      <c r="L475" s="183">
        <v>16</v>
      </c>
      <c r="N475" s="182"/>
      <c r="O475" s="183">
        <v>16</v>
      </c>
      <c r="U475" s="820"/>
      <c r="V475" s="820"/>
      <c r="W475" s="821"/>
      <c r="X475" s="69"/>
      <c r="Y475" s="69"/>
    </row>
    <row r="476" spans="1:25" ht="30" customHeight="1" x14ac:dyDescent="0.2">
      <c r="B476" s="1788" t="s">
        <v>431</v>
      </c>
      <c r="C476" s="1799"/>
      <c r="D476" s="1799"/>
      <c r="E476" s="1799"/>
      <c r="F476" s="1799"/>
      <c r="G476" s="1799"/>
      <c r="H476" s="1799"/>
      <c r="I476" s="1799"/>
      <c r="J476" s="1800"/>
      <c r="K476" s="226" t="s">
        <v>413</v>
      </c>
      <c r="L476" s="183">
        <v>16</v>
      </c>
      <c r="N476" s="182" t="s">
        <v>30</v>
      </c>
      <c r="O476" s="183">
        <v>16</v>
      </c>
      <c r="U476" s="820"/>
      <c r="V476" s="820"/>
      <c r="W476" s="821"/>
      <c r="X476" s="69"/>
      <c r="Y476" s="69"/>
    </row>
    <row r="477" spans="1:25" ht="30" customHeight="1" x14ac:dyDescent="0.2">
      <c r="B477" s="1791" t="s">
        <v>432</v>
      </c>
      <c r="C477" s="1706" t="s">
        <v>433</v>
      </c>
      <c r="D477" s="1706"/>
      <c r="E477" s="1706"/>
      <c r="F477" s="1706"/>
      <c r="G477" s="1706"/>
      <c r="H477" s="1706"/>
      <c r="I477" s="409">
        <v>50</v>
      </c>
      <c r="J477" s="42">
        <v>1</v>
      </c>
      <c r="K477" s="226" t="s">
        <v>413</v>
      </c>
      <c r="L477" s="183">
        <v>16</v>
      </c>
      <c r="N477" s="182"/>
      <c r="O477" s="183">
        <v>16</v>
      </c>
      <c r="U477" s="820"/>
      <c r="V477" s="820"/>
      <c r="W477" s="821"/>
      <c r="X477" s="69"/>
      <c r="Y477" s="69"/>
    </row>
    <row r="478" spans="1:25" ht="30" customHeight="1" x14ac:dyDescent="0.2">
      <c r="B478" s="1644"/>
      <c r="C478" s="1706" t="s">
        <v>434</v>
      </c>
      <c r="D478" s="1706"/>
      <c r="E478" s="1706"/>
      <c r="F478" s="1706"/>
      <c r="G478" s="1706"/>
      <c r="H478" s="1706"/>
      <c r="I478" s="409">
        <v>50</v>
      </c>
      <c r="J478" s="42">
        <v>1</v>
      </c>
      <c r="K478" s="226" t="s">
        <v>413</v>
      </c>
      <c r="L478" s="183">
        <v>16</v>
      </c>
      <c r="N478" s="182"/>
      <c r="O478" s="183">
        <v>16</v>
      </c>
      <c r="U478" s="820"/>
      <c r="V478" s="820"/>
      <c r="W478" s="821"/>
      <c r="X478" s="69"/>
      <c r="Y478" s="69"/>
    </row>
    <row r="479" spans="1:25" ht="30" customHeight="1" x14ac:dyDescent="0.2">
      <c r="B479" s="1644"/>
      <c r="C479" s="1706" t="s">
        <v>435</v>
      </c>
      <c r="D479" s="1706"/>
      <c r="E479" s="1706"/>
      <c r="F479" s="1706"/>
      <c r="G479" s="1706"/>
      <c r="H479" s="1706"/>
      <c r="I479" s="409">
        <v>50</v>
      </c>
      <c r="J479" s="42">
        <v>1</v>
      </c>
      <c r="K479" s="226" t="s">
        <v>413</v>
      </c>
      <c r="L479" s="183">
        <v>16</v>
      </c>
      <c r="N479" s="182"/>
      <c r="O479" s="183">
        <v>16</v>
      </c>
      <c r="U479" s="820"/>
      <c r="V479" s="820"/>
      <c r="W479" s="821"/>
      <c r="X479" s="69"/>
      <c r="Y479" s="69"/>
    </row>
    <row r="480" spans="1:25" ht="30" customHeight="1" x14ac:dyDescent="0.2">
      <c r="B480" s="1644"/>
      <c r="C480" s="1706" t="s">
        <v>436</v>
      </c>
      <c r="D480" s="1706"/>
      <c r="E480" s="1706"/>
      <c r="F480" s="1706"/>
      <c r="G480" s="1706"/>
      <c r="H480" s="1706"/>
      <c r="I480" s="409">
        <v>50</v>
      </c>
      <c r="J480" s="42">
        <v>1</v>
      </c>
      <c r="K480" s="226" t="s">
        <v>413</v>
      </c>
      <c r="L480" s="183">
        <v>16</v>
      </c>
      <c r="N480" s="182"/>
      <c r="O480" s="183">
        <v>16</v>
      </c>
      <c r="U480" s="820"/>
      <c r="V480" s="820"/>
      <c r="W480" s="821"/>
      <c r="X480" s="69"/>
      <c r="Y480" s="69"/>
    </row>
    <row r="481" spans="2:25" ht="30" customHeight="1" x14ac:dyDescent="0.2">
      <c r="B481" s="1644"/>
      <c r="C481" s="1706" t="s">
        <v>437</v>
      </c>
      <c r="D481" s="1706"/>
      <c r="E481" s="1706"/>
      <c r="F481" s="1706"/>
      <c r="G481" s="1706"/>
      <c r="H481" s="1706"/>
      <c r="I481" s="409">
        <v>50</v>
      </c>
      <c r="J481" s="42">
        <v>1</v>
      </c>
      <c r="K481" s="226" t="s">
        <v>413</v>
      </c>
      <c r="L481" s="183">
        <v>16</v>
      </c>
      <c r="N481" s="182"/>
      <c r="O481" s="183">
        <v>16</v>
      </c>
      <c r="U481" s="820"/>
      <c r="V481" s="820"/>
      <c r="W481" s="821"/>
      <c r="X481" s="69"/>
      <c r="Y481" s="69"/>
    </row>
    <row r="482" spans="2:25" ht="30" customHeight="1" x14ac:dyDescent="0.2">
      <c r="B482" s="1644"/>
      <c r="C482" s="1706" t="s">
        <v>438</v>
      </c>
      <c r="D482" s="1706"/>
      <c r="E482" s="1706"/>
      <c r="F482" s="1706"/>
      <c r="G482" s="1706"/>
      <c r="H482" s="1706"/>
      <c r="I482" s="409">
        <v>50</v>
      </c>
      <c r="J482" s="42">
        <v>1</v>
      </c>
      <c r="K482" s="226" t="s">
        <v>413</v>
      </c>
      <c r="L482" s="183">
        <v>16</v>
      </c>
      <c r="N482" s="182"/>
      <c r="O482" s="183">
        <v>16</v>
      </c>
      <c r="U482" s="820"/>
      <c r="V482" s="820"/>
      <c r="W482" s="821"/>
      <c r="X482" s="69"/>
      <c r="Y482" s="69"/>
    </row>
    <row r="483" spans="2:25" ht="30" customHeight="1" x14ac:dyDescent="0.2">
      <c r="B483" s="1644"/>
      <c r="C483" s="1706" t="s">
        <v>439</v>
      </c>
      <c r="D483" s="1706"/>
      <c r="E483" s="1706"/>
      <c r="F483" s="1706"/>
      <c r="G483" s="1706"/>
      <c r="H483" s="1706"/>
      <c r="I483" s="409">
        <v>50</v>
      </c>
      <c r="J483" s="42">
        <v>1</v>
      </c>
      <c r="K483" s="226" t="s">
        <v>413</v>
      </c>
      <c r="L483" s="183">
        <v>16</v>
      </c>
      <c r="N483" s="182"/>
      <c r="O483" s="183">
        <v>16</v>
      </c>
      <c r="U483" s="820"/>
      <c r="V483" s="820"/>
      <c r="W483" s="821"/>
      <c r="X483" s="69"/>
      <c r="Y483" s="69"/>
    </row>
    <row r="484" spans="2:25" ht="30" customHeight="1" x14ac:dyDescent="0.2">
      <c r="B484" s="1783" t="s">
        <v>440</v>
      </c>
      <c r="C484" s="1635" t="s">
        <v>441</v>
      </c>
      <c r="D484" s="1636"/>
      <c r="E484" s="1636"/>
      <c r="F484" s="1636"/>
      <c r="G484" s="1636"/>
      <c r="H484" s="1637"/>
      <c r="I484" s="409">
        <v>500</v>
      </c>
      <c r="J484" s="42">
        <v>1</v>
      </c>
      <c r="K484" s="226" t="s">
        <v>413</v>
      </c>
      <c r="L484" s="183">
        <v>16</v>
      </c>
      <c r="N484" s="182" t="s">
        <v>30</v>
      </c>
      <c r="O484" s="183">
        <v>16</v>
      </c>
      <c r="U484" s="820"/>
      <c r="V484" s="820"/>
      <c r="W484" s="821"/>
      <c r="X484" s="69"/>
      <c r="Y484" s="69"/>
    </row>
    <row r="485" spans="2:25" ht="30" customHeight="1" x14ac:dyDescent="0.2">
      <c r="B485" s="1793"/>
      <c r="C485" s="1635" t="s">
        <v>438</v>
      </c>
      <c r="D485" s="1636"/>
      <c r="E485" s="1636"/>
      <c r="F485" s="1636"/>
      <c r="G485" s="1636"/>
      <c r="H485" s="1637"/>
      <c r="I485" s="409">
        <v>100</v>
      </c>
      <c r="J485" s="42">
        <v>1</v>
      </c>
      <c r="K485" s="226" t="s">
        <v>413</v>
      </c>
      <c r="L485" s="183">
        <v>16</v>
      </c>
      <c r="O485" s="183">
        <v>16</v>
      </c>
      <c r="U485" s="820"/>
      <c r="V485" s="820"/>
      <c r="W485" s="821"/>
      <c r="X485" s="69"/>
      <c r="Y485" s="69"/>
    </row>
    <row r="486" spans="2:25" ht="30" customHeight="1" x14ac:dyDescent="0.2">
      <c r="B486" s="1794"/>
      <c r="C486" s="1635" t="s">
        <v>442</v>
      </c>
      <c r="D486" s="1636"/>
      <c r="E486" s="1636"/>
      <c r="F486" s="1636"/>
      <c r="G486" s="1636"/>
      <c r="H486" s="1637"/>
      <c r="I486" s="409">
        <v>75</v>
      </c>
      <c r="J486" s="42">
        <v>1</v>
      </c>
      <c r="K486" s="226" t="s">
        <v>413</v>
      </c>
      <c r="L486" s="183">
        <v>16</v>
      </c>
      <c r="O486" s="183">
        <v>16</v>
      </c>
      <c r="U486" s="820"/>
      <c r="V486" s="820"/>
      <c r="W486" s="821"/>
      <c r="X486" s="69"/>
      <c r="Y486" s="69"/>
    </row>
    <row r="487" spans="2:25" ht="30" customHeight="1" x14ac:dyDescent="0.2">
      <c r="B487" s="1788" t="s">
        <v>443</v>
      </c>
      <c r="C487" s="1789"/>
      <c r="D487" s="1789"/>
      <c r="E487" s="1789"/>
      <c r="F487" s="1789"/>
      <c r="G487" s="1789"/>
      <c r="H487" s="1789"/>
      <c r="I487" s="1789"/>
      <c r="J487" s="1790"/>
      <c r="K487" s="226" t="s">
        <v>413</v>
      </c>
      <c r="L487" s="183">
        <v>16</v>
      </c>
      <c r="N487" s="182" t="s">
        <v>30</v>
      </c>
      <c r="O487" s="183">
        <v>16</v>
      </c>
      <c r="U487" s="820"/>
      <c r="V487" s="820"/>
      <c r="W487" s="821"/>
      <c r="X487" s="69"/>
      <c r="Y487" s="69"/>
    </row>
    <row r="488" spans="2:25" ht="30" customHeight="1" x14ac:dyDescent="0.2">
      <c r="B488" s="1791" t="s">
        <v>432</v>
      </c>
      <c r="C488" s="1706" t="s">
        <v>433</v>
      </c>
      <c r="D488" s="1706"/>
      <c r="E488" s="1706"/>
      <c r="F488" s="1706"/>
      <c r="G488" s="1706"/>
      <c r="H488" s="1706"/>
      <c r="I488" s="409">
        <v>50</v>
      </c>
      <c r="J488" s="42">
        <v>1</v>
      </c>
      <c r="K488" s="226" t="s">
        <v>413</v>
      </c>
      <c r="L488" s="183">
        <v>16</v>
      </c>
      <c r="O488" s="183">
        <v>16</v>
      </c>
      <c r="U488" s="820"/>
      <c r="V488" s="820"/>
      <c r="W488" s="821"/>
      <c r="X488" s="69"/>
      <c r="Y488" s="69"/>
    </row>
    <row r="489" spans="2:25" ht="30" customHeight="1" x14ac:dyDescent="0.2">
      <c r="B489" s="1644"/>
      <c r="C489" s="1706" t="s">
        <v>434</v>
      </c>
      <c r="D489" s="1706"/>
      <c r="E489" s="1706"/>
      <c r="F489" s="1706"/>
      <c r="G489" s="1706"/>
      <c r="H489" s="1706"/>
      <c r="I489" s="409">
        <v>50</v>
      </c>
      <c r="J489" s="42">
        <v>1</v>
      </c>
      <c r="K489" s="226" t="s">
        <v>413</v>
      </c>
      <c r="L489" s="183">
        <v>16</v>
      </c>
      <c r="O489" s="183">
        <v>16</v>
      </c>
      <c r="U489" s="820"/>
      <c r="V489" s="820"/>
      <c r="W489" s="821"/>
      <c r="X489" s="69"/>
      <c r="Y489" s="69"/>
    </row>
    <row r="490" spans="2:25" ht="30" customHeight="1" x14ac:dyDescent="0.2">
      <c r="B490" s="1644"/>
      <c r="C490" s="1706" t="s">
        <v>444</v>
      </c>
      <c r="D490" s="1706"/>
      <c r="E490" s="1706"/>
      <c r="F490" s="1706"/>
      <c r="G490" s="1706"/>
      <c r="H490" s="1706"/>
      <c r="I490" s="409">
        <v>50</v>
      </c>
      <c r="J490" s="42">
        <v>1</v>
      </c>
      <c r="K490" s="226" t="s">
        <v>413</v>
      </c>
      <c r="L490" s="183">
        <v>16</v>
      </c>
      <c r="O490" s="183">
        <v>16</v>
      </c>
      <c r="U490" s="820"/>
      <c r="V490" s="820"/>
      <c r="W490" s="821"/>
      <c r="X490" s="69"/>
      <c r="Y490" s="69"/>
    </row>
    <row r="491" spans="2:25" ht="30" customHeight="1" x14ac:dyDescent="0.2">
      <c r="B491" s="1644"/>
      <c r="C491" s="1706" t="s">
        <v>436</v>
      </c>
      <c r="D491" s="1706"/>
      <c r="E491" s="1706"/>
      <c r="F491" s="1706"/>
      <c r="G491" s="1706"/>
      <c r="H491" s="1706"/>
      <c r="I491" s="409">
        <v>50</v>
      </c>
      <c r="J491" s="42">
        <v>1</v>
      </c>
      <c r="K491" s="226" t="s">
        <v>413</v>
      </c>
      <c r="L491" s="183">
        <v>16</v>
      </c>
      <c r="N491" s="45"/>
      <c r="O491" s="183">
        <v>16</v>
      </c>
      <c r="U491" s="820"/>
      <c r="V491" s="820"/>
      <c r="W491" s="821"/>
      <c r="X491" s="69"/>
      <c r="Y491" s="69"/>
    </row>
    <row r="492" spans="2:25" ht="30" customHeight="1" x14ac:dyDescent="0.2">
      <c r="B492" s="1644"/>
      <c r="C492" s="1792" t="s">
        <v>439</v>
      </c>
      <c r="D492" s="1792"/>
      <c r="E492" s="1792"/>
      <c r="F492" s="1792"/>
      <c r="G492" s="1792"/>
      <c r="H492" s="1792"/>
      <c r="I492" s="409">
        <v>50</v>
      </c>
      <c r="J492" s="42">
        <v>1</v>
      </c>
      <c r="K492" s="226" t="s">
        <v>413</v>
      </c>
      <c r="L492" s="183">
        <v>16</v>
      </c>
      <c r="O492" s="183">
        <v>16</v>
      </c>
      <c r="U492" s="820"/>
      <c r="V492" s="820"/>
      <c r="W492" s="821"/>
      <c r="X492" s="69"/>
      <c r="Y492" s="69"/>
    </row>
    <row r="493" spans="2:25" ht="30" customHeight="1" x14ac:dyDescent="0.2">
      <c r="B493" s="1783" t="s">
        <v>440</v>
      </c>
      <c r="C493" s="1635" t="s">
        <v>438</v>
      </c>
      <c r="D493" s="1636"/>
      <c r="E493" s="1636"/>
      <c r="F493" s="1636"/>
      <c r="G493" s="1636"/>
      <c r="H493" s="1637"/>
      <c r="I493" s="409">
        <v>100</v>
      </c>
      <c r="J493" s="42">
        <v>1</v>
      </c>
      <c r="K493" s="226" t="s">
        <v>413</v>
      </c>
      <c r="L493" s="183">
        <v>16</v>
      </c>
      <c r="N493" s="182" t="s">
        <v>30</v>
      </c>
      <c r="O493" s="183">
        <v>16</v>
      </c>
      <c r="U493" s="820"/>
      <c r="V493" s="820"/>
      <c r="W493" s="821"/>
      <c r="X493" s="69"/>
      <c r="Y493" s="69"/>
    </row>
    <row r="494" spans="2:25" ht="30" customHeight="1" x14ac:dyDescent="0.2">
      <c r="B494" s="1785"/>
      <c r="C494" s="1635" t="s">
        <v>439</v>
      </c>
      <c r="D494" s="1636"/>
      <c r="E494" s="1636"/>
      <c r="F494" s="1636"/>
      <c r="G494" s="1636"/>
      <c r="H494" s="1637"/>
      <c r="I494" s="409">
        <v>75</v>
      </c>
      <c r="J494" s="42">
        <v>1</v>
      </c>
      <c r="K494" s="226" t="s">
        <v>413</v>
      </c>
      <c r="L494" s="183">
        <v>16</v>
      </c>
      <c r="O494" s="183">
        <v>16</v>
      </c>
      <c r="U494" s="820"/>
      <c r="V494" s="820"/>
      <c r="W494" s="821"/>
      <c r="X494" s="69"/>
      <c r="Y494" s="69"/>
    </row>
    <row r="495" spans="2:25" ht="45" customHeight="1" x14ac:dyDescent="0.2">
      <c r="B495" s="1635" t="s">
        <v>445</v>
      </c>
      <c r="C495" s="1636"/>
      <c r="D495" s="1636"/>
      <c r="E495" s="1636"/>
      <c r="F495" s="1636"/>
      <c r="G495" s="1636"/>
      <c r="H495" s="1636"/>
      <c r="I495" s="1636"/>
      <c r="J495" s="1637"/>
      <c r="K495" s="226" t="s">
        <v>413</v>
      </c>
      <c r="L495" s="183">
        <v>16</v>
      </c>
      <c r="N495" s="182"/>
      <c r="O495" s="183">
        <v>16</v>
      </c>
      <c r="U495" s="820"/>
      <c r="V495" s="820"/>
      <c r="W495" s="821"/>
      <c r="X495" s="69"/>
      <c r="Y495" s="69"/>
    </row>
    <row r="496" spans="2:25" ht="20.100000000000001" customHeight="1" x14ac:dyDescent="0.2">
      <c r="B496" s="648"/>
      <c r="C496" s="648"/>
      <c r="D496" s="648"/>
      <c r="E496" s="648"/>
      <c r="F496" s="648"/>
      <c r="G496" s="648"/>
      <c r="H496" s="593"/>
      <c r="I496" s="700"/>
      <c r="N496" s="149"/>
    </row>
    <row r="497" spans="1:25" ht="30" customHeight="1" x14ac:dyDescent="0.2">
      <c r="A497" s="45"/>
      <c r="B497" s="1662" t="s">
        <v>446</v>
      </c>
      <c r="C497" s="1663"/>
      <c r="D497" s="1663"/>
      <c r="E497" s="1663"/>
      <c r="F497" s="1663"/>
      <c r="G497" s="1663"/>
      <c r="H497" s="1664"/>
      <c r="I497" s="406" t="s">
        <v>17</v>
      </c>
      <c r="J497" s="35" t="s">
        <v>18</v>
      </c>
      <c r="K497" s="226" t="s">
        <v>447</v>
      </c>
      <c r="L497" s="183">
        <v>17</v>
      </c>
      <c r="N497" s="182" t="s">
        <v>30</v>
      </c>
      <c r="O497" s="183">
        <v>17</v>
      </c>
    </row>
    <row r="498" spans="1:25" ht="30" customHeight="1" x14ac:dyDescent="0.2">
      <c r="A498" s="45"/>
      <c r="B498" s="1725" t="s">
        <v>448</v>
      </c>
      <c r="C498" s="1726"/>
      <c r="D498" s="1726"/>
      <c r="E498" s="1726"/>
      <c r="F498" s="1726"/>
      <c r="G498" s="1726"/>
      <c r="H498" s="1726"/>
      <c r="I498" s="1726"/>
      <c r="J498" s="1727"/>
      <c r="K498" s="226" t="s">
        <v>447</v>
      </c>
      <c r="L498" s="183">
        <v>17</v>
      </c>
      <c r="O498" s="183">
        <v>17</v>
      </c>
    </row>
    <row r="499" spans="1:25" ht="39.950000000000003" customHeight="1" x14ac:dyDescent="0.2">
      <c r="A499" s="45"/>
      <c r="B499" s="538" t="s">
        <v>449</v>
      </c>
      <c r="C499" s="1169" t="s">
        <v>450</v>
      </c>
      <c r="D499" s="1170"/>
      <c r="E499" s="1170"/>
      <c r="F499" s="1170"/>
      <c r="G499" s="1170"/>
      <c r="H499" s="1171"/>
      <c r="I499" s="409">
        <v>0</v>
      </c>
      <c r="J499" s="42">
        <v>1</v>
      </c>
      <c r="K499" s="226" t="s">
        <v>447</v>
      </c>
      <c r="L499" s="183">
        <v>17</v>
      </c>
      <c r="O499" s="183">
        <v>17</v>
      </c>
    </row>
    <row r="500" spans="1:25" ht="39.950000000000003" customHeight="1" x14ac:dyDescent="0.2">
      <c r="A500" s="45"/>
      <c r="B500" s="538" t="s">
        <v>451</v>
      </c>
      <c r="C500" s="1635" t="s">
        <v>887</v>
      </c>
      <c r="D500" s="1636"/>
      <c r="E500" s="1636"/>
      <c r="F500" s="1636"/>
      <c r="G500" s="1636"/>
      <c r="H500" s="1637"/>
      <c r="I500" s="409">
        <v>0</v>
      </c>
      <c r="J500" s="42">
        <v>1</v>
      </c>
      <c r="K500" s="226" t="s">
        <v>447</v>
      </c>
      <c r="L500" s="183">
        <v>17</v>
      </c>
      <c r="N500" s="182"/>
      <c r="O500" s="183">
        <v>17</v>
      </c>
    </row>
    <row r="501" spans="1:25" ht="20.100000000000001" customHeight="1" x14ac:dyDescent="0.2">
      <c r="A501" s="45"/>
      <c r="B501" s="591"/>
      <c r="C501" s="648"/>
      <c r="D501" s="648"/>
      <c r="E501" s="648"/>
      <c r="F501" s="648"/>
      <c r="G501" s="648"/>
      <c r="H501" s="648"/>
      <c r="I501" s="593"/>
      <c r="J501" s="65"/>
    </row>
    <row r="502" spans="1:25" ht="30" customHeight="1" x14ac:dyDescent="0.2">
      <c r="A502" s="45"/>
      <c r="B502" s="1662" t="s">
        <v>453</v>
      </c>
      <c r="C502" s="1663"/>
      <c r="D502" s="1663"/>
      <c r="E502" s="1663"/>
      <c r="F502" s="1663"/>
      <c r="G502" s="1663"/>
      <c r="H502" s="1664"/>
      <c r="I502" s="406" t="s">
        <v>17</v>
      </c>
      <c r="J502" s="35" t="s">
        <v>18</v>
      </c>
      <c r="K502" s="237" t="s">
        <v>454</v>
      </c>
      <c r="L502" s="238">
        <v>18</v>
      </c>
      <c r="N502" s="182" t="s">
        <v>30</v>
      </c>
      <c r="O502" s="238">
        <v>18</v>
      </c>
    </row>
    <row r="503" spans="1:25" ht="30" customHeight="1" x14ac:dyDescent="0.2">
      <c r="A503" s="45"/>
      <c r="B503" s="1635" t="s">
        <v>455</v>
      </c>
      <c r="C503" s="1781"/>
      <c r="D503" s="1781"/>
      <c r="E503" s="1781"/>
      <c r="F503" s="1781"/>
      <c r="G503" s="1781"/>
      <c r="H503" s="1781"/>
      <c r="I503" s="1781"/>
      <c r="J503" s="1782"/>
      <c r="K503" s="237" t="s">
        <v>454</v>
      </c>
      <c r="L503" s="238">
        <v>18</v>
      </c>
      <c r="O503" s="238">
        <v>18</v>
      </c>
    </row>
    <row r="504" spans="1:25" ht="30" customHeight="1" x14ac:dyDescent="0.2">
      <c r="B504" s="1783" t="s">
        <v>456</v>
      </c>
      <c r="C504" s="542" t="s">
        <v>458</v>
      </c>
      <c r="D504" s="235"/>
      <c r="E504" s="235" t="s">
        <v>92</v>
      </c>
      <c r="F504" s="235"/>
      <c r="G504" s="1786" t="s">
        <v>457</v>
      </c>
      <c r="H504" s="1787"/>
      <c r="I504" s="1698">
        <v>0</v>
      </c>
      <c r="J504" s="915">
        <v>1</v>
      </c>
      <c r="K504" s="237" t="s">
        <v>454</v>
      </c>
      <c r="L504" s="238">
        <v>18</v>
      </c>
      <c r="O504" s="238">
        <v>18</v>
      </c>
      <c r="U504" s="70"/>
      <c r="W504" s="239"/>
      <c r="X504" s="694"/>
      <c r="Y504" s="69"/>
    </row>
    <row r="505" spans="1:25" ht="30" customHeight="1" x14ac:dyDescent="0.2">
      <c r="B505" s="1784"/>
      <c r="C505" s="1774" t="s">
        <v>459</v>
      </c>
      <c r="D505" s="1775"/>
      <c r="E505" s="1779" t="s">
        <v>27</v>
      </c>
      <c r="F505" s="1779"/>
      <c r="G505" s="1775" t="s">
        <v>460</v>
      </c>
      <c r="H505" s="1776"/>
      <c r="I505" s="1699"/>
      <c r="J505" s="1045"/>
      <c r="K505" s="237" t="s">
        <v>454</v>
      </c>
      <c r="L505" s="238">
        <v>18</v>
      </c>
      <c r="O505" s="238">
        <v>18</v>
      </c>
      <c r="U505" s="70"/>
      <c r="V505" s="701"/>
      <c r="W505" s="239"/>
      <c r="X505" s="694"/>
      <c r="Y505" s="69"/>
    </row>
    <row r="506" spans="1:25" ht="30" customHeight="1" x14ac:dyDescent="0.2">
      <c r="A506" s="45"/>
      <c r="B506" s="1784"/>
      <c r="C506" s="1778" t="s">
        <v>72</v>
      </c>
      <c r="D506" s="1779"/>
      <c r="E506" s="1775" t="s">
        <v>461</v>
      </c>
      <c r="F506" s="1775"/>
      <c r="G506" s="1775" t="s">
        <v>462</v>
      </c>
      <c r="H506" s="1776"/>
      <c r="I506" s="1699"/>
      <c r="J506" s="1045"/>
      <c r="K506" s="237" t="s">
        <v>454</v>
      </c>
      <c r="L506" s="238">
        <v>18</v>
      </c>
      <c r="O506" s="238">
        <v>18</v>
      </c>
      <c r="U506" s="70"/>
      <c r="V506" s="1780"/>
      <c r="W506" s="702"/>
      <c r="X506" s="703"/>
      <c r="Y506" s="69"/>
    </row>
    <row r="507" spans="1:25" ht="30" customHeight="1" x14ac:dyDescent="0.2">
      <c r="A507" s="45"/>
      <c r="B507" s="1784"/>
      <c r="C507" s="1778" t="s">
        <v>323</v>
      </c>
      <c r="D507" s="1779"/>
      <c r="E507" s="1775" t="s">
        <v>88</v>
      </c>
      <c r="F507" s="1775"/>
      <c r="G507" s="1775" t="s">
        <v>80</v>
      </c>
      <c r="H507" s="1776"/>
      <c r="I507" s="1699"/>
      <c r="J507" s="1045"/>
      <c r="K507" s="237" t="s">
        <v>454</v>
      </c>
      <c r="L507" s="238">
        <v>18</v>
      </c>
      <c r="O507" s="238">
        <v>18</v>
      </c>
      <c r="U507" s="70"/>
      <c r="V507" s="1780"/>
      <c r="W507" s="239"/>
      <c r="X507" s="243"/>
      <c r="Y507" s="69"/>
    </row>
    <row r="508" spans="1:25" ht="30" customHeight="1" x14ac:dyDescent="0.2">
      <c r="A508" s="45"/>
      <c r="B508" s="1784"/>
      <c r="C508" s="1774" t="s">
        <v>663</v>
      </c>
      <c r="D508" s="1775"/>
      <c r="E508" s="45" t="s">
        <v>587</v>
      </c>
      <c r="F508" s="543"/>
      <c r="G508" s="1775" t="s">
        <v>662</v>
      </c>
      <c r="H508" s="1776"/>
      <c r="I508" s="1699"/>
      <c r="J508" s="1045"/>
      <c r="K508" s="237" t="s">
        <v>454</v>
      </c>
      <c r="L508" s="238">
        <v>18</v>
      </c>
      <c r="O508" s="238">
        <v>18</v>
      </c>
      <c r="U508" s="70"/>
      <c r="V508" s="701"/>
      <c r="W508" s="239"/>
      <c r="X508" s="243"/>
      <c r="Y508" s="69"/>
    </row>
    <row r="509" spans="1:25" ht="30" customHeight="1" x14ac:dyDescent="0.2">
      <c r="A509" s="45"/>
      <c r="B509" s="1784"/>
      <c r="C509" s="1774" t="s">
        <v>593</v>
      </c>
      <c r="D509" s="1775"/>
      <c r="E509" s="1283" t="s">
        <v>592</v>
      </c>
      <c r="F509" s="1283"/>
      <c r="G509" s="644"/>
      <c r="H509" s="646"/>
      <c r="I509" s="1700"/>
      <c r="J509" s="916"/>
      <c r="K509" s="237" t="s">
        <v>454</v>
      </c>
      <c r="L509" s="238">
        <v>18</v>
      </c>
      <c r="O509" s="238">
        <v>18</v>
      </c>
      <c r="U509" s="70"/>
      <c r="V509" s="701"/>
      <c r="W509" s="239"/>
      <c r="X509" s="243"/>
      <c r="Y509" s="69"/>
    </row>
    <row r="510" spans="1:25" s="66" customFormat="1" ht="39.950000000000003" customHeight="1" x14ac:dyDescent="0.2">
      <c r="A510" s="45"/>
      <c r="B510" s="60" t="s">
        <v>463</v>
      </c>
      <c r="C510" s="901" t="s">
        <v>464</v>
      </c>
      <c r="D510" s="902"/>
      <c r="E510" s="902"/>
      <c r="F510" s="902"/>
      <c r="G510" s="902"/>
      <c r="H510" s="903"/>
      <c r="I510" s="175">
        <v>0</v>
      </c>
      <c r="J510" s="42">
        <v>1</v>
      </c>
      <c r="K510" s="237" t="s">
        <v>454</v>
      </c>
      <c r="L510" s="238">
        <v>18</v>
      </c>
      <c r="M510" s="67"/>
      <c r="O510" s="238">
        <v>18</v>
      </c>
    </row>
    <row r="511" spans="1:25" ht="20.100000000000001" customHeight="1" x14ac:dyDescent="0.2">
      <c r="A511" s="45"/>
      <c r="B511" s="591"/>
      <c r="C511" s="648"/>
      <c r="D511" s="648"/>
      <c r="E511" s="648"/>
      <c r="F511" s="648"/>
      <c r="G511" s="648"/>
      <c r="H511" s="648"/>
      <c r="I511" s="593"/>
      <c r="J511" s="65"/>
    </row>
    <row r="512" spans="1:25" ht="30" customHeight="1" x14ac:dyDescent="0.2">
      <c r="A512" s="45"/>
      <c r="B512" s="1355" t="s">
        <v>505</v>
      </c>
      <c r="C512" s="1673"/>
      <c r="D512" s="1673"/>
      <c r="E512" s="1673"/>
      <c r="F512" s="1673"/>
      <c r="G512" s="1673"/>
      <c r="H512" s="1673"/>
      <c r="I512" s="679" t="s">
        <v>466</v>
      </c>
      <c r="J512" s="704" t="s">
        <v>18</v>
      </c>
      <c r="K512" s="226" t="s">
        <v>506</v>
      </c>
      <c r="L512" s="183">
        <v>47</v>
      </c>
      <c r="M512" s="181"/>
      <c r="N512" s="182" t="s">
        <v>30</v>
      </c>
      <c r="O512" s="183">
        <v>47</v>
      </c>
    </row>
    <row r="513" spans="1:31" ht="39.950000000000003" customHeight="1" x14ac:dyDescent="0.2">
      <c r="A513" s="45"/>
      <c r="B513" s="1105" t="s">
        <v>507</v>
      </c>
      <c r="C513" s="1106"/>
      <c r="D513" s="1106"/>
      <c r="E513" s="1106"/>
      <c r="F513" s="1106"/>
      <c r="G513" s="1106"/>
      <c r="H513" s="1106"/>
      <c r="I513" s="1106"/>
      <c r="J513" s="1107"/>
      <c r="K513" s="226" t="s">
        <v>506</v>
      </c>
      <c r="L513" s="183">
        <v>47</v>
      </c>
      <c r="M513" s="181"/>
      <c r="O513" s="183">
        <v>47</v>
      </c>
    </row>
    <row r="514" spans="1:31" ht="52.5" customHeight="1" x14ac:dyDescent="0.2">
      <c r="A514" s="45"/>
      <c r="B514" s="1756" t="s">
        <v>508</v>
      </c>
      <c r="C514" s="1757"/>
      <c r="D514" s="1757"/>
      <c r="E514" s="1757"/>
      <c r="F514" s="1757"/>
      <c r="G514" s="1757"/>
      <c r="H514" s="1757"/>
      <c r="I514" s="1758"/>
      <c r="J514" s="1759"/>
      <c r="K514" s="226" t="s">
        <v>506</v>
      </c>
      <c r="L514" s="183">
        <v>47</v>
      </c>
      <c r="M514" s="181"/>
      <c r="O514" s="183">
        <v>47</v>
      </c>
    </row>
    <row r="515" spans="1:31" ht="30" customHeight="1" x14ac:dyDescent="0.2">
      <c r="A515" s="45"/>
      <c r="B515" s="1760" t="s">
        <v>395</v>
      </c>
      <c r="C515" s="932" t="s">
        <v>133</v>
      </c>
      <c r="D515" s="933"/>
      <c r="E515" s="933" t="s">
        <v>135</v>
      </c>
      <c r="F515" s="933"/>
      <c r="G515" s="1763" t="s">
        <v>136</v>
      </c>
      <c r="H515" s="1764"/>
      <c r="I515" s="1765">
        <v>35</v>
      </c>
      <c r="J515" s="1768">
        <v>1</v>
      </c>
      <c r="K515" s="226" t="s">
        <v>506</v>
      </c>
      <c r="L515" s="183">
        <v>47</v>
      </c>
      <c r="M515" s="181"/>
      <c r="O515" s="183">
        <v>47</v>
      </c>
    </row>
    <row r="516" spans="1:31" ht="30" customHeight="1" x14ac:dyDescent="0.2">
      <c r="A516" s="45"/>
      <c r="B516" s="1761"/>
      <c r="C516" s="1771" t="s">
        <v>82</v>
      </c>
      <c r="D516" s="1772"/>
      <c r="E516" s="1748" t="s">
        <v>92</v>
      </c>
      <c r="F516" s="1748"/>
      <c r="G516" s="1755" t="s">
        <v>29</v>
      </c>
      <c r="H516" s="1773"/>
      <c r="I516" s="1766"/>
      <c r="J516" s="1769"/>
      <c r="K516" s="226" t="s">
        <v>506</v>
      </c>
      <c r="L516" s="183">
        <v>47</v>
      </c>
      <c r="M516" s="181"/>
      <c r="O516" s="183">
        <v>47</v>
      </c>
    </row>
    <row r="517" spans="1:31" ht="30" customHeight="1" x14ac:dyDescent="0.2">
      <c r="A517" s="45"/>
      <c r="B517" s="1762"/>
      <c r="C517" s="1752" t="s">
        <v>81</v>
      </c>
      <c r="D517" s="1750"/>
      <c r="E517" s="1750" t="s">
        <v>32</v>
      </c>
      <c r="F517" s="1750"/>
      <c r="G517" s="705"/>
      <c r="H517" s="706"/>
      <c r="I517" s="1767"/>
      <c r="J517" s="1770"/>
      <c r="K517" s="226" t="s">
        <v>506</v>
      </c>
      <c r="L517" s="183">
        <v>47</v>
      </c>
      <c r="M517" s="181"/>
      <c r="O517" s="183">
        <v>47</v>
      </c>
    </row>
    <row r="518" spans="1:31" ht="30" customHeight="1" x14ac:dyDescent="0.2">
      <c r="A518" s="45"/>
      <c r="B518" s="1164" t="s">
        <v>396</v>
      </c>
      <c r="C518" s="1728" t="s">
        <v>378</v>
      </c>
      <c r="D518" s="1729"/>
      <c r="E518" s="933" t="s">
        <v>42</v>
      </c>
      <c r="F518" s="933"/>
      <c r="G518" s="933" t="s">
        <v>63</v>
      </c>
      <c r="H518" s="934"/>
      <c r="I518" s="959">
        <v>35</v>
      </c>
      <c r="J518" s="1744">
        <v>1</v>
      </c>
      <c r="K518" s="226" t="s">
        <v>506</v>
      </c>
      <c r="L518" s="183">
        <v>47</v>
      </c>
      <c r="M518" s="181"/>
      <c r="O518" s="183">
        <v>47</v>
      </c>
    </row>
    <row r="519" spans="1:31" ht="30" customHeight="1" x14ac:dyDescent="0.2">
      <c r="A519" s="45"/>
      <c r="B519" s="1753"/>
      <c r="C519" s="1747" t="s">
        <v>379</v>
      </c>
      <c r="D519" s="1748"/>
      <c r="E519" s="1748" t="s">
        <v>380</v>
      </c>
      <c r="F519" s="1748"/>
      <c r="G519" s="1748" t="s">
        <v>56</v>
      </c>
      <c r="H519" s="1749"/>
      <c r="I519" s="960"/>
      <c r="J519" s="1745"/>
      <c r="K519" s="226" t="s">
        <v>506</v>
      </c>
      <c r="L519" s="183">
        <v>47</v>
      </c>
      <c r="M519" s="181"/>
      <c r="O519" s="183">
        <v>47</v>
      </c>
    </row>
    <row r="520" spans="1:31" ht="30" customHeight="1" x14ac:dyDescent="0.2">
      <c r="A520" s="45"/>
      <c r="B520" s="1165"/>
      <c r="C520" s="917" t="s">
        <v>43</v>
      </c>
      <c r="D520" s="918"/>
      <c r="E520" s="1750" t="s">
        <v>381</v>
      </c>
      <c r="F520" s="1750"/>
      <c r="G520" s="1750" t="s">
        <v>287</v>
      </c>
      <c r="H520" s="1751"/>
      <c r="I520" s="961"/>
      <c r="J520" s="1746"/>
      <c r="K520" s="226" t="s">
        <v>506</v>
      </c>
      <c r="L520" s="183">
        <v>47</v>
      </c>
      <c r="M520" s="181"/>
      <c r="O520" s="183">
        <v>47</v>
      </c>
    </row>
    <row r="521" spans="1:31" ht="30" customHeight="1" x14ac:dyDescent="0.2">
      <c r="A521" s="45"/>
      <c r="B521" s="1736" t="s">
        <v>509</v>
      </c>
      <c r="C521" s="1737"/>
      <c r="D521" s="1737"/>
      <c r="E521" s="1737"/>
      <c r="F521" s="1737"/>
      <c r="G521" s="1737"/>
      <c r="H521" s="1737"/>
      <c r="I521" s="1737"/>
      <c r="J521" s="1738"/>
      <c r="K521" s="226" t="s">
        <v>506</v>
      </c>
      <c r="L521" s="183">
        <v>47</v>
      </c>
      <c r="M521" s="181"/>
      <c r="N521" s="182" t="s">
        <v>30</v>
      </c>
      <c r="O521" s="183">
        <v>47</v>
      </c>
    </row>
    <row r="522" spans="1:31" ht="30" customHeight="1" x14ac:dyDescent="0.2">
      <c r="A522" s="45"/>
      <c r="B522" s="1161" t="s">
        <v>510</v>
      </c>
      <c r="C522" s="1162"/>
      <c r="D522" s="1162"/>
      <c r="E522" s="1162"/>
      <c r="F522" s="1162"/>
      <c r="G522" s="1162"/>
      <c r="H522" s="1162"/>
      <c r="I522" s="1162"/>
      <c r="J522" s="1163"/>
      <c r="K522" s="226" t="s">
        <v>506</v>
      </c>
      <c r="L522" s="183">
        <v>47</v>
      </c>
      <c r="M522" s="181"/>
      <c r="O522" s="183">
        <v>47</v>
      </c>
    </row>
    <row r="523" spans="1:31" ht="30" customHeight="1" x14ac:dyDescent="0.2">
      <c r="A523" s="45"/>
      <c r="B523" s="707" t="s">
        <v>373</v>
      </c>
      <c r="C523" s="1728" t="s">
        <v>32</v>
      </c>
      <c r="D523" s="1729"/>
      <c r="E523" s="1729" t="s">
        <v>29</v>
      </c>
      <c r="F523" s="1729"/>
      <c r="G523" s="1729"/>
      <c r="H523" s="1730"/>
      <c r="I523" s="708">
        <v>200</v>
      </c>
      <c r="J523" s="709">
        <v>0.8</v>
      </c>
      <c r="K523" s="226" t="s">
        <v>506</v>
      </c>
      <c r="L523" s="183">
        <v>47</v>
      </c>
      <c r="M523" s="181"/>
      <c r="O523" s="183">
        <v>47</v>
      </c>
    </row>
    <row r="524" spans="1:31" ht="30" customHeight="1" x14ac:dyDescent="0.2">
      <c r="A524" s="45"/>
      <c r="B524" s="930" t="s">
        <v>375</v>
      </c>
      <c r="C524" s="932" t="s">
        <v>82</v>
      </c>
      <c r="D524" s="933"/>
      <c r="E524" s="933" t="s">
        <v>92</v>
      </c>
      <c r="F524" s="933"/>
      <c r="G524" s="933" t="s">
        <v>81</v>
      </c>
      <c r="H524" s="934"/>
      <c r="I524" s="1742">
        <v>300</v>
      </c>
      <c r="J524" s="1723">
        <v>0.8</v>
      </c>
      <c r="K524" s="226" t="s">
        <v>506</v>
      </c>
      <c r="L524" s="183">
        <v>47</v>
      </c>
      <c r="M524" s="181"/>
      <c r="O524" s="183">
        <v>47</v>
      </c>
    </row>
    <row r="525" spans="1:31" ht="39.950000000000003" customHeight="1" x14ac:dyDescent="0.2">
      <c r="A525" s="45"/>
      <c r="B525" s="931"/>
      <c r="C525" s="917" t="s">
        <v>511</v>
      </c>
      <c r="D525" s="918"/>
      <c r="E525" s="82" t="s">
        <v>376</v>
      </c>
      <c r="F525" s="82"/>
      <c r="G525" s="82"/>
      <c r="H525" s="83"/>
      <c r="I525" s="1743"/>
      <c r="J525" s="1724"/>
      <c r="K525" s="226" t="s">
        <v>506</v>
      </c>
      <c r="L525" s="183">
        <v>47</v>
      </c>
      <c r="M525" s="181"/>
      <c r="O525" s="183">
        <v>47</v>
      </c>
    </row>
    <row r="526" spans="1:31" ht="30" customHeight="1" x14ac:dyDescent="0.2">
      <c r="A526" s="45"/>
      <c r="B526" s="710" t="s">
        <v>512</v>
      </c>
      <c r="C526" s="923" t="s">
        <v>383</v>
      </c>
      <c r="D526" s="923"/>
      <c r="E526" s="923"/>
      <c r="F526" s="923"/>
      <c r="G526" s="923"/>
      <c r="H526" s="923"/>
      <c r="I526" s="711">
        <v>400</v>
      </c>
      <c r="J526" s="712">
        <v>0.8</v>
      </c>
      <c r="K526" s="226" t="s">
        <v>506</v>
      </c>
      <c r="L526" s="183">
        <v>47</v>
      </c>
      <c r="M526" s="181"/>
      <c r="O526" s="183">
        <v>47</v>
      </c>
    </row>
    <row r="527" spans="1:31" s="547" customFormat="1" ht="30" customHeight="1" x14ac:dyDescent="0.2">
      <c r="A527" s="45"/>
      <c r="B527" s="710" t="s">
        <v>650</v>
      </c>
      <c r="C527" s="919" t="s">
        <v>651</v>
      </c>
      <c r="D527" s="919"/>
      <c r="E527" s="919"/>
      <c r="F527" s="919"/>
      <c r="G527" s="919"/>
      <c r="H527" s="919"/>
      <c r="I527" s="713">
        <v>400</v>
      </c>
      <c r="J527" s="714">
        <v>0.5</v>
      </c>
      <c r="K527" s="226" t="s">
        <v>506</v>
      </c>
      <c r="L527" s="183">
        <v>47</v>
      </c>
      <c r="M527" s="181"/>
      <c r="N527" s="67"/>
      <c r="O527" s="183">
        <v>47</v>
      </c>
      <c r="P527" s="66"/>
      <c r="Q527" s="45"/>
      <c r="R527" s="45"/>
      <c r="S527" s="45"/>
      <c r="T527" s="45"/>
      <c r="U527" s="45"/>
      <c r="V527" s="45"/>
      <c r="W527" s="45"/>
      <c r="X527" s="45"/>
      <c r="Y527" s="45"/>
      <c r="Z527" s="45"/>
      <c r="AA527" s="45"/>
      <c r="AB527" s="45"/>
      <c r="AC527" s="45"/>
      <c r="AD527" s="45"/>
      <c r="AE527" s="45"/>
    </row>
    <row r="528" spans="1:31" s="547" customFormat="1" ht="30" customHeight="1" x14ac:dyDescent="0.2">
      <c r="A528" s="45"/>
      <c r="B528" s="710" t="s">
        <v>782</v>
      </c>
      <c r="C528" s="919" t="s">
        <v>651</v>
      </c>
      <c r="D528" s="919"/>
      <c r="E528" s="919"/>
      <c r="F528" s="919"/>
      <c r="G528" s="919"/>
      <c r="H528" s="919"/>
      <c r="I528" s="715">
        <v>600</v>
      </c>
      <c r="J528" s="716">
        <v>0.5</v>
      </c>
      <c r="K528" s="226" t="s">
        <v>506</v>
      </c>
      <c r="L528" s="183">
        <v>47</v>
      </c>
      <c r="M528" s="181"/>
      <c r="N528" s="67"/>
      <c r="O528" s="183">
        <v>47</v>
      </c>
      <c r="P528" s="66"/>
      <c r="Q528" s="45"/>
      <c r="R528" s="45"/>
      <c r="S528" s="45"/>
      <c r="T528" s="45"/>
      <c r="U528" s="45"/>
      <c r="V528" s="45"/>
      <c r="W528" s="45"/>
      <c r="X528" s="45"/>
      <c r="Y528" s="45"/>
      <c r="Z528" s="45"/>
      <c r="AA528" s="45"/>
      <c r="AB528" s="45"/>
      <c r="AC528" s="45"/>
      <c r="AD528" s="45"/>
      <c r="AE528" s="45"/>
    </row>
    <row r="529" spans="1:31" s="547" customFormat="1" ht="30" customHeight="1" x14ac:dyDescent="0.2">
      <c r="A529" s="45"/>
      <c r="B529" s="710" t="s">
        <v>396</v>
      </c>
      <c r="C529" s="919" t="s">
        <v>514</v>
      </c>
      <c r="D529" s="919"/>
      <c r="E529" s="919"/>
      <c r="F529" s="919"/>
      <c r="G529" s="919"/>
      <c r="H529" s="919"/>
      <c r="I529" s="711">
        <v>300</v>
      </c>
      <c r="J529" s="712">
        <v>0.8</v>
      </c>
      <c r="K529" s="226" t="s">
        <v>506</v>
      </c>
      <c r="L529" s="183">
        <v>47</v>
      </c>
      <c r="M529" s="181"/>
      <c r="N529" s="67"/>
      <c r="O529" s="183">
        <v>47</v>
      </c>
      <c r="P529" s="66"/>
      <c r="Q529" s="45"/>
      <c r="R529" s="45"/>
      <c r="S529" s="45"/>
      <c r="T529" s="45"/>
      <c r="U529" s="45"/>
      <c r="V529" s="45"/>
      <c r="W529" s="45"/>
      <c r="X529" s="45"/>
      <c r="Y529" s="45"/>
      <c r="Z529" s="45"/>
      <c r="AA529" s="45"/>
      <c r="AB529" s="45"/>
      <c r="AC529" s="45"/>
      <c r="AD529" s="45"/>
      <c r="AE529" s="45"/>
    </row>
    <row r="530" spans="1:31" s="547" customFormat="1" ht="30" customHeight="1" x14ac:dyDescent="0.2">
      <c r="A530" s="45"/>
      <c r="B530" s="1731" t="s">
        <v>870</v>
      </c>
      <c r="C530" s="1732"/>
      <c r="D530" s="1732"/>
      <c r="E530" s="1732"/>
      <c r="F530" s="1732"/>
      <c r="G530" s="1732"/>
      <c r="H530" s="1732"/>
      <c r="I530" s="1732"/>
      <c r="J530" s="1733"/>
      <c r="K530" s="226" t="s">
        <v>506</v>
      </c>
      <c r="L530" s="183">
        <v>47</v>
      </c>
      <c r="M530" s="181"/>
      <c r="N530" s="182" t="s">
        <v>30</v>
      </c>
      <c r="O530" s="183">
        <v>47</v>
      </c>
      <c r="P530" s="66"/>
      <c r="Q530" s="45"/>
      <c r="R530" s="45"/>
      <c r="S530" s="45"/>
      <c r="T530" s="45"/>
      <c r="U530" s="45"/>
      <c r="V530" s="45"/>
      <c r="W530" s="45"/>
      <c r="X530" s="45"/>
      <c r="Y530" s="45"/>
      <c r="Z530" s="45"/>
      <c r="AA530" s="45"/>
      <c r="AB530" s="45"/>
      <c r="AC530" s="45"/>
      <c r="AD530" s="45"/>
      <c r="AE530" s="45"/>
    </row>
    <row r="531" spans="1:31" s="547" customFormat="1" ht="30" customHeight="1" x14ac:dyDescent="0.2">
      <c r="A531" s="45"/>
      <c r="B531" s="707" t="s">
        <v>373</v>
      </c>
      <c r="C531" s="1728" t="s">
        <v>32</v>
      </c>
      <c r="D531" s="1729"/>
      <c r="E531" s="1729" t="s">
        <v>29</v>
      </c>
      <c r="F531" s="1729"/>
      <c r="G531" s="1729"/>
      <c r="H531" s="1730"/>
      <c r="I531" s="708">
        <v>400</v>
      </c>
      <c r="J531" s="709">
        <v>0.8</v>
      </c>
      <c r="K531" s="226" t="s">
        <v>506</v>
      </c>
      <c r="L531" s="183">
        <v>47</v>
      </c>
      <c r="M531" s="181"/>
      <c r="N531" s="67"/>
      <c r="O531" s="183">
        <v>47</v>
      </c>
      <c r="P531" s="66"/>
      <c r="Q531" s="45"/>
      <c r="R531" s="45"/>
      <c r="S531" s="45"/>
      <c r="T531" s="45"/>
      <c r="U531" s="45"/>
      <c r="V531" s="45"/>
      <c r="W531" s="45"/>
      <c r="X531" s="45"/>
      <c r="Y531" s="45"/>
      <c r="Z531" s="45"/>
      <c r="AA531" s="45"/>
      <c r="AB531" s="45"/>
      <c r="AC531" s="45"/>
      <c r="AD531" s="45"/>
      <c r="AE531" s="45"/>
    </row>
    <row r="532" spans="1:31" s="547" customFormat="1" ht="30" customHeight="1" x14ac:dyDescent="0.2">
      <c r="A532" s="45"/>
      <c r="B532" s="930" t="s">
        <v>375</v>
      </c>
      <c r="C532" s="932" t="s">
        <v>82</v>
      </c>
      <c r="D532" s="933"/>
      <c r="E532" s="933" t="s">
        <v>92</v>
      </c>
      <c r="F532" s="933"/>
      <c r="G532" s="933" t="s">
        <v>81</v>
      </c>
      <c r="H532" s="934"/>
      <c r="I532" s="1734">
        <v>450</v>
      </c>
      <c r="J532" s="1735">
        <v>0.75</v>
      </c>
      <c r="K532" s="226" t="s">
        <v>506</v>
      </c>
      <c r="L532" s="183">
        <v>47</v>
      </c>
      <c r="M532" s="181"/>
      <c r="N532" s="67"/>
      <c r="O532" s="183">
        <v>47</v>
      </c>
      <c r="P532" s="66"/>
      <c r="Q532" s="45"/>
      <c r="R532" s="45"/>
      <c r="S532" s="45"/>
      <c r="T532" s="45"/>
      <c r="U532" s="45"/>
      <c r="V532" s="45"/>
      <c r="W532" s="45"/>
      <c r="X532" s="45"/>
      <c r="Y532" s="45"/>
      <c r="Z532" s="45"/>
      <c r="AA532" s="45"/>
      <c r="AB532" s="45"/>
      <c r="AC532" s="45"/>
      <c r="AD532" s="45"/>
      <c r="AE532" s="45"/>
    </row>
    <row r="533" spans="1:31" s="547" customFormat="1" ht="30" customHeight="1" x14ac:dyDescent="0.2">
      <c r="A533" s="45"/>
      <c r="B533" s="931"/>
      <c r="C533" s="917" t="s">
        <v>511</v>
      </c>
      <c r="D533" s="918"/>
      <c r="E533" s="82" t="s">
        <v>376</v>
      </c>
      <c r="F533" s="82"/>
      <c r="G533" s="82"/>
      <c r="H533" s="83"/>
      <c r="I533" s="1734"/>
      <c r="J533" s="1735"/>
      <c r="K533" s="226" t="s">
        <v>506</v>
      </c>
      <c r="L533" s="183">
        <v>47</v>
      </c>
      <c r="M533" s="181"/>
      <c r="N533" s="67"/>
      <c r="O533" s="183">
        <v>47</v>
      </c>
      <c r="P533" s="66"/>
      <c r="Q533" s="45"/>
      <c r="R533" s="45"/>
      <c r="S533" s="45"/>
      <c r="T533" s="45"/>
      <c r="U533" s="45"/>
      <c r="V533" s="45"/>
      <c r="W533" s="45"/>
      <c r="X533" s="45"/>
      <c r="Y533" s="45"/>
      <c r="Z533" s="45"/>
      <c r="AA533" s="45"/>
      <c r="AB533" s="45"/>
      <c r="AC533" s="45"/>
      <c r="AD533" s="45"/>
      <c r="AE533" s="45"/>
    </row>
    <row r="534" spans="1:31" s="547" customFormat="1" ht="30" customHeight="1" x14ac:dyDescent="0.2">
      <c r="A534" s="45"/>
      <c r="B534" s="717" t="s">
        <v>396</v>
      </c>
      <c r="C534" s="919" t="s">
        <v>514</v>
      </c>
      <c r="D534" s="919"/>
      <c r="E534" s="919"/>
      <c r="F534" s="919"/>
      <c r="G534" s="919"/>
      <c r="H534" s="919"/>
      <c r="I534" s="718">
        <v>450</v>
      </c>
      <c r="J534" s="719">
        <v>0.75</v>
      </c>
      <c r="K534" s="226" t="s">
        <v>506</v>
      </c>
      <c r="L534" s="183">
        <v>47</v>
      </c>
      <c r="M534" s="181"/>
      <c r="N534" s="67"/>
      <c r="O534" s="183">
        <v>47</v>
      </c>
      <c r="P534" s="66"/>
      <c r="Q534" s="45"/>
      <c r="R534" s="45"/>
      <c r="S534" s="45"/>
      <c r="T534" s="45"/>
      <c r="U534" s="45"/>
      <c r="V534" s="45"/>
      <c r="W534" s="45"/>
      <c r="X534" s="45"/>
      <c r="Y534" s="45"/>
      <c r="Z534" s="45"/>
      <c r="AA534" s="45"/>
      <c r="AB534" s="45"/>
      <c r="AC534" s="45"/>
      <c r="AD534" s="45"/>
      <c r="AE534" s="45"/>
    </row>
    <row r="535" spans="1:31" s="547" customFormat="1" ht="30" customHeight="1" x14ac:dyDescent="0.2">
      <c r="A535" s="45"/>
      <c r="B535" s="1725" t="s">
        <v>516</v>
      </c>
      <c r="C535" s="1726"/>
      <c r="D535" s="1726"/>
      <c r="E535" s="1726"/>
      <c r="F535" s="1726"/>
      <c r="G535" s="1726"/>
      <c r="H535" s="1726"/>
      <c r="I535" s="1726"/>
      <c r="J535" s="1727"/>
      <c r="K535" s="226" t="s">
        <v>506</v>
      </c>
      <c r="L535" s="183">
        <v>47</v>
      </c>
      <c r="M535" s="181"/>
      <c r="N535" s="182" t="s">
        <v>30</v>
      </c>
      <c r="O535" s="183">
        <v>47</v>
      </c>
      <c r="P535" s="66"/>
      <c r="Q535" s="45"/>
      <c r="R535" s="45"/>
      <c r="S535" s="45"/>
      <c r="T535" s="45"/>
      <c r="U535" s="45"/>
      <c r="V535" s="45"/>
      <c r="W535" s="45"/>
      <c r="X535" s="45"/>
      <c r="Y535" s="45"/>
      <c r="Z535" s="45"/>
      <c r="AA535" s="45"/>
      <c r="AB535" s="45"/>
      <c r="AC535" s="45"/>
      <c r="AD535" s="45"/>
      <c r="AE535" s="45"/>
    </row>
    <row r="536" spans="1:31" s="547" customFormat="1" ht="30" customHeight="1" x14ac:dyDescent="0.2">
      <c r="A536" s="45"/>
      <c r="B536" s="707" t="s">
        <v>26</v>
      </c>
      <c r="C536" s="1728" t="s">
        <v>32</v>
      </c>
      <c r="D536" s="1729"/>
      <c r="E536" s="1729" t="s">
        <v>29</v>
      </c>
      <c r="F536" s="1729"/>
      <c r="G536" s="1729"/>
      <c r="H536" s="1730"/>
      <c r="I536" s="708">
        <v>400</v>
      </c>
      <c r="J536" s="709">
        <v>0.8</v>
      </c>
      <c r="K536" s="226" t="s">
        <v>506</v>
      </c>
      <c r="L536" s="183">
        <v>47</v>
      </c>
      <c r="M536" s="181"/>
      <c r="N536" s="67"/>
      <c r="O536" s="183">
        <v>47</v>
      </c>
      <c r="P536" s="66"/>
      <c r="Q536" s="45"/>
      <c r="R536" s="45"/>
      <c r="S536" s="45"/>
      <c r="T536" s="45"/>
      <c r="U536" s="45"/>
      <c r="V536" s="45"/>
      <c r="W536" s="45"/>
      <c r="X536" s="45"/>
      <c r="Y536" s="45"/>
      <c r="Z536" s="45"/>
      <c r="AA536" s="45"/>
      <c r="AB536" s="45"/>
      <c r="AC536" s="45"/>
      <c r="AD536" s="45"/>
      <c r="AE536" s="45"/>
    </row>
    <row r="537" spans="1:31" s="547" customFormat="1" ht="30" customHeight="1" x14ac:dyDescent="0.2">
      <c r="A537" s="45"/>
      <c r="B537" s="1720" t="s">
        <v>71</v>
      </c>
      <c r="C537" s="932" t="s">
        <v>82</v>
      </c>
      <c r="D537" s="933"/>
      <c r="E537" s="933" t="s">
        <v>92</v>
      </c>
      <c r="F537" s="933"/>
      <c r="G537" s="933" t="s">
        <v>81</v>
      </c>
      <c r="H537" s="934"/>
      <c r="I537" s="1722">
        <v>450</v>
      </c>
      <c r="J537" s="1723">
        <v>0.75</v>
      </c>
      <c r="K537" s="226" t="s">
        <v>506</v>
      </c>
      <c r="L537" s="183">
        <v>47</v>
      </c>
      <c r="M537" s="181"/>
      <c r="N537" s="67"/>
      <c r="O537" s="183">
        <v>47</v>
      </c>
      <c r="P537" s="66"/>
      <c r="Q537" s="45"/>
      <c r="R537" s="45"/>
      <c r="S537" s="45"/>
      <c r="T537" s="45"/>
      <c r="U537" s="45"/>
      <c r="V537" s="45"/>
      <c r="W537" s="45"/>
      <c r="X537" s="45"/>
      <c r="Y537" s="45"/>
      <c r="Z537" s="45"/>
      <c r="AA537" s="45"/>
      <c r="AB537" s="45"/>
      <c r="AC537" s="45"/>
      <c r="AD537" s="45"/>
      <c r="AE537" s="45"/>
    </row>
    <row r="538" spans="1:31" s="547" customFormat="1" ht="30" customHeight="1" x14ac:dyDescent="0.2">
      <c r="A538" s="45"/>
      <c r="B538" s="1721"/>
      <c r="C538" s="917" t="s">
        <v>511</v>
      </c>
      <c r="D538" s="918"/>
      <c r="E538" s="82" t="s">
        <v>376</v>
      </c>
      <c r="F538" s="82"/>
      <c r="G538" s="82"/>
      <c r="H538" s="83"/>
      <c r="I538" s="1722"/>
      <c r="J538" s="1724"/>
      <c r="K538" s="226" t="s">
        <v>506</v>
      </c>
      <c r="L538" s="183">
        <v>47</v>
      </c>
      <c r="M538" s="181"/>
      <c r="N538" s="67"/>
      <c r="O538" s="183">
        <v>47</v>
      </c>
      <c r="P538" s="66"/>
      <c r="Q538" s="45"/>
      <c r="R538" s="45"/>
      <c r="S538" s="45"/>
      <c r="T538" s="45"/>
      <c r="U538" s="45"/>
      <c r="V538" s="45"/>
      <c r="W538" s="45"/>
      <c r="X538" s="45"/>
      <c r="Y538" s="45"/>
      <c r="Z538" s="45"/>
      <c r="AA538" s="45"/>
      <c r="AB538" s="45"/>
      <c r="AC538" s="45"/>
      <c r="AD538" s="45"/>
      <c r="AE538" s="45"/>
    </row>
    <row r="539" spans="1:31" s="547" customFormat="1" ht="30" customHeight="1" x14ac:dyDescent="0.2">
      <c r="A539" s="45"/>
      <c r="B539" s="717" t="s">
        <v>396</v>
      </c>
      <c r="C539" s="923" t="s">
        <v>514</v>
      </c>
      <c r="D539" s="923"/>
      <c r="E539" s="923"/>
      <c r="F539" s="923"/>
      <c r="G539" s="923"/>
      <c r="H539" s="923"/>
      <c r="I539" s="711">
        <v>450</v>
      </c>
      <c r="J539" s="716">
        <v>0.75</v>
      </c>
      <c r="K539" s="226" t="s">
        <v>506</v>
      </c>
      <c r="L539" s="183">
        <v>47</v>
      </c>
      <c r="M539" s="181"/>
      <c r="N539" s="67"/>
      <c r="O539" s="183">
        <v>47</v>
      </c>
      <c r="P539" s="66"/>
      <c r="Q539" s="45"/>
      <c r="R539" s="45"/>
      <c r="S539" s="45"/>
      <c r="T539" s="45"/>
      <c r="U539" s="45"/>
      <c r="V539" s="45"/>
      <c r="W539" s="45"/>
      <c r="X539" s="45"/>
      <c r="Y539" s="45"/>
      <c r="Z539" s="45"/>
      <c r="AA539" s="45"/>
      <c r="AB539" s="45"/>
      <c r="AC539" s="45"/>
      <c r="AD539" s="45"/>
      <c r="AE539" s="45"/>
    </row>
    <row r="540" spans="1:31" ht="30" customHeight="1" x14ac:dyDescent="0.2">
      <c r="A540" s="45"/>
      <c r="B540" s="591"/>
      <c r="C540" s="648"/>
      <c r="D540" s="648"/>
      <c r="E540" s="648"/>
      <c r="F540" s="648"/>
      <c r="G540" s="648"/>
      <c r="H540" s="648"/>
      <c r="I540" s="593"/>
      <c r="J540" s="65"/>
    </row>
    <row r="541" spans="1:31" ht="30" customHeight="1" x14ac:dyDescent="0.2">
      <c r="A541" s="45"/>
      <c r="B541" s="1662" t="s">
        <v>475</v>
      </c>
      <c r="C541" s="1663"/>
      <c r="D541" s="1663"/>
      <c r="E541" s="1663"/>
      <c r="F541" s="1663"/>
      <c r="G541" s="1663"/>
      <c r="H541" s="1664"/>
      <c r="I541" s="406" t="s">
        <v>17</v>
      </c>
      <c r="J541" s="35" t="s">
        <v>18</v>
      </c>
      <c r="K541" s="226" t="s">
        <v>476</v>
      </c>
      <c r="L541" s="183">
        <v>19</v>
      </c>
      <c r="M541" s="181"/>
      <c r="N541" s="182" t="s">
        <v>30</v>
      </c>
      <c r="O541" s="183">
        <v>19</v>
      </c>
      <c r="P541" s="45"/>
    </row>
    <row r="542" spans="1:31" ht="30" customHeight="1" x14ac:dyDescent="0.2">
      <c r="A542" s="45"/>
      <c r="B542" s="1161" t="s">
        <v>477</v>
      </c>
      <c r="C542" s="1162"/>
      <c r="D542" s="1162"/>
      <c r="E542" s="1162"/>
      <c r="F542" s="1162"/>
      <c r="G542" s="1162"/>
      <c r="H542" s="1162"/>
      <c r="I542" s="1162"/>
      <c r="J542" s="1163"/>
      <c r="K542" s="226" t="s">
        <v>476</v>
      </c>
      <c r="L542" s="183">
        <v>19</v>
      </c>
      <c r="O542" s="183">
        <v>19</v>
      </c>
    </row>
    <row r="543" spans="1:31" ht="168" customHeight="1" x14ac:dyDescent="0.2">
      <c r="A543" s="45"/>
      <c r="B543" s="471"/>
      <c r="C543" s="1169" t="s">
        <v>835</v>
      </c>
      <c r="D543" s="1170"/>
      <c r="E543" s="1170"/>
      <c r="F543" s="1170"/>
      <c r="G543" s="1170"/>
      <c r="H543" s="1171"/>
      <c r="I543" s="249" t="s">
        <v>253</v>
      </c>
      <c r="J543" s="42" t="s">
        <v>253</v>
      </c>
      <c r="K543" s="226" t="s">
        <v>476</v>
      </c>
      <c r="L543" s="183">
        <v>19</v>
      </c>
      <c r="O543" s="183">
        <v>19</v>
      </c>
    </row>
    <row r="544" spans="1:31" ht="20.100000000000001" customHeight="1" x14ac:dyDescent="0.2">
      <c r="A544" s="45"/>
      <c r="B544" s="591"/>
      <c r="C544" s="648"/>
      <c r="D544" s="648"/>
      <c r="E544" s="648"/>
      <c r="F544" s="648"/>
      <c r="G544" s="648"/>
      <c r="H544" s="648"/>
      <c r="I544" s="593"/>
      <c r="J544" s="65"/>
    </row>
    <row r="545" spans="1:31" ht="30" customHeight="1" x14ac:dyDescent="0.2">
      <c r="A545" s="45"/>
      <c r="B545" s="1716" t="s">
        <v>479</v>
      </c>
      <c r="C545" s="1717"/>
      <c r="D545" s="1717"/>
      <c r="E545" s="1717"/>
      <c r="F545" s="1717"/>
      <c r="G545" s="1717"/>
      <c r="H545" s="1717"/>
      <c r="I545" s="406" t="s">
        <v>229</v>
      </c>
      <c r="J545" s="35" t="s">
        <v>18</v>
      </c>
      <c r="N545" s="182" t="s">
        <v>30</v>
      </c>
    </row>
    <row r="546" spans="1:31" ht="303" customHeight="1" x14ac:dyDescent="0.2">
      <c r="A546" s="45"/>
      <c r="B546" s="1718" t="s">
        <v>480</v>
      </c>
      <c r="C546" s="1006" t="s">
        <v>481</v>
      </c>
      <c r="D546" s="1007"/>
      <c r="E546" s="1007"/>
      <c r="F546" s="1007"/>
      <c r="G546" s="1007"/>
      <c r="H546" s="1008"/>
      <c r="I546" s="1009" t="s">
        <v>482</v>
      </c>
      <c r="J546" s="915">
        <v>0.8</v>
      </c>
    </row>
    <row r="547" spans="1:31" ht="134.25" customHeight="1" x14ac:dyDescent="0.2">
      <c r="A547" s="45"/>
      <c r="B547" s="1719"/>
      <c r="C547" s="1011" t="s">
        <v>483</v>
      </c>
      <c r="D547" s="1012"/>
      <c r="E547" s="1012"/>
      <c r="F547" s="1012"/>
      <c r="G547" s="1012"/>
      <c r="H547" s="1013"/>
      <c r="I547" s="1010"/>
      <c r="J547" s="916"/>
    </row>
    <row r="548" spans="1:31" ht="20.100000000000001" customHeight="1" x14ac:dyDescent="0.2">
      <c r="A548" s="45"/>
      <c r="B548" s="583"/>
      <c r="C548" s="644"/>
      <c r="D548" s="644"/>
      <c r="E548" s="644"/>
      <c r="F548" s="644"/>
      <c r="G548" s="644"/>
      <c r="H548" s="644"/>
      <c r="I548" s="720"/>
      <c r="J548" s="248"/>
    </row>
    <row r="549" spans="1:31" ht="30" customHeight="1" x14ac:dyDescent="0.2">
      <c r="A549" s="45"/>
      <c r="B549" s="1715" t="s">
        <v>484</v>
      </c>
      <c r="C549" s="1715"/>
      <c r="D549" s="1715"/>
      <c r="E549" s="1715"/>
      <c r="F549" s="1715"/>
      <c r="G549" s="1715"/>
      <c r="H549" s="1715"/>
      <c r="I549" s="406" t="s">
        <v>17</v>
      </c>
      <c r="J549" s="35" t="s">
        <v>18</v>
      </c>
      <c r="N549" s="182" t="s">
        <v>30</v>
      </c>
    </row>
    <row r="550" spans="1:31" ht="54.95" customHeight="1" x14ac:dyDescent="0.2">
      <c r="A550" s="45"/>
      <c r="B550" s="538" t="s">
        <v>485</v>
      </c>
      <c r="C550" s="998" t="s">
        <v>486</v>
      </c>
      <c r="D550" s="999"/>
      <c r="E550" s="999"/>
      <c r="F550" s="999"/>
      <c r="G550" s="999"/>
      <c r="H550" s="1000"/>
      <c r="I550" s="249" t="s">
        <v>253</v>
      </c>
      <c r="J550" s="42" t="s">
        <v>253</v>
      </c>
    </row>
    <row r="551" spans="1:31" ht="19.5" customHeight="1" x14ac:dyDescent="0.2">
      <c r="A551" s="45"/>
      <c r="B551" s="583"/>
      <c r="C551" s="644"/>
      <c r="D551" s="644"/>
      <c r="E551" s="644"/>
      <c r="F551" s="644"/>
      <c r="G551" s="644"/>
      <c r="H551" s="644"/>
      <c r="I551" s="720"/>
      <c r="J551" s="248"/>
    </row>
    <row r="552" spans="1:31" s="547" customFormat="1" ht="30" customHeight="1" x14ac:dyDescent="0.2">
      <c r="A552" s="45"/>
      <c r="B552" s="1623" t="s">
        <v>489</v>
      </c>
      <c r="C552" s="1624"/>
      <c r="D552" s="1624"/>
      <c r="E552" s="1624"/>
      <c r="F552" s="1624"/>
      <c r="G552" s="1624"/>
      <c r="H552" s="1624"/>
      <c r="I552" s="1624"/>
      <c r="J552" s="1625"/>
      <c r="K552" s="148"/>
      <c r="M552" s="68"/>
      <c r="N552" s="182" t="s">
        <v>30</v>
      </c>
      <c r="P552" s="66"/>
      <c r="Q552" s="45"/>
      <c r="R552" s="45"/>
      <c r="S552" s="45"/>
      <c r="T552" s="45"/>
      <c r="U552" s="45"/>
      <c r="V552" s="45"/>
      <c r="W552" s="45"/>
      <c r="X552" s="45"/>
      <c r="Y552" s="45"/>
      <c r="Z552" s="45"/>
      <c r="AA552" s="45"/>
      <c r="AB552" s="45"/>
      <c r="AC552" s="45"/>
      <c r="AD552" s="45"/>
      <c r="AE552" s="45"/>
    </row>
    <row r="553" spans="1:31" s="547" customFormat="1" ht="52.5" customHeight="1" x14ac:dyDescent="0.2">
      <c r="A553" s="45"/>
      <c r="B553" s="1169" t="s">
        <v>490</v>
      </c>
      <c r="C553" s="1170"/>
      <c r="D553" s="1170"/>
      <c r="E553" s="1170"/>
      <c r="F553" s="1170"/>
      <c r="G553" s="1170"/>
      <c r="H553" s="1170"/>
      <c r="I553" s="1170"/>
      <c r="J553" s="1171"/>
      <c r="K553" s="148"/>
      <c r="M553" s="68"/>
      <c r="N553" s="67"/>
      <c r="P553" s="66"/>
      <c r="Q553" s="45"/>
      <c r="R553" s="45"/>
      <c r="S553" s="45"/>
      <c r="T553" s="45"/>
      <c r="U553" s="45"/>
      <c r="V553" s="45"/>
      <c r="W553" s="45"/>
      <c r="X553" s="45"/>
      <c r="Y553" s="45"/>
      <c r="Z553" s="45"/>
      <c r="AA553" s="45"/>
      <c r="AB553" s="45"/>
      <c r="AC553" s="45"/>
      <c r="AD553" s="45"/>
      <c r="AE553" s="45"/>
    </row>
    <row r="554" spans="1:31" s="547" customFormat="1" ht="20.100000000000001" customHeight="1" x14ac:dyDescent="0.2">
      <c r="A554" s="45"/>
      <c r="B554" s="621"/>
      <c r="C554" s="150"/>
      <c r="D554" s="150"/>
      <c r="E554" s="150"/>
      <c r="F554" s="150"/>
      <c r="G554" s="150"/>
      <c r="H554" s="150"/>
      <c r="I554" s="147"/>
      <c r="J554" s="128"/>
      <c r="K554" s="148"/>
      <c r="M554" s="68"/>
      <c r="N554" s="67"/>
      <c r="P554" s="66"/>
      <c r="Q554" s="45"/>
      <c r="R554" s="45"/>
      <c r="S554" s="45"/>
      <c r="T554" s="45"/>
      <c r="U554" s="45"/>
      <c r="V554" s="45"/>
      <c r="W554" s="45"/>
      <c r="X554" s="45"/>
      <c r="Y554" s="45"/>
      <c r="Z554" s="45"/>
      <c r="AA554" s="45"/>
      <c r="AB554" s="45"/>
      <c r="AC554" s="45"/>
      <c r="AD554" s="45"/>
      <c r="AE554" s="45"/>
    </row>
    <row r="555" spans="1:31" s="547" customFormat="1" ht="30" customHeight="1" x14ac:dyDescent="0.2">
      <c r="A555" s="45"/>
      <c r="B555" s="1623" t="s">
        <v>491</v>
      </c>
      <c r="C555" s="1624"/>
      <c r="D555" s="1624"/>
      <c r="E555" s="1624"/>
      <c r="F555" s="1624"/>
      <c r="G555" s="1624"/>
      <c r="H555" s="1624"/>
      <c r="I555" s="1624"/>
      <c r="J555" s="1625"/>
      <c r="K555" s="148"/>
      <c r="M555" s="68"/>
      <c r="N555" s="182" t="s">
        <v>30</v>
      </c>
      <c r="P555" s="66"/>
      <c r="Q555" s="45"/>
      <c r="R555" s="45"/>
      <c r="S555" s="45"/>
      <c r="T555" s="45"/>
      <c r="U555" s="45"/>
      <c r="V555" s="45"/>
      <c r="W555" s="45"/>
      <c r="X555" s="45"/>
      <c r="Y555" s="45"/>
      <c r="Z555" s="45"/>
      <c r="AA555" s="45"/>
      <c r="AB555" s="45"/>
      <c r="AC555" s="45"/>
      <c r="AD555" s="45"/>
      <c r="AE555" s="45"/>
    </row>
    <row r="556" spans="1:31" s="547" customFormat="1" ht="43.5" customHeight="1" x14ac:dyDescent="0.2">
      <c r="A556" s="45"/>
      <c r="B556" s="1169" t="s">
        <v>492</v>
      </c>
      <c r="C556" s="1170"/>
      <c r="D556" s="1170"/>
      <c r="E556" s="1170"/>
      <c r="F556" s="1170"/>
      <c r="G556" s="1170"/>
      <c r="H556" s="1170"/>
      <c r="I556" s="1170"/>
      <c r="J556" s="1171"/>
      <c r="K556" s="148"/>
      <c r="M556" s="68"/>
      <c r="N556" s="67"/>
      <c r="P556" s="66"/>
      <c r="Q556" s="45"/>
      <c r="R556" s="45"/>
      <c r="S556" s="45"/>
      <c r="T556" s="45"/>
      <c r="U556" s="45"/>
      <c r="V556" s="45"/>
      <c r="W556" s="45"/>
      <c r="X556" s="45"/>
      <c r="Y556" s="45"/>
      <c r="Z556" s="45"/>
      <c r="AA556" s="45"/>
      <c r="AB556" s="45"/>
      <c r="AC556" s="45"/>
      <c r="AD556" s="45"/>
      <c r="AE556" s="45"/>
    </row>
    <row r="557" spans="1:31" s="547" customFormat="1" ht="20.100000000000001" customHeight="1" x14ac:dyDescent="0.2">
      <c r="A557" s="45"/>
      <c r="B557" s="621"/>
      <c r="C557" s="150"/>
      <c r="D557" s="150"/>
      <c r="E557" s="150"/>
      <c r="F557" s="150"/>
      <c r="G557" s="150"/>
      <c r="H557" s="150"/>
      <c r="I557" s="147"/>
      <c r="J557" s="128"/>
      <c r="K557" s="148"/>
      <c r="M557" s="68"/>
      <c r="N557" s="67"/>
      <c r="P557" s="66"/>
      <c r="Q557" s="45"/>
      <c r="R557" s="45"/>
      <c r="S557" s="45"/>
      <c r="T557" s="45"/>
      <c r="U557" s="45"/>
      <c r="V557" s="45"/>
      <c r="W557" s="45"/>
      <c r="X557" s="45"/>
      <c r="Y557" s="45"/>
      <c r="Z557" s="45"/>
      <c r="AA557" s="45"/>
      <c r="AB557" s="45"/>
      <c r="AC557" s="45"/>
      <c r="AD557" s="45"/>
      <c r="AE557" s="45"/>
    </row>
    <row r="558" spans="1:31" s="547" customFormat="1" ht="30" customHeight="1" x14ac:dyDescent="0.2">
      <c r="A558" s="45"/>
      <c r="B558" s="1623" t="s">
        <v>493</v>
      </c>
      <c r="C558" s="1624"/>
      <c r="D558" s="1624"/>
      <c r="E558" s="1624"/>
      <c r="F558" s="1624"/>
      <c r="G558" s="1624"/>
      <c r="H558" s="1624"/>
      <c r="I558" s="1624"/>
      <c r="J558" s="1625"/>
      <c r="K558" s="148"/>
      <c r="M558" s="68"/>
      <c r="N558" s="182" t="s">
        <v>30</v>
      </c>
      <c r="P558" s="66"/>
      <c r="Q558" s="45"/>
      <c r="R558" s="45"/>
      <c r="S558" s="45"/>
      <c r="T558" s="45"/>
      <c r="U558" s="45"/>
      <c r="V558" s="45"/>
      <c r="W558" s="45"/>
      <c r="X558" s="45"/>
      <c r="Y558" s="45"/>
      <c r="Z558" s="45"/>
      <c r="AA558" s="45"/>
      <c r="AB558" s="45"/>
      <c r="AC558" s="45"/>
      <c r="AD558" s="45"/>
      <c r="AE558" s="45"/>
    </row>
    <row r="559" spans="1:31" s="547" customFormat="1" ht="41.25" customHeight="1" x14ac:dyDescent="0.2">
      <c r="A559" s="45"/>
      <c r="B559" s="1169" t="s">
        <v>494</v>
      </c>
      <c r="C559" s="1170"/>
      <c r="D559" s="1170"/>
      <c r="E559" s="1170"/>
      <c r="F559" s="1170"/>
      <c r="G559" s="1170"/>
      <c r="H559" s="1170"/>
      <c r="I559" s="1170"/>
      <c r="J559" s="1171"/>
      <c r="K559" s="148"/>
      <c r="M559" s="68"/>
      <c r="N559" s="67"/>
      <c r="P559" s="66"/>
      <c r="Q559" s="45"/>
      <c r="R559" s="45"/>
      <c r="S559" s="45"/>
      <c r="T559" s="45"/>
      <c r="U559" s="45"/>
      <c r="V559" s="45"/>
      <c r="W559" s="45"/>
      <c r="X559" s="45"/>
      <c r="Y559" s="45"/>
      <c r="Z559" s="45"/>
      <c r="AA559" s="45"/>
      <c r="AB559" s="45"/>
      <c r="AC559" s="45"/>
      <c r="AD559" s="45"/>
      <c r="AE559" s="45"/>
    </row>
    <row r="560" spans="1:31" s="547" customFormat="1" ht="20.100000000000001" customHeight="1" x14ac:dyDescent="0.2">
      <c r="A560" s="45"/>
      <c r="B560" s="621"/>
      <c r="C560" s="150"/>
      <c r="D560" s="150"/>
      <c r="E560" s="150"/>
      <c r="F560" s="150"/>
      <c r="G560" s="150"/>
      <c r="H560" s="150"/>
      <c r="I560" s="147"/>
      <c r="J560" s="128"/>
      <c r="K560" s="148"/>
      <c r="M560" s="68"/>
      <c r="N560" s="67"/>
      <c r="P560" s="66"/>
      <c r="Q560" s="45"/>
      <c r="R560" s="45"/>
      <c r="S560" s="45"/>
      <c r="T560" s="45"/>
      <c r="U560" s="45"/>
      <c r="V560" s="45"/>
      <c r="W560" s="45"/>
      <c r="X560" s="45"/>
      <c r="Y560" s="45"/>
      <c r="Z560" s="45"/>
      <c r="AA560" s="45"/>
      <c r="AB560" s="45"/>
      <c r="AC560" s="45"/>
      <c r="AD560" s="45"/>
      <c r="AE560" s="45"/>
    </row>
    <row r="561" spans="1:31" s="547" customFormat="1" ht="34.5" customHeight="1" x14ac:dyDescent="0.2">
      <c r="A561" s="45"/>
      <c r="B561" s="1713" t="s">
        <v>495</v>
      </c>
      <c r="C561" s="1713"/>
      <c r="D561" s="1713"/>
      <c r="E561" s="1713"/>
      <c r="F561" s="1713"/>
      <c r="G561" s="1713"/>
      <c r="H561" s="1713"/>
      <c r="I561" s="704" t="s">
        <v>496</v>
      </c>
      <c r="J561" s="35" t="s">
        <v>18</v>
      </c>
      <c r="K561" s="148"/>
      <c r="M561" s="68"/>
      <c r="N561" s="182" t="s">
        <v>30</v>
      </c>
      <c r="P561" s="66"/>
      <c r="Q561" s="45"/>
      <c r="R561" s="45"/>
      <c r="S561" s="45"/>
      <c r="T561" s="45"/>
      <c r="U561" s="45"/>
      <c r="V561" s="45"/>
      <c r="W561" s="45"/>
      <c r="X561" s="45"/>
      <c r="Y561" s="45"/>
      <c r="Z561" s="45"/>
      <c r="AA561" s="45"/>
      <c r="AB561" s="45"/>
      <c r="AC561" s="45"/>
      <c r="AD561" s="45"/>
      <c r="AE561" s="45"/>
    </row>
    <row r="562" spans="1:31" s="547" customFormat="1" ht="43.5" customHeight="1" x14ac:dyDescent="0.2">
      <c r="A562" s="45"/>
      <c r="B562" s="1714" t="s">
        <v>497</v>
      </c>
      <c r="C562" s="1714"/>
      <c r="D562" s="1714"/>
      <c r="E562" s="1714"/>
      <c r="F562" s="1714"/>
      <c r="G562" s="1714"/>
      <c r="H562" s="1714"/>
      <c r="I562" s="1714"/>
      <c r="J562" s="1714"/>
      <c r="K562" s="148"/>
      <c r="M562" s="68"/>
      <c r="N562" s="67"/>
      <c r="P562" s="66"/>
      <c r="Q562" s="45"/>
      <c r="R562" s="45"/>
      <c r="S562" s="45"/>
      <c r="T562" s="45"/>
      <c r="U562" s="45"/>
      <c r="V562" s="45"/>
      <c r="W562" s="45"/>
      <c r="X562" s="45"/>
      <c r="Y562" s="45"/>
      <c r="Z562" s="45"/>
      <c r="AA562" s="45"/>
      <c r="AB562" s="45"/>
      <c r="AC562" s="45"/>
      <c r="AD562" s="45"/>
      <c r="AE562" s="45"/>
    </row>
    <row r="563" spans="1:31" s="547" customFormat="1" ht="33.75" customHeight="1" x14ac:dyDescent="0.2">
      <c r="A563" s="45"/>
      <c r="B563" s="994" t="s">
        <v>328</v>
      </c>
      <c r="C563" s="1063" t="s">
        <v>498</v>
      </c>
      <c r="D563" s="1063"/>
      <c r="E563" s="1063"/>
      <c r="F563" s="1063"/>
      <c r="G563" s="1063"/>
      <c r="H563" s="1063"/>
      <c r="I563" s="1063"/>
      <c r="J563" s="1063"/>
      <c r="K563" s="148"/>
      <c r="M563" s="68"/>
      <c r="N563" s="67"/>
      <c r="P563" s="66"/>
      <c r="Q563" s="45"/>
      <c r="R563" s="45"/>
      <c r="S563" s="45"/>
      <c r="T563" s="45"/>
      <c r="U563" s="45"/>
      <c r="V563" s="45"/>
      <c r="W563" s="45"/>
      <c r="X563" s="45"/>
      <c r="Y563" s="45"/>
      <c r="Z563" s="45"/>
      <c r="AA563" s="45"/>
      <c r="AB563" s="45"/>
      <c r="AC563" s="45"/>
      <c r="AD563" s="45"/>
      <c r="AE563" s="45"/>
    </row>
    <row r="564" spans="1:31" s="547" customFormat="1" ht="213" customHeight="1" x14ac:dyDescent="0.2">
      <c r="A564" s="45"/>
      <c r="B564" s="994"/>
      <c r="C564" s="1063" t="s">
        <v>837</v>
      </c>
      <c r="D564" s="1063"/>
      <c r="E564" s="1063"/>
      <c r="F564" s="1063"/>
      <c r="G564" s="1063"/>
      <c r="H564" s="1063"/>
      <c r="I564" s="256">
        <v>0</v>
      </c>
      <c r="J564" s="257">
        <v>1</v>
      </c>
      <c r="K564" s="148"/>
      <c r="M564" s="68"/>
      <c r="N564" s="67"/>
      <c r="P564" s="66"/>
      <c r="Q564" s="45"/>
      <c r="R564" s="45"/>
      <c r="S564" s="45"/>
      <c r="T564" s="45"/>
      <c r="U564" s="45"/>
      <c r="V564" s="45"/>
      <c r="W564" s="45"/>
      <c r="X564" s="45"/>
      <c r="Y564" s="45"/>
      <c r="Z564" s="45"/>
      <c r="AA564" s="45"/>
      <c r="AB564" s="45"/>
      <c r="AC564" s="45"/>
      <c r="AD564" s="45"/>
      <c r="AE564" s="45"/>
    </row>
    <row r="565" spans="1:31" ht="30" customHeight="1" x14ac:dyDescent="0.2">
      <c r="A565" s="45"/>
      <c r="B565" s="994"/>
      <c r="C565" s="1714" t="s">
        <v>871</v>
      </c>
      <c r="D565" s="1714"/>
      <c r="E565" s="1714"/>
      <c r="F565" s="1714"/>
      <c r="G565" s="1714"/>
      <c r="H565" s="1714"/>
      <c r="I565" s="258" t="s">
        <v>501</v>
      </c>
      <c r="J565" s="257" t="s">
        <v>501</v>
      </c>
    </row>
    <row r="566" spans="1:31" ht="20.100000000000001" customHeight="1" x14ac:dyDescent="0.2">
      <c r="A566" s="45"/>
      <c r="B566" s="721"/>
      <c r="C566" s="648"/>
      <c r="D566" s="648"/>
      <c r="E566" s="648"/>
      <c r="F566" s="648"/>
      <c r="G566" s="648"/>
      <c r="H566" s="648"/>
      <c r="I566" s="618"/>
      <c r="J566" s="128"/>
    </row>
    <row r="567" spans="1:31" s="66" customFormat="1" ht="30" customHeight="1" x14ac:dyDescent="0.2">
      <c r="A567" s="149"/>
      <c r="B567" s="1711" t="s">
        <v>664</v>
      </c>
      <c r="C567" s="1711"/>
      <c r="D567" s="1711"/>
      <c r="E567" s="1711"/>
      <c r="F567" s="1711"/>
      <c r="G567" s="1711"/>
      <c r="H567" s="1711"/>
      <c r="I567" s="406" t="s">
        <v>17</v>
      </c>
      <c r="J567" s="193" t="s">
        <v>18</v>
      </c>
      <c r="K567" s="669" t="s">
        <v>665</v>
      </c>
      <c r="L567" s="238">
        <v>22</v>
      </c>
      <c r="M567" s="67"/>
      <c r="N567" s="182" t="s">
        <v>30</v>
      </c>
      <c r="O567" s="238">
        <v>22</v>
      </c>
    </row>
    <row r="568" spans="1:31" s="66" customFormat="1" ht="69.95" customHeight="1" x14ac:dyDescent="0.2">
      <c r="A568" s="149"/>
      <c r="B568" s="163" t="s">
        <v>666</v>
      </c>
      <c r="C568" s="1166" t="s">
        <v>667</v>
      </c>
      <c r="D568" s="1167"/>
      <c r="E568" s="1167"/>
      <c r="F568" s="1167"/>
      <c r="G568" s="1167"/>
      <c r="H568" s="1168"/>
      <c r="I568" s="164" t="s">
        <v>668</v>
      </c>
      <c r="J568" s="199" t="s">
        <v>668</v>
      </c>
      <c r="K568" s="669" t="s">
        <v>665</v>
      </c>
      <c r="L568" s="238">
        <v>22</v>
      </c>
      <c r="M568" s="67"/>
      <c r="O568" s="238">
        <v>22</v>
      </c>
    </row>
    <row r="569" spans="1:31" ht="19.5" customHeight="1" x14ac:dyDescent="0.2">
      <c r="A569" s="149"/>
      <c r="B569" s="664"/>
      <c r="C569" s="642"/>
      <c r="D569" s="642"/>
      <c r="E569" s="642"/>
      <c r="F569" s="642"/>
      <c r="G569" s="642"/>
      <c r="H569" s="642"/>
      <c r="I569" s="666"/>
      <c r="J569" s="180"/>
      <c r="K569" s="69"/>
      <c r="L569" s="722"/>
      <c r="M569" s="149"/>
      <c r="N569" s="45"/>
      <c r="O569" s="723"/>
      <c r="P569" s="45"/>
    </row>
    <row r="570" spans="1:31" s="66" customFormat="1" ht="30" customHeight="1" x14ac:dyDescent="0.2">
      <c r="A570" s="149"/>
      <c r="B570" s="1712" t="s">
        <v>673</v>
      </c>
      <c r="C570" s="1712"/>
      <c r="D570" s="1712"/>
      <c r="E570" s="1712"/>
      <c r="F570" s="1712"/>
      <c r="G570" s="1712"/>
      <c r="H570" s="1712"/>
      <c r="I570" s="1712"/>
      <c r="J570" s="1712"/>
      <c r="M570" s="67"/>
      <c r="N570" s="182" t="s">
        <v>30</v>
      </c>
    </row>
    <row r="571" spans="1:31" s="66" customFormat="1" ht="54.95" customHeight="1" x14ac:dyDescent="0.2">
      <c r="A571" s="149"/>
      <c r="B571" s="1252" t="s">
        <v>674</v>
      </c>
      <c r="C571" s="1252"/>
      <c r="D571" s="1252"/>
      <c r="E571" s="1252"/>
      <c r="F571" s="1252"/>
      <c r="G571" s="1252"/>
      <c r="H571" s="1252"/>
      <c r="I571" s="1252"/>
      <c r="J571" s="1252"/>
      <c r="M571" s="67"/>
    </row>
    <row r="572" spans="1:31" s="24" customFormat="1" ht="20.100000000000001" customHeight="1" x14ac:dyDescent="0.2">
      <c r="B572" s="545"/>
      <c r="C572" s="545"/>
      <c r="D572" s="545"/>
      <c r="E572" s="545"/>
      <c r="F572" s="545"/>
      <c r="G572" s="545"/>
      <c r="H572" s="545"/>
      <c r="I572" s="545"/>
      <c r="J572" s="546"/>
      <c r="L572" s="18"/>
      <c r="M572" s="4"/>
      <c r="N572" s="18"/>
      <c r="O572" s="18"/>
      <c r="P572" s="18"/>
    </row>
    <row r="573" spans="1:31" s="24" customFormat="1" ht="30" customHeight="1" x14ac:dyDescent="0.2">
      <c r="B573" s="904" t="s">
        <v>675</v>
      </c>
      <c r="C573" s="1288"/>
      <c r="D573" s="1288"/>
      <c r="E573" s="1288"/>
      <c r="F573" s="1288"/>
      <c r="G573" s="1288"/>
      <c r="H573" s="1288"/>
      <c r="I573" s="1368" t="s">
        <v>676</v>
      </c>
      <c r="J573" s="1369"/>
      <c r="K573" s="18"/>
      <c r="L573" s="18"/>
      <c r="M573" s="4"/>
      <c r="N573" s="46" t="s">
        <v>30</v>
      </c>
      <c r="O573" s="18"/>
      <c r="P573" s="18"/>
    </row>
    <row r="574" spans="1:31" s="24" customFormat="1" ht="85.5" customHeight="1" x14ac:dyDescent="0.2">
      <c r="B574" s="901" t="s">
        <v>677</v>
      </c>
      <c r="C574" s="902"/>
      <c r="D574" s="902"/>
      <c r="E574" s="902"/>
      <c r="F574" s="902"/>
      <c r="G574" s="902"/>
      <c r="H574" s="903"/>
      <c r="I574" s="2011" t="s">
        <v>678</v>
      </c>
      <c r="J574" s="2012"/>
      <c r="K574" s="18"/>
      <c r="L574" s="18"/>
      <c r="M574" s="4"/>
      <c r="N574" s="18"/>
      <c r="O574" s="18"/>
      <c r="P574" s="18"/>
    </row>
    <row r="575" spans="1:31" s="18" customFormat="1" ht="20.100000000000001" customHeight="1" x14ac:dyDescent="0.2">
      <c r="A575" s="24"/>
      <c r="B575" s="85"/>
      <c r="C575" s="85"/>
      <c r="D575" s="85"/>
      <c r="E575" s="85"/>
      <c r="F575" s="85"/>
      <c r="G575" s="85"/>
      <c r="H575" s="85"/>
      <c r="I575" s="85"/>
      <c r="J575" s="253"/>
      <c r="M575" s="4"/>
    </row>
    <row r="576" spans="1:31" s="24" customFormat="1" ht="30" customHeight="1" x14ac:dyDescent="0.2">
      <c r="B576" s="1159" t="s">
        <v>679</v>
      </c>
      <c r="C576" s="1274"/>
      <c r="D576" s="1274"/>
      <c r="E576" s="1274"/>
      <c r="F576" s="1274"/>
      <c r="G576" s="1274"/>
      <c r="H576" s="1275"/>
      <c r="I576" s="1368" t="s">
        <v>676</v>
      </c>
      <c r="J576" s="1369"/>
      <c r="K576" s="18"/>
      <c r="L576" s="18"/>
      <c r="M576" s="4"/>
      <c r="N576" s="46" t="s">
        <v>30</v>
      </c>
      <c r="O576" s="18"/>
      <c r="P576" s="18"/>
    </row>
    <row r="577" spans="1:16" s="24" customFormat="1" ht="162.75" customHeight="1" x14ac:dyDescent="0.2">
      <c r="A577" s="18"/>
      <c r="B577" s="1381" t="s">
        <v>680</v>
      </c>
      <c r="C577" s="1382"/>
      <c r="D577" s="1382"/>
      <c r="E577" s="1382"/>
      <c r="F577" s="1382"/>
      <c r="G577" s="1382"/>
      <c r="H577" s="1383"/>
      <c r="I577" s="1384" t="s">
        <v>681</v>
      </c>
      <c r="J577" s="1385"/>
      <c r="K577" s="18"/>
      <c r="L577" s="58"/>
      <c r="M577" s="79"/>
      <c r="N577" s="4"/>
      <c r="O577" s="4"/>
      <c r="P577" s="59"/>
    </row>
    <row r="578" spans="1:16" ht="20.100000000000001" customHeight="1" x14ac:dyDescent="0.2">
      <c r="A578" s="149"/>
      <c r="B578" s="644"/>
      <c r="C578" s="644"/>
      <c r="D578" s="644"/>
      <c r="E578" s="644"/>
      <c r="F578" s="644"/>
      <c r="G578" s="644"/>
      <c r="H578" s="644"/>
      <c r="I578" s="644"/>
      <c r="J578" s="253"/>
      <c r="K578" s="45"/>
      <c r="L578" s="45"/>
      <c r="M578" s="149"/>
      <c r="N578" s="45"/>
      <c r="O578" s="45"/>
      <c r="P578" s="45"/>
    </row>
    <row r="579" spans="1:16" s="66" customFormat="1" ht="30" customHeight="1" x14ac:dyDescent="0.2">
      <c r="A579" s="149"/>
      <c r="B579" s="1690" t="s">
        <v>682</v>
      </c>
      <c r="C579" s="1691"/>
      <c r="D579" s="1691"/>
      <c r="E579" s="1691"/>
      <c r="F579" s="1691"/>
      <c r="G579" s="1691"/>
      <c r="H579" s="1691"/>
      <c r="I579" s="406" t="s">
        <v>17</v>
      </c>
      <c r="J579" s="35" t="s">
        <v>18</v>
      </c>
      <c r="K579" s="226" t="s">
        <v>683</v>
      </c>
      <c r="L579" s="183">
        <v>23</v>
      </c>
      <c r="M579" s="67"/>
      <c r="N579" s="182" t="s">
        <v>30</v>
      </c>
      <c r="O579" s="183">
        <v>23</v>
      </c>
    </row>
    <row r="580" spans="1:16" s="66" customFormat="1" ht="30" customHeight="1" x14ac:dyDescent="0.2">
      <c r="A580" s="149"/>
      <c r="B580" s="1705" t="s">
        <v>684</v>
      </c>
      <c r="C580" s="1705"/>
      <c r="D580" s="1705"/>
      <c r="E580" s="1705"/>
      <c r="F580" s="1705"/>
      <c r="G580" s="1705"/>
      <c r="H580" s="1705"/>
      <c r="I580" s="1705"/>
      <c r="J580" s="1705"/>
      <c r="K580" s="226" t="s">
        <v>683</v>
      </c>
      <c r="L580" s="183">
        <v>23</v>
      </c>
      <c r="M580" s="67"/>
      <c r="O580" s="183">
        <v>23</v>
      </c>
    </row>
    <row r="581" spans="1:16" s="66" customFormat="1" ht="54.95" customHeight="1" x14ac:dyDescent="0.2">
      <c r="A581" s="149"/>
      <c r="B581" s="725"/>
      <c r="C581" s="1706" t="s">
        <v>685</v>
      </c>
      <c r="D581" s="1706"/>
      <c r="E581" s="1706"/>
      <c r="F581" s="1706"/>
      <c r="G581" s="1706"/>
      <c r="H581" s="1706"/>
      <c r="I581" s="409">
        <v>35</v>
      </c>
      <c r="J581" s="42">
        <v>1</v>
      </c>
      <c r="K581" s="226" t="s">
        <v>683</v>
      </c>
      <c r="L581" s="183">
        <v>23</v>
      </c>
      <c r="M581" s="67"/>
      <c r="O581" s="183">
        <v>23</v>
      </c>
    </row>
    <row r="582" spans="1:16" s="66" customFormat="1" ht="20.100000000000001" customHeight="1" x14ac:dyDescent="0.2">
      <c r="A582" s="149"/>
      <c r="B582" s="566"/>
      <c r="C582" s="566"/>
      <c r="D582" s="566"/>
      <c r="E582" s="566"/>
      <c r="F582" s="566"/>
      <c r="G582" s="566"/>
      <c r="H582" s="566"/>
      <c r="I582" s="567"/>
      <c r="J582" s="33"/>
      <c r="M582" s="67"/>
    </row>
    <row r="583" spans="1:16" s="66" customFormat="1" ht="30" customHeight="1" x14ac:dyDescent="0.2">
      <c r="A583" s="149"/>
      <c r="B583" s="1690" t="s">
        <v>686</v>
      </c>
      <c r="C583" s="1691"/>
      <c r="D583" s="1691"/>
      <c r="E583" s="1691"/>
      <c r="F583" s="1691"/>
      <c r="G583" s="1691"/>
      <c r="H583" s="1691"/>
      <c r="I583" s="406" t="s">
        <v>17</v>
      </c>
      <c r="J583" s="35" t="s">
        <v>18</v>
      </c>
      <c r="K583" s="226" t="s">
        <v>687</v>
      </c>
      <c r="L583" s="183">
        <v>24</v>
      </c>
      <c r="M583" s="67"/>
      <c r="N583" s="182" t="s">
        <v>30</v>
      </c>
      <c r="O583" s="183">
        <v>24</v>
      </c>
    </row>
    <row r="584" spans="1:16" s="66" customFormat="1" ht="30" customHeight="1" x14ac:dyDescent="0.2">
      <c r="A584" s="149"/>
      <c r="B584" s="1705" t="s">
        <v>688</v>
      </c>
      <c r="C584" s="1705"/>
      <c r="D584" s="1705"/>
      <c r="E584" s="1705"/>
      <c r="F584" s="1705"/>
      <c r="G584" s="1705"/>
      <c r="H584" s="1705"/>
      <c r="I584" s="1705"/>
      <c r="J584" s="1705"/>
      <c r="K584" s="226" t="s">
        <v>687</v>
      </c>
      <c r="L584" s="183">
        <v>24</v>
      </c>
      <c r="M584" s="67"/>
      <c r="O584" s="183">
        <v>24</v>
      </c>
    </row>
    <row r="585" spans="1:16" s="66" customFormat="1" ht="69.95" customHeight="1" x14ac:dyDescent="0.2">
      <c r="A585" s="149"/>
      <c r="B585" s="726"/>
      <c r="C585" s="1252" t="s">
        <v>689</v>
      </c>
      <c r="D585" s="1252"/>
      <c r="E585" s="1252"/>
      <c r="F585" s="1252"/>
      <c r="G585" s="1252"/>
      <c r="H585" s="1252"/>
      <c r="I585" s="539">
        <v>51</v>
      </c>
      <c r="J585" s="75">
        <v>1</v>
      </c>
      <c r="K585" s="226" t="s">
        <v>687</v>
      </c>
      <c r="L585" s="183">
        <v>24</v>
      </c>
      <c r="M585" s="67"/>
      <c r="O585" s="183">
        <v>24</v>
      </c>
    </row>
    <row r="586" spans="1:16" s="66" customFormat="1" ht="20.100000000000001" customHeight="1" x14ac:dyDescent="0.2">
      <c r="A586" s="149"/>
      <c r="B586" s="566"/>
      <c r="C586" s="566"/>
      <c r="D586" s="566"/>
      <c r="E586" s="566"/>
      <c r="F586" s="566"/>
      <c r="G586" s="566"/>
      <c r="H586" s="566"/>
      <c r="I586" s="567"/>
      <c r="J586" s="33"/>
      <c r="M586" s="67"/>
    </row>
    <row r="587" spans="1:16" s="66" customFormat="1" ht="30" customHeight="1" x14ac:dyDescent="0.2">
      <c r="A587" s="149"/>
      <c r="B587" s="1690" t="s">
        <v>690</v>
      </c>
      <c r="C587" s="1691"/>
      <c r="D587" s="1691"/>
      <c r="E587" s="1691"/>
      <c r="F587" s="1691"/>
      <c r="G587" s="1691"/>
      <c r="H587" s="1691"/>
      <c r="I587" s="406" t="s">
        <v>17</v>
      </c>
      <c r="J587" s="35" t="s">
        <v>18</v>
      </c>
      <c r="K587" s="669" t="s">
        <v>691</v>
      </c>
      <c r="L587" s="238">
        <v>25</v>
      </c>
      <c r="M587" s="67"/>
      <c r="N587" s="182" t="s">
        <v>30</v>
      </c>
      <c r="O587" s="238">
        <v>25</v>
      </c>
    </row>
    <row r="588" spans="1:16" s="66" customFormat="1" ht="24" customHeight="1" x14ac:dyDescent="0.2">
      <c r="A588" s="149"/>
      <c r="B588" s="1358" t="s">
        <v>692</v>
      </c>
      <c r="C588" s="1359"/>
      <c r="D588" s="1359"/>
      <c r="E588" s="1359"/>
      <c r="F588" s="1359"/>
      <c r="G588" s="1359"/>
      <c r="H588" s="1359"/>
      <c r="I588" s="1359"/>
      <c r="J588" s="1360"/>
      <c r="K588" s="669" t="s">
        <v>691</v>
      </c>
      <c r="L588" s="238">
        <v>25</v>
      </c>
      <c r="M588" s="67"/>
      <c r="O588" s="238">
        <v>25</v>
      </c>
    </row>
    <row r="589" spans="1:16" s="66" customFormat="1" ht="54.95" customHeight="1" x14ac:dyDescent="0.2">
      <c r="A589" s="149"/>
      <c r="B589" s="1692"/>
      <c r="C589" s="1695" t="s">
        <v>899</v>
      </c>
      <c r="D589" s="1696"/>
      <c r="E589" s="1696"/>
      <c r="F589" s="1696"/>
      <c r="G589" s="1696"/>
      <c r="H589" s="1697"/>
      <c r="I589" s="1698">
        <v>0</v>
      </c>
      <c r="J589" s="915">
        <v>1</v>
      </c>
      <c r="K589" s="669" t="s">
        <v>691</v>
      </c>
      <c r="L589" s="238">
        <v>25</v>
      </c>
      <c r="M589" s="67"/>
      <c r="O589" s="238">
        <v>25</v>
      </c>
    </row>
    <row r="590" spans="1:16" s="66" customFormat="1" ht="30" customHeight="1" x14ac:dyDescent="0.2">
      <c r="A590" s="149"/>
      <c r="B590" s="1693"/>
      <c r="C590" s="1701" t="s">
        <v>694</v>
      </c>
      <c r="D590" s="1702"/>
      <c r="E590" s="1702" t="s">
        <v>695</v>
      </c>
      <c r="F590" s="1702"/>
      <c r="G590" s="1702" t="s">
        <v>696</v>
      </c>
      <c r="H590" s="1703"/>
      <c r="I590" s="1699"/>
      <c r="J590" s="1045"/>
      <c r="K590" s="669" t="s">
        <v>691</v>
      </c>
      <c r="L590" s="238">
        <v>25</v>
      </c>
      <c r="M590" s="67"/>
      <c r="O590" s="238">
        <v>25</v>
      </c>
    </row>
    <row r="591" spans="1:16" s="66" customFormat="1" ht="30" customHeight="1" x14ac:dyDescent="0.2">
      <c r="A591" s="149"/>
      <c r="B591" s="1694"/>
      <c r="C591" s="1704" t="s">
        <v>697</v>
      </c>
      <c r="D591" s="1685"/>
      <c r="E591" s="1685"/>
      <c r="F591" s="1685"/>
      <c r="G591" s="1685"/>
      <c r="H591" s="1686"/>
      <c r="I591" s="1700"/>
      <c r="J591" s="916"/>
      <c r="K591" s="669" t="s">
        <v>691</v>
      </c>
      <c r="L591" s="238">
        <v>25</v>
      </c>
      <c r="M591" s="67"/>
      <c r="O591" s="238">
        <v>25</v>
      </c>
    </row>
    <row r="592" spans="1:16" ht="20.100000000000001" customHeight="1" x14ac:dyDescent="0.2">
      <c r="A592" s="149"/>
      <c r="B592" s="727"/>
      <c r="C592" s="649"/>
      <c r="D592" s="649"/>
      <c r="E592" s="649"/>
      <c r="F592" s="649"/>
      <c r="G592" s="649"/>
      <c r="H592" s="649"/>
      <c r="I592" s="618"/>
      <c r="J592" s="128"/>
      <c r="K592" s="728"/>
      <c r="L592" s="723"/>
      <c r="M592" s="149"/>
      <c r="N592" s="45"/>
      <c r="O592" s="723"/>
      <c r="P592" s="45"/>
    </row>
    <row r="593" spans="1:16" s="66" customFormat="1" ht="30" customHeight="1" x14ac:dyDescent="0.2">
      <c r="A593" s="45"/>
      <c r="B593" s="1687" t="s">
        <v>737</v>
      </c>
      <c r="C593" s="1688"/>
      <c r="D593" s="1688"/>
      <c r="E593" s="1688"/>
      <c r="F593" s="1688"/>
      <c r="G593" s="1688"/>
      <c r="H593" s="1689"/>
      <c r="I593" s="406" t="s">
        <v>17</v>
      </c>
      <c r="J593" s="193" t="s">
        <v>18</v>
      </c>
      <c r="K593" s="669" t="s">
        <v>738</v>
      </c>
      <c r="L593" s="238">
        <v>31</v>
      </c>
      <c r="M593" s="67"/>
      <c r="N593" s="182" t="s">
        <v>30</v>
      </c>
      <c r="O593" s="238">
        <v>31</v>
      </c>
    </row>
    <row r="594" spans="1:16" s="66" customFormat="1" ht="64.5" customHeight="1" x14ac:dyDescent="0.2">
      <c r="A594" s="45"/>
      <c r="B594" s="1166" t="s">
        <v>808</v>
      </c>
      <c r="C594" s="1167"/>
      <c r="D594" s="1167"/>
      <c r="E594" s="1167"/>
      <c r="F594" s="1167"/>
      <c r="G594" s="1167"/>
      <c r="H594" s="1168"/>
      <c r="I594" s="164">
        <v>0</v>
      </c>
      <c r="J594" s="199">
        <v>1</v>
      </c>
      <c r="K594" s="669" t="s">
        <v>738</v>
      </c>
      <c r="L594" s="238">
        <v>31</v>
      </c>
      <c r="M594" s="67"/>
      <c r="O594" s="238">
        <v>31</v>
      </c>
    </row>
    <row r="595" spans="1:16" s="66" customFormat="1" ht="20.100000000000001" customHeight="1" x14ac:dyDescent="0.2">
      <c r="A595" s="45"/>
      <c r="B595" s="642"/>
      <c r="C595" s="642"/>
      <c r="D595" s="642"/>
      <c r="E595" s="642"/>
      <c r="F595" s="642"/>
      <c r="G595" s="642"/>
      <c r="H595" s="642"/>
      <c r="I595" s="666"/>
      <c r="J595" s="180"/>
      <c r="K595" s="69"/>
      <c r="L595" s="722"/>
      <c r="M595" s="67"/>
      <c r="O595" s="238"/>
    </row>
    <row r="596" spans="1:16" s="66" customFormat="1" ht="30" customHeight="1" x14ac:dyDescent="0.2">
      <c r="A596" s="45"/>
      <c r="B596" s="1355" t="s">
        <v>804</v>
      </c>
      <c r="C596" s="1356"/>
      <c r="D596" s="1356"/>
      <c r="E596" s="1356"/>
      <c r="F596" s="1356"/>
      <c r="G596" s="1356"/>
      <c r="H596" s="1357"/>
      <c r="I596" s="406" t="s">
        <v>17</v>
      </c>
      <c r="J596" s="35" t="s">
        <v>18</v>
      </c>
      <c r="K596" s="669" t="s">
        <v>805</v>
      </c>
      <c r="L596" s="238">
        <v>34</v>
      </c>
      <c r="M596" s="67"/>
      <c r="N596" s="182" t="s">
        <v>30</v>
      </c>
      <c r="O596" s="238">
        <v>34</v>
      </c>
    </row>
    <row r="597" spans="1:16" s="66" customFormat="1" ht="30" customHeight="1" x14ac:dyDescent="0.2">
      <c r="A597" s="45"/>
      <c r="B597" s="1358" t="s">
        <v>806</v>
      </c>
      <c r="C597" s="1359"/>
      <c r="D597" s="1359"/>
      <c r="E597" s="1359"/>
      <c r="F597" s="1359"/>
      <c r="G597" s="1359"/>
      <c r="H597" s="1359"/>
      <c r="I597" s="1359"/>
      <c r="J597" s="1360"/>
      <c r="K597" s="669" t="s">
        <v>805</v>
      </c>
      <c r="L597" s="238">
        <v>34</v>
      </c>
      <c r="M597" s="67"/>
      <c r="O597" s="238">
        <v>34</v>
      </c>
    </row>
    <row r="598" spans="1:16" ht="90" customHeight="1" x14ac:dyDescent="0.2">
      <c r="A598" s="45"/>
      <c r="B598" s="726"/>
      <c r="C598" s="1252" t="s">
        <v>807</v>
      </c>
      <c r="D598" s="1252"/>
      <c r="E598" s="1252"/>
      <c r="F598" s="1252"/>
      <c r="G598" s="1252"/>
      <c r="H598" s="1252"/>
      <c r="I598" s="539">
        <v>0</v>
      </c>
      <c r="J598" s="75">
        <v>1</v>
      </c>
      <c r="K598" s="669" t="s">
        <v>805</v>
      </c>
      <c r="L598" s="238">
        <v>34</v>
      </c>
      <c r="M598" s="149"/>
      <c r="N598" s="45"/>
      <c r="O598" s="238">
        <v>34</v>
      </c>
      <c r="P598" s="45"/>
    </row>
    <row r="599" spans="1:16" ht="20.100000000000001" customHeight="1" x14ac:dyDescent="0.2">
      <c r="A599" s="45"/>
      <c r="B599" s="822"/>
      <c r="C599" s="644"/>
      <c r="D599" s="644"/>
      <c r="E599" s="644"/>
      <c r="F599" s="644"/>
      <c r="G599" s="644"/>
      <c r="H599" s="644"/>
      <c r="I599" s="585"/>
      <c r="J599" s="78"/>
      <c r="K599" s="728"/>
      <c r="L599" s="723"/>
      <c r="M599" s="149"/>
      <c r="N599" s="45"/>
      <c r="O599" s="723"/>
      <c r="P599" s="45"/>
    </row>
    <row r="600" spans="1:16" s="66" customFormat="1" ht="30" customHeight="1" x14ac:dyDescent="0.2">
      <c r="A600" s="67"/>
      <c r="B600" s="1355" t="s">
        <v>698</v>
      </c>
      <c r="C600" s="1673"/>
      <c r="D600" s="1673"/>
      <c r="E600" s="1673"/>
      <c r="F600" s="1673"/>
      <c r="G600" s="1673"/>
      <c r="H600" s="1674"/>
      <c r="I600" s="406" t="s">
        <v>17</v>
      </c>
      <c r="J600" s="35" t="s">
        <v>18</v>
      </c>
      <c r="K600" s="226" t="s">
        <v>699</v>
      </c>
      <c r="L600" s="183">
        <v>26</v>
      </c>
      <c r="M600" s="67"/>
      <c r="N600" s="182" t="s">
        <v>30</v>
      </c>
      <c r="O600" s="183">
        <v>26</v>
      </c>
    </row>
    <row r="601" spans="1:16" s="66" customFormat="1" ht="39.950000000000003" customHeight="1" x14ac:dyDescent="0.2">
      <c r="A601" s="67"/>
      <c r="B601" s="1161" t="s">
        <v>700</v>
      </c>
      <c r="C601" s="1359"/>
      <c r="D601" s="1359"/>
      <c r="E601" s="1359"/>
      <c r="F601" s="1359"/>
      <c r="G601" s="1359"/>
      <c r="H601" s="1359"/>
      <c r="I601" s="1359"/>
      <c r="J601" s="1360"/>
      <c r="K601" s="226" t="s">
        <v>699</v>
      </c>
      <c r="L601" s="183">
        <v>26</v>
      </c>
      <c r="M601" s="67"/>
      <c r="O601" s="183">
        <v>26</v>
      </c>
    </row>
    <row r="602" spans="1:16" s="66" customFormat="1" ht="50.1" customHeight="1" x14ac:dyDescent="0.2">
      <c r="A602" s="67"/>
      <c r="B602" s="725" t="s">
        <v>701</v>
      </c>
      <c r="C602" s="1682" t="s">
        <v>702</v>
      </c>
      <c r="D602" s="1649"/>
      <c r="E602" s="1649"/>
      <c r="F602" s="1649"/>
      <c r="G602" s="1649"/>
      <c r="H602" s="1649"/>
      <c r="I602" s="733">
        <v>0</v>
      </c>
      <c r="J602" s="405">
        <v>1</v>
      </c>
      <c r="K602" s="226" t="s">
        <v>699</v>
      </c>
      <c r="L602" s="183">
        <v>26</v>
      </c>
      <c r="M602" s="67"/>
      <c r="O602" s="183">
        <v>26</v>
      </c>
    </row>
    <row r="603" spans="1:16" s="66" customFormat="1" ht="20.100000000000001" customHeight="1" x14ac:dyDescent="0.2">
      <c r="A603" s="149"/>
      <c r="B603" s="591"/>
      <c r="C603" s="648"/>
      <c r="D603" s="648"/>
      <c r="E603" s="648"/>
      <c r="F603" s="648"/>
      <c r="G603" s="648"/>
      <c r="H603" s="648"/>
      <c r="I603" s="593"/>
      <c r="J603" s="65"/>
      <c r="M603" s="67"/>
    </row>
    <row r="604" spans="1:16" s="66" customFormat="1" ht="30" customHeight="1" x14ac:dyDescent="0.2">
      <c r="A604" s="149"/>
      <c r="B604" s="1355" t="s">
        <v>703</v>
      </c>
      <c r="C604" s="1673"/>
      <c r="D604" s="1673"/>
      <c r="E604" s="1673"/>
      <c r="F604" s="1673"/>
      <c r="G604" s="1673"/>
      <c r="H604" s="1674"/>
      <c r="I604" s="1683" t="s">
        <v>17</v>
      </c>
      <c r="J604" s="1684"/>
      <c r="K604" s="226" t="s">
        <v>704</v>
      </c>
      <c r="L604" s="183">
        <v>27</v>
      </c>
      <c r="M604" s="67"/>
      <c r="N604" s="182" t="s">
        <v>30</v>
      </c>
      <c r="O604" s="183">
        <v>27</v>
      </c>
      <c r="P604" s="45"/>
    </row>
    <row r="605" spans="1:16" ht="80.099999999999994" customHeight="1" x14ac:dyDescent="0.2">
      <c r="A605" s="149"/>
      <c r="B605" s="726" t="s">
        <v>705</v>
      </c>
      <c r="C605" s="1169" t="s">
        <v>706</v>
      </c>
      <c r="D605" s="1170"/>
      <c r="E605" s="1170"/>
      <c r="F605" s="1170"/>
      <c r="G605" s="1170"/>
      <c r="H605" s="1171"/>
      <c r="I605" s="1678">
        <v>145</v>
      </c>
      <c r="J605" s="1678"/>
      <c r="K605" s="226" t="s">
        <v>704</v>
      </c>
      <c r="L605" s="183">
        <v>27</v>
      </c>
      <c r="M605" s="149"/>
      <c r="N605" s="45"/>
      <c r="O605" s="183">
        <v>27</v>
      </c>
      <c r="P605" s="45"/>
    </row>
    <row r="606" spans="1:16" s="66" customFormat="1" ht="80.099999999999994" customHeight="1" x14ac:dyDescent="0.2">
      <c r="A606" s="149"/>
      <c r="B606" s="726" t="s">
        <v>707</v>
      </c>
      <c r="C606" s="1169" t="s">
        <v>708</v>
      </c>
      <c r="D606" s="1170"/>
      <c r="E606" s="1170"/>
      <c r="F606" s="1170"/>
      <c r="G606" s="1170"/>
      <c r="H606" s="1171"/>
      <c r="I606" s="1680">
        <v>120</v>
      </c>
      <c r="J606" s="1681"/>
      <c r="K606" s="226" t="s">
        <v>704</v>
      </c>
      <c r="L606" s="183">
        <v>27</v>
      </c>
      <c r="M606" s="67"/>
      <c r="N606" s="182" t="s">
        <v>30</v>
      </c>
      <c r="O606" s="183">
        <v>27</v>
      </c>
      <c r="P606" s="45"/>
    </row>
    <row r="607" spans="1:16" s="66" customFormat="1" ht="24.95" customHeight="1" x14ac:dyDescent="0.2">
      <c r="A607" s="149"/>
      <c r="B607" s="1365" t="s">
        <v>709</v>
      </c>
      <c r="C607" s="1169" t="s">
        <v>710</v>
      </c>
      <c r="D607" s="1170"/>
      <c r="E607" s="1170"/>
      <c r="F607" s="1170"/>
      <c r="G607" s="1170"/>
      <c r="H607" s="1171"/>
      <c r="I607" s="1680">
        <v>50</v>
      </c>
      <c r="J607" s="1681"/>
      <c r="K607" s="226" t="s">
        <v>704</v>
      </c>
      <c r="L607" s="183">
        <v>27</v>
      </c>
      <c r="M607" s="67"/>
      <c r="N607" s="182" t="s">
        <v>30</v>
      </c>
      <c r="O607" s="183">
        <v>27</v>
      </c>
    </row>
    <row r="608" spans="1:16" s="66" customFormat="1" ht="24.95" customHeight="1" x14ac:dyDescent="0.2">
      <c r="A608" s="149"/>
      <c r="B608" s="1366"/>
      <c r="C608" s="1170" t="s">
        <v>711</v>
      </c>
      <c r="D608" s="1170"/>
      <c r="E608" s="1170"/>
      <c r="F608" s="1170"/>
      <c r="G608" s="1170"/>
      <c r="H608" s="1170"/>
      <c r="I608" s="1678">
        <v>50</v>
      </c>
      <c r="J608" s="1678"/>
      <c r="K608" s="226" t="s">
        <v>704</v>
      </c>
      <c r="L608" s="183">
        <v>27</v>
      </c>
      <c r="M608" s="67"/>
      <c r="O608" s="183">
        <v>27</v>
      </c>
    </row>
    <row r="609" spans="1:16" s="66" customFormat="1" ht="24.95" customHeight="1" x14ac:dyDescent="0.2">
      <c r="A609" s="149"/>
      <c r="B609" s="1366"/>
      <c r="C609" s="1283" t="s">
        <v>712</v>
      </c>
      <c r="D609" s="1283"/>
      <c r="E609" s="1283"/>
      <c r="F609" s="1283"/>
      <c r="G609" s="1283"/>
      <c r="H609" s="1283"/>
      <c r="I609" s="1678">
        <v>40</v>
      </c>
      <c r="J609" s="1678"/>
      <c r="K609" s="226" t="s">
        <v>704</v>
      </c>
      <c r="L609" s="183">
        <v>27</v>
      </c>
      <c r="M609" s="67"/>
      <c r="O609" s="183">
        <v>27</v>
      </c>
    </row>
    <row r="610" spans="1:16" s="66" customFormat="1" ht="24.95" customHeight="1" x14ac:dyDescent="0.2">
      <c r="A610" s="149"/>
      <c r="B610" s="1366"/>
      <c r="C610" s="1170" t="s">
        <v>713</v>
      </c>
      <c r="D610" s="1170"/>
      <c r="E610" s="1170"/>
      <c r="F610" s="1170"/>
      <c r="G610" s="1170"/>
      <c r="H610" s="1170"/>
      <c r="I610" s="1678">
        <v>30</v>
      </c>
      <c r="J610" s="1678"/>
      <c r="K610" s="226" t="s">
        <v>704</v>
      </c>
      <c r="L610" s="183">
        <v>27</v>
      </c>
      <c r="M610" s="67"/>
      <c r="O610" s="183">
        <v>27</v>
      </c>
    </row>
    <row r="611" spans="1:16" s="66" customFormat="1" ht="24.95" customHeight="1" x14ac:dyDescent="0.2">
      <c r="A611" s="149"/>
      <c r="B611" s="1366"/>
      <c r="C611" s="1252" t="s">
        <v>714</v>
      </c>
      <c r="D611" s="1252"/>
      <c r="E611" s="1252"/>
      <c r="F611" s="1252"/>
      <c r="G611" s="1252"/>
      <c r="H611" s="1252"/>
      <c r="I611" s="1678">
        <v>25</v>
      </c>
      <c r="J611" s="1678"/>
      <c r="K611" s="226" t="s">
        <v>704</v>
      </c>
      <c r="L611" s="183">
        <v>27</v>
      </c>
      <c r="M611" s="67"/>
      <c r="N611" s="67"/>
      <c r="O611" s="183">
        <v>27</v>
      </c>
    </row>
    <row r="612" spans="1:16" s="66" customFormat="1" ht="24.95" customHeight="1" x14ac:dyDescent="0.2">
      <c r="A612" s="149"/>
      <c r="B612" s="1366"/>
      <c r="C612" s="1252" t="s">
        <v>715</v>
      </c>
      <c r="D612" s="1679"/>
      <c r="E612" s="1679"/>
      <c r="F612" s="1679"/>
      <c r="G612" s="1679"/>
      <c r="H612" s="1679"/>
      <c r="I612" s="1678">
        <v>30</v>
      </c>
      <c r="J612" s="1678"/>
      <c r="K612" s="226" t="s">
        <v>704</v>
      </c>
      <c r="L612" s="183">
        <v>27</v>
      </c>
      <c r="M612" s="67"/>
      <c r="O612" s="183">
        <v>27</v>
      </c>
    </row>
    <row r="613" spans="1:16" s="66" customFormat="1" ht="24.95" customHeight="1" x14ac:dyDescent="0.2">
      <c r="A613" s="149"/>
      <c r="B613" s="1366"/>
      <c r="C613" s="1252" t="s">
        <v>716</v>
      </c>
      <c r="D613" s="1679"/>
      <c r="E613" s="1679"/>
      <c r="F613" s="1679"/>
      <c r="G613" s="1679"/>
      <c r="H613" s="1679"/>
      <c r="I613" s="1678">
        <v>18</v>
      </c>
      <c r="J613" s="1678"/>
      <c r="K613" s="226" t="s">
        <v>704</v>
      </c>
      <c r="L613" s="183">
        <v>27</v>
      </c>
      <c r="M613" s="67"/>
      <c r="O613" s="183">
        <v>27</v>
      </c>
    </row>
    <row r="614" spans="1:16" s="66" customFormat="1" ht="24.95" customHeight="1" x14ac:dyDescent="0.2">
      <c r="A614" s="149"/>
      <c r="B614" s="1366"/>
      <c r="C614" s="1252" t="s">
        <v>717</v>
      </c>
      <c r="D614" s="1679"/>
      <c r="E614" s="1679"/>
      <c r="F614" s="1679"/>
      <c r="G614" s="1679"/>
      <c r="H614" s="1679"/>
      <c r="I614" s="1678">
        <v>18</v>
      </c>
      <c r="J614" s="1678"/>
      <c r="K614" s="226" t="s">
        <v>704</v>
      </c>
      <c r="L614" s="183">
        <v>27</v>
      </c>
      <c r="M614" s="67"/>
      <c r="O614" s="183">
        <v>27</v>
      </c>
    </row>
    <row r="615" spans="1:16" s="66" customFormat="1" ht="24.95" customHeight="1" x14ac:dyDescent="0.2">
      <c r="A615" s="149"/>
      <c r="B615" s="1366"/>
      <c r="C615" s="1252" t="s">
        <v>718</v>
      </c>
      <c r="D615" s="1252"/>
      <c r="E615" s="1252"/>
      <c r="F615" s="1252"/>
      <c r="G615" s="1252"/>
      <c r="H615" s="1252"/>
      <c r="I615" s="1678">
        <v>25</v>
      </c>
      <c r="J615" s="1678"/>
      <c r="K615" s="226" t="s">
        <v>704</v>
      </c>
      <c r="L615" s="183">
        <v>27</v>
      </c>
      <c r="M615" s="67"/>
      <c r="O615" s="183">
        <v>27</v>
      </c>
    </row>
    <row r="616" spans="1:16" s="66" customFormat="1" ht="24.95" customHeight="1" x14ac:dyDescent="0.2">
      <c r="A616" s="149"/>
      <c r="B616" s="1366"/>
      <c r="C616" s="1252" t="s">
        <v>719</v>
      </c>
      <c r="D616" s="1252"/>
      <c r="E616" s="1252"/>
      <c r="F616" s="1252"/>
      <c r="G616" s="1252"/>
      <c r="H616" s="1252"/>
      <c r="I616" s="1678">
        <v>18</v>
      </c>
      <c r="J616" s="1678"/>
      <c r="K616" s="226" t="s">
        <v>704</v>
      </c>
      <c r="L616" s="183">
        <v>27</v>
      </c>
      <c r="M616" s="67"/>
      <c r="O616" s="183">
        <v>27</v>
      </c>
    </row>
    <row r="617" spans="1:16" s="66" customFormat="1" ht="24.95" customHeight="1" x14ac:dyDescent="0.2">
      <c r="A617" s="149"/>
      <c r="B617" s="1366"/>
      <c r="C617" s="1252" t="s">
        <v>720</v>
      </c>
      <c r="D617" s="1252"/>
      <c r="E617" s="1252"/>
      <c r="F617" s="1252"/>
      <c r="G617" s="1252"/>
      <c r="H617" s="1252"/>
      <c r="I617" s="1678">
        <v>10</v>
      </c>
      <c r="J617" s="1678"/>
      <c r="K617" s="226" t="s">
        <v>704</v>
      </c>
      <c r="L617" s="183">
        <v>27</v>
      </c>
      <c r="M617" s="67"/>
      <c r="O617" s="183">
        <v>27</v>
      </c>
    </row>
    <row r="618" spans="1:16" s="66" customFormat="1" ht="24.95" customHeight="1" x14ac:dyDescent="0.2">
      <c r="A618" s="149"/>
      <c r="B618" s="1366"/>
      <c r="C618" s="1252" t="s">
        <v>721</v>
      </c>
      <c r="D618" s="1252"/>
      <c r="E618" s="1252"/>
      <c r="F618" s="1252"/>
      <c r="G618" s="1252"/>
      <c r="H618" s="1252"/>
      <c r="I618" s="1678">
        <v>18</v>
      </c>
      <c r="J618" s="1678"/>
      <c r="K618" s="226" t="s">
        <v>704</v>
      </c>
      <c r="L618" s="183">
        <v>27</v>
      </c>
      <c r="M618" s="67"/>
      <c r="O618" s="183">
        <v>27</v>
      </c>
    </row>
    <row r="619" spans="1:16" s="66" customFormat="1" ht="43.5" customHeight="1" x14ac:dyDescent="0.2">
      <c r="A619" s="149"/>
      <c r="B619" s="1352" t="s">
        <v>722</v>
      </c>
      <c r="C619" s="1353"/>
      <c r="D619" s="1353"/>
      <c r="E619" s="1353"/>
      <c r="F619" s="1353"/>
      <c r="G619" s="1353"/>
      <c r="H619" s="1353"/>
      <c r="I619" s="1353"/>
      <c r="J619" s="1354"/>
      <c r="K619" s="226" t="s">
        <v>704</v>
      </c>
      <c r="L619" s="183">
        <v>27</v>
      </c>
      <c r="M619" s="67"/>
      <c r="N619" s="182" t="s">
        <v>30</v>
      </c>
      <c r="O619" s="183">
        <v>27</v>
      </c>
    </row>
    <row r="620" spans="1:16" s="66" customFormat="1" ht="20.100000000000001" customHeight="1" x14ac:dyDescent="0.2">
      <c r="A620" s="149"/>
      <c r="B620" s="648"/>
      <c r="C620" s="648"/>
      <c r="D620" s="648"/>
      <c r="E620" s="648"/>
      <c r="F620" s="648"/>
      <c r="G620" s="648"/>
      <c r="H620" s="648"/>
      <c r="I620" s="593"/>
      <c r="J620" s="65"/>
      <c r="M620" s="67"/>
    </row>
    <row r="621" spans="1:16" s="66" customFormat="1" ht="30" customHeight="1" x14ac:dyDescent="0.2">
      <c r="A621" s="149"/>
      <c r="B621" s="1355" t="s">
        <v>730</v>
      </c>
      <c r="C621" s="1673"/>
      <c r="D621" s="1673"/>
      <c r="E621" s="1673"/>
      <c r="F621" s="1673"/>
      <c r="G621" s="1673"/>
      <c r="H621" s="1674"/>
      <c r="I621" s="406" t="s">
        <v>17</v>
      </c>
      <c r="J621" s="35" t="s">
        <v>18</v>
      </c>
      <c r="K621" s="614" t="s">
        <v>731</v>
      </c>
      <c r="L621" s="734">
        <v>29</v>
      </c>
      <c r="M621" s="67"/>
      <c r="N621" s="182" t="s">
        <v>30</v>
      </c>
      <c r="O621" s="734">
        <v>29</v>
      </c>
    </row>
    <row r="622" spans="1:16" s="66" customFormat="1" ht="30" customHeight="1" x14ac:dyDescent="0.2">
      <c r="A622" s="149"/>
      <c r="B622" s="735" t="s">
        <v>732</v>
      </c>
      <c r="C622" s="691"/>
      <c r="D622" s="691"/>
      <c r="E622" s="691"/>
      <c r="F622" s="691"/>
      <c r="G622" s="691"/>
      <c r="H622" s="691"/>
      <c r="I622" s="736"/>
      <c r="J622" s="523"/>
      <c r="K622" s="614" t="s">
        <v>731</v>
      </c>
      <c r="L622" s="734">
        <v>29</v>
      </c>
      <c r="M622" s="67"/>
      <c r="O622" s="734">
        <v>29</v>
      </c>
    </row>
    <row r="623" spans="1:16" s="66" customFormat="1" ht="279.95" customHeight="1" x14ac:dyDescent="0.2">
      <c r="A623" s="149"/>
      <c r="B623" s="538" t="s">
        <v>328</v>
      </c>
      <c r="C623" s="1635" t="s">
        <v>891</v>
      </c>
      <c r="D623" s="1636"/>
      <c r="E623" s="1636"/>
      <c r="F623" s="1636"/>
      <c r="G623" s="1636"/>
      <c r="H623" s="1637"/>
      <c r="I623" s="409">
        <v>0</v>
      </c>
      <c r="J623" s="42">
        <v>1</v>
      </c>
      <c r="K623" s="614" t="s">
        <v>731</v>
      </c>
      <c r="L623" s="734">
        <v>29</v>
      </c>
      <c r="M623" s="67"/>
      <c r="O623" s="734">
        <v>29</v>
      </c>
    </row>
    <row r="624" spans="1:16" ht="20.100000000000001" customHeight="1" x14ac:dyDescent="0.2">
      <c r="A624" s="149"/>
      <c r="B624" s="721"/>
      <c r="C624" s="648"/>
      <c r="D624" s="648"/>
      <c r="E624" s="648"/>
      <c r="F624" s="648"/>
      <c r="G624" s="648"/>
      <c r="H624" s="648"/>
      <c r="I624" s="618"/>
      <c r="J624" s="128"/>
      <c r="K624" s="69"/>
      <c r="L624" s="722"/>
      <c r="M624" s="149"/>
      <c r="N624" s="45"/>
      <c r="O624" s="737"/>
      <c r="P624" s="45"/>
    </row>
    <row r="625" spans="1:31" s="66" customFormat="1" ht="30" customHeight="1" x14ac:dyDescent="0.2">
      <c r="A625" s="149"/>
      <c r="B625" s="1675" t="s">
        <v>740</v>
      </c>
      <c r="C625" s="1676"/>
      <c r="D625" s="1676"/>
      <c r="E625" s="1676"/>
      <c r="F625" s="1676"/>
      <c r="G625" s="1676"/>
      <c r="H625" s="1677"/>
      <c r="I625" s="406" t="s">
        <v>17</v>
      </c>
      <c r="J625" s="193" t="s">
        <v>18</v>
      </c>
      <c r="K625" s="669" t="s">
        <v>741</v>
      </c>
      <c r="L625" s="238">
        <v>32</v>
      </c>
      <c r="M625" s="67"/>
      <c r="N625" s="182" t="s">
        <v>30</v>
      </c>
      <c r="O625" s="238">
        <v>32</v>
      </c>
    </row>
    <row r="626" spans="1:31" s="66" customFormat="1" ht="64.5" customHeight="1" x14ac:dyDescent="0.2">
      <c r="A626" s="149"/>
      <c r="B626" s="1166" t="s">
        <v>742</v>
      </c>
      <c r="C626" s="1167"/>
      <c r="D626" s="1167"/>
      <c r="E626" s="1167"/>
      <c r="F626" s="1167"/>
      <c r="G626" s="1167"/>
      <c r="H626" s="1168"/>
      <c r="I626" s="164">
        <v>0</v>
      </c>
      <c r="J626" s="199">
        <v>1</v>
      </c>
      <c r="K626" s="669" t="s">
        <v>741</v>
      </c>
      <c r="L626" s="238">
        <v>32</v>
      </c>
      <c r="M626" s="67"/>
      <c r="O626" s="238">
        <v>32</v>
      </c>
    </row>
    <row r="627" spans="1:31" ht="20.100000000000001" customHeight="1" x14ac:dyDescent="0.2">
      <c r="A627" s="149"/>
      <c r="B627" s="642"/>
      <c r="C627" s="642"/>
      <c r="D627" s="642"/>
      <c r="E627" s="642"/>
      <c r="F627" s="642"/>
      <c r="G627" s="642"/>
      <c r="H627" s="642"/>
      <c r="I627" s="666"/>
      <c r="J627" s="180"/>
      <c r="K627" s="69"/>
      <c r="L627" s="722"/>
      <c r="M627" s="149"/>
      <c r="N627" s="45"/>
      <c r="O627" s="723"/>
      <c r="P627" s="45"/>
    </row>
    <row r="628" spans="1:31" ht="30" customHeight="1" x14ac:dyDescent="0.2">
      <c r="A628" s="45"/>
      <c r="B628" s="1623" t="s">
        <v>517</v>
      </c>
      <c r="C628" s="1624"/>
      <c r="D628" s="1624"/>
      <c r="E628" s="1624"/>
      <c r="F628" s="1624"/>
      <c r="G628" s="1624"/>
      <c r="H628" s="1624"/>
      <c r="I628" s="1624"/>
      <c r="J628" s="1625"/>
      <c r="N628" s="182" t="s">
        <v>30</v>
      </c>
    </row>
    <row r="629" spans="1:31" ht="30" customHeight="1" x14ac:dyDescent="0.2">
      <c r="A629" s="45"/>
      <c r="B629" s="738" t="s">
        <v>518</v>
      </c>
      <c r="C629" s="739"/>
      <c r="D629" s="739"/>
      <c r="E629" s="739"/>
      <c r="F629" s="739"/>
      <c r="G629" s="739"/>
      <c r="H629" s="739"/>
      <c r="I629" s="740"/>
      <c r="J629" s="276"/>
    </row>
    <row r="630" spans="1:31" ht="69.95" customHeight="1" x14ac:dyDescent="0.2">
      <c r="A630" s="45"/>
      <c r="B630" s="1659" t="s">
        <v>905</v>
      </c>
      <c r="C630" s="1660"/>
      <c r="D630" s="1660"/>
      <c r="E630" s="1660"/>
      <c r="F630" s="1660"/>
      <c r="G630" s="1660"/>
      <c r="H630" s="1660"/>
      <c r="I630" s="1660"/>
      <c r="J630" s="1661"/>
    </row>
    <row r="631" spans="1:31" ht="20.100000000000001" customHeight="1" x14ac:dyDescent="0.2">
      <c r="A631" s="45"/>
      <c r="B631" s="648"/>
      <c r="C631" s="621"/>
      <c r="D631" s="621"/>
      <c r="E631" s="621"/>
      <c r="F631" s="621"/>
      <c r="G631" s="621"/>
      <c r="H631" s="621"/>
      <c r="I631" s="593"/>
      <c r="J631" s="65"/>
      <c r="N631" s="149"/>
    </row>
    <row r="632" spans="1:31" ht="30" customHeight="1" x14ac:dyDescent="0.2">
      <c r="A632" s="45"/>
      <c r="B632" s="1623" t="s">
        <v>522</v>
      </c>
      <c r="C632" s="1624"/>
      <c r="D632" s="1624"/>
      <c r="E632" s="1624"/>
      <c r="F632" s="1624"/>
      <c r="G632" s="1624"/>
      <c r="H632" s="1624"/>
      <c r="I632" s="1624"/>
      <c r="J632" s="1625"/>
      <c r="N632" s="182" t="s">
        <v>30</v>
      </c>
    </row>
    <row r="633" spans="1:31" ht="20.100000000000001" customHeight="1" x14ac:dyDescent="0.2">
      <c r="A633" s="45"/>
    </row>
    <row r="634" spans="1:31" ht="30" customHeight="1" x14ac:dyDescent="0.2">
      <c r="A634" s="45"/>
      <c r="B634" s="1662" t="str">
        <f>$B$7</f>
        <v xml:space="preserve"> HIJOS DE CESANTES DE 18 A 28 AÑOS (INCLUSIVE)</v>
      </c>
      <c r="C634" s="1663"/>
      <c r="D634" s="1663"/>
      <c r="E634" s="1663"/>
      <c r="F634" s="1663"/>
      <c r="G634" s="1663"/>
      <c r="H634" s="1663"/>
      <c r="I634" s="1663"/>
      <c r="J634" s="1664"/>
      <c r="N634" s="182" t="s">
        <v>30</v>
      </c>
    </row>
    <row r="635" spans="1:31" ht="20.100000000000001" customHeight="1" x14ac:dyDescent="0.2">
      <c r="A635" s="45"/>
      <c r="B635" s="741"/>
    </row>
    <row r="636" spans="1:31" s="66" customFormat="1" ht="24.95" customHeight="1" x14ac:dyDescent="0.2">
      <c r="A636" s="45"/>
      <c r="B636" s="1665" t="s">
        <v>523</v>
      </c>
      <c r="C636" s="1666"/>
      <c r="D636" s="1666"/>
      <c r="E636" s="1665" t="s">
        <v>524</v>
      </c>
      <c r="F636" s="1667"/>
      <c r="G636" s="148"/>
      <c r="H636" s="148"/>
      <c r="I636" s="555"/>
      <c r="J636" s="234"/>
    </row>
    <row r="637" spans="1:31" s="66" customFormat="1" ht="24.95" customHeight="1" x14ac:dyDescent="0.2">
      <c r="A637" s="45"/>
      <c r="B637" s="1670" t="s">
        <v>525</v>
      </c>
      <c r="C637" s="1671"/>
      <c r="D637" s="1671"/>
      <c r="E637" s="1668"/>
      <c r="F637" s="1669"/>
      <c r="G637" s="1672"/>
      <c r="H637" s="1672"/>
      <c r="I637" s="1672"/>
      <c r="J637" s="1672"/>
    </row>
    <row r="638" spans="1:31" s="66" customFormat="1" ht="24.95" customHeight="1" x14ac:dyDescent="0.2">
      <c r="A638" s="45"/>
      <c r="B638" s="1653" t="s">
        <v>840</v>
      </c>
      <c r="C638" s="1654"/>
      <c r="D638" s="1654"/>
      <c r="E638" s="1655">
        <f>'[2]Datos REG y HIJOS'!$M$12</f>
        <v>145.16982859970557</v>
      </c>
      <c r="F638" s="1656"/>
      <c r="G638" s="742"/>
      <c r="H638" s="743"/>
      <c r="I638" s="1657"/>
      <c r="J638" s="1657"/>
    </row>
    <row r="639" spans="1:31" s="66" customFormat="1" ht="19.5" customHeight="1" x14ac:dyDescent="0.2">
      <c r="A639" s="45"/>
      <c r="B639" s="621"/>
      <c r="C639" s="621"/>
      <c r="D639" s="621"/>
      <c r="E639" s="745"/>
      <c r="F639" s="745"/>
      <c r="G639" s="746"/>
      <c r="H639" s="746"/>
      <c r="I639" s="747"/>
      <c r="J639" s="281"/>
      <c r="K639" s="148"/>
      <c r="L639" s="547"/>
      <c r="M639" s="68"/>
      <c r="N639" s="67"/>
      <c r="O639" s="547"/>
      <c r="Q639" s="45"/>
      <c r="R639" s="45"/>
      <c r="S639" s="45"/>
      <c r="T639" s="45"/>
      <c r="U639" s="45"/>
      <c r="V639" s="45"/>
      <c r="W639" s="45"/>
      <c r="X639" s="45"/>
      <c r="Y639" s="45"/>
      <c r="Z639" s="45"/>
      <c r="AA639" s="45"/>
      <c r="AB639" s="45"/>
      <c r="AC639" s="45"/>
      <c r="AD639" s="45"/>
      <c r="AE639" s="45"/>
    </row>
    <row r="640" spans="1:31" s="66" customFormat="1" ht="30" customHeight="1" x14ac:dyDescent="0.2">
      <c r="A640" s="45"/>
      <c r="B640" s="1623" t="s">
        <v>527</v>
      </c>
      <c r="C640" s="1624"/>
      <c r="D640" s="1624"/>
      <c r="E640" s="1624"/>
      <c r="F640" s="1624"/>
      <c r="G640" s="1624"/>
      <c r="H640" s="1624"/>
      <c r="I640" s="1624"/>
      <c r="J640" s="1625"/>
      <c r="K640" s="148"/>
      <c r="L640" s="547"/>
      <c r="M640" s="68"/>
      <c r="N640" s="182" t="s">
        <v>30</v>
      </c>
      <c r="O640" s="547"/>
      <c r="Q640" s="45"/>
      <c r="R640" s="45"/>
      <c r="S640" s="45"/>
      <c r="T640" s="45"/>
      <c r="U640" s="45"/>
      <c r="V640" s="45"/>
      <c r="W640" s="45"/>
      <c r="X640" s="45"/>
      <c r="Y640" s="45"/>
      <c r="Z640" s="45"/>
      <c r="AA640" s="45"/>
      <c r="AB640" s="45"/>
      <c r="AC640" s="45"/>
      <c r="AD640" s="45"/>
      <c r="AE640" s="45"/>
    </row>
    <row r="641" spans="1:31" s="66" customFormat="1" ht="20.100000000000001" customHeight="1" x14ac:dyDescent="0.2">
      <c r="A641" s="45"/>
      <c r="B641" s="148"/>
      <c r="C641" s="148"/>
      <c r="D641" s="148"/>
      <c r="E641" s="148"/>
      <c r="F641" s="148"/>
      <c r="G641" s="148"/>
      <c r="H641" s="148"/>
      <c r="I641" s="555"/>
      <c r="J641" s="234"/>
      <c r="K641" s="148"/>
      <c r="L641" s="547"/>
      <c r="M641" s="68"/>
      <c r="N641" s="67"/>
      <c r="O641" s="547"/>
      <c r="Q641" s="45"/>
      <c r="R641" s="45"/>
      <c r="S641" s="45"/>
      <c r="T641" s="45"/>
      <c r="U641" s="45"/>
      <c r="V641" s="45"/>
      <c r="W641" s="45"/>
      <c r="X641" s="45"/>
      <c r="Y641" s="45"/>
      <c r="Z641" s="45"/>
      <c r="AA641" s="45"/>
      <c r="AB641" s="45"/>
      <c r="AC641" s="45"/>
      <c r="AD641" s="45"/>
      <c r="AE641" s="45"/>
    </row>
    <row r="642" spans="1:31" s="66" customFormat="1" ht="30" customHeight="1" x14ac:dyDescent="0.2">
      <c r="A642" s="45"/>
      <c r="B642" s="1623" t="s">
        <v>528</v>
      </c>
      <c r="C642" s="1624"/>
      <c r="D642" s="1624"/>
      <c r="E642" s="1624"/>
      <c r="F642" s="1624"/>
      <c r="G642" s="1624"/>
      <c r="H642" s="1624"/>
      <c r="I642" s="1624"/>
      <c r="J642" s="1625"/>
      <c r="K642" s="148"/>
      <c r="L642" s="547"/>
      <c r="M642" s="68"/>
      <c r="N642" s="67"/>
      <c r="O642" s="547"/>
      <c r="Q642" s="45"/>
      <c r="R642" s="45"/>
      <c r="S642" s="45"/>
      <c r="T642" s="45"/>
      <c r="U642" s="45"/>
      <c r="V642" s="45"/>
      <c r="W642" s="45"/>
      <c r="X642" s="45"/>
      <c r="Y642" s="45"/>
      <c r="Z642" s="45"/>
      <c r="AA642" s="45"/>
      <c r="AB642" s="45"/>
      <c r="AC642" s="45"/>
      <c r="AD642" s="45"/>
      <c r="AE642" s="45"/>
    </row>
    <row r="643" spans="1:31" s="66" customFormat="1" ht="20.100000000000001" customHeight="1" x14ac:dyDescent="0.2">
      <c r="A643" s="45"/>
      <c r="B643" s="1658"/>
      <c r="C643" s="1658"/>
      <c r="D643" s="1658"/>
      <c r="E643" s="1658"/>
      <c r="F643" s="1658"/>
      <c r="G643" s="1658"/>
      <c r="H643" s="1658"/>
      <c r="I643" s="1658"/>
      <c r="J643" s="1658"/>
      <c r="K643" s="148"/>
      <c r="L643" s="547"/>
      <c r="M643" s="68"/>
      <c r="N643" s="67"/>
      <c r="O643" s="547"/>
      <c r="Q643" s="45"/>
      <c r="R643" s="45"/>
      <c r="S643" s="45"/>
      <c r="T643" s="45"/>
      <c r="U643" s="45"/>
      <c r="V643" s="45"/>
      <c r="W643" s="45"/>
      <c r="X643" s="45"/>
      <c r="Y643" s="45"/>
      <c r="Z643" s="45"/>
      <c r="AA643" s="45"/>
      <c r="AB643" s="45"/>
      <c r="AC643" s="45"/>
      <c r="AD643" s="45"/>
      <c r="AE643" s="45"/>
    </row>
    <row r="644" spans="1:31" s="66" customFormat="1" ht="24.95" customHeight="1" x14ac:dyDescent="0.2">
      <c r="A644" s="45"/>
      <c r="B644" s="1651" t="s">
        <v>529</v>
      </c>
      <c r="C644" s="1651"/>
      <c r="D644" s="1651"/>
      <c r="E644" s="1651" t="s">
        <v>530</v>
      </c>
      <c r="F644" s="1651"/>
      <c r="G644" s="748" t="s">
        <v>531</v>
      </c>
      <c r="H644" s="1651" t="s">
        <v>532</v>
      </c>
      <c r="I644" s="1651"/>
      <c r="J644" s="1651"/>
      <c r="K644" s="148"/>
      <c r="L644" s="547"/>
      <c r="M644" s="68"/>
      <c r="N644" s="67"/>
      <c r="O644" s="547"/>
      <c r="Q644" s="45"/>
      <c r="R644" s="45"/>
      <c r="S644" s="45"/>
      <c r="T644" s="45"/>
      <c r="U644" s="45"/>
      <c r="V644" s="45"/>
      <c r="W644" s="45"/>
      <c r="X644" s="45"/>
      <c r="Y644" s="45"/>
      <c r="Z644" s="45"/>
      <c r="AA644" s="45"/>
      <c r="AB644" s="45"/>
      <c r="AC644" s="45"/>
      <c r="AD644" s="45"/>
      <c r="AE644" s="45"/>
    </row>
    <row r="645" spans="1:31" s="66" customFormat="1" ht="24.95" customHeight="1" x14ac:dyDescent="0.2">
      <c r="A645" s="45"/>
      <c r="B645" s="749" t="s">
        <v>533</v>
      </c>
      <c r="C645" s="750">
        <f>'[2]Datos REG y HIJOS'!$J$15</f>
        <v>0.75</v>
      </c>
      <c r="D645" s="751"/>
      <c r="E645" s="1652" t="s">
        <v>534</v>
      </c>
      <c r="F645" s="1652"/>
      <c r="G645" s="752" t="s">
        <v>534</v>
      </c>
      <c r="H645" s="1645" t="s">
        <v>534</v>
      </c>
      <c r="I645" s="1645"/>
      <c r="J645" s="1645"/>
      <c r="K645" s="148"/>
      <c r="L645" s="547"/>
      <c r="M645" s="68"/>
      <c r="N645" s="67"/>
      <c r="Q645" s="45"/>
      <c r="R645" s="45"/>
      <c r="S645" s="45"/>
      <c r="T645" s="45"/>
      <c r="U645" s="45"/>
      <c r="V645" s="45"/>
      <c r="W645" s="45"/>
      <c r="X645" s="45"/>
      <c r="Y645" s="45"/>
      <c r="Z645" s="45"/>
      <c r="AA645" s="45"/>
      <c r="AB645" s="45"/>
      <c r="AC645" s="45"/>
      <c r="AD645" s="45"/>
      <c r="AE645" s="45"/>
    </row>
    <row r="646" spans="1:31" s="66" customFormat="1" ht="24.95" customHeight="1" x14ac:dyDescent="0.2">
      <c r="A646" s="45"/>
      <c r="B646" s="753">
        <f>$C$645</f>
        <v>0.75</v>
      </c>
      <c r="C646" s="754" t="s">
        <v>535</v>
      </c>
      <c r="D646" s="751"/>
      <c r="E646" s="1645" t="s">
        <v>536</v>
      </c>
      <c r="F646" s="1645"/>
      <c r="G646" s="752" t="s">
        <v>534</v>
      </c>
      <c r="H646" s="755" t="s">
        <v>537</v>
      </c>
      <c r="I646" s="756">
        <f>$C$645</f>
        <v>0.75</v>
      </c>
      <c r="J646" s="294"/>
      <c r="K646" s="148"/>
      <c r="L646" s="547"/>
      <c r="M646" s="68"/>
      <c r="N646" s="67"/>
      <c r="Q646" s="45"/>
      <c r="R646" s="45"/>
      <c r="S646" s="45"/>
      <c r="T646" s="45"/>
      <c r="U646" s="45"/>
      <c r="V646" s="45"/>
      <c r="W646" s="45"/>
      <c r="X646" s="45"/>
      <c r="Y646" s="45"/>
      <c r="Z646" s="45"/>
      <c r="AA646" s="45"/>
      <c r="AB646" s="45"/>
      <c r="AC646" s="45"/>
      <c r="AD646" s="45"/>
      <c r="AE646" s="45"/>
    </row>
    <row r="647" spans="1:31" s="66" customFormat="1" ht="24.95" customHeight="1" x14ac:dyDescent="0.2">
      <c r="A647" s="45"/>
      <c r="B647" s="1644" t="s">
        <v>538</v>
      </c>
      <c r="C647" s="1644"/>
      <c r="D647" s="1644"/>
      <c r="E647" s="1645" t="s">
        <v>536</v>
      </c>
      <c r="F647" s="1645"/>
      <c r="G647" s="752" t="s">
        <v>539</v>
      </c>
      <c r="H647" s="755" t="s">
        <v>540</v>
      </c>
      <c r="I647" s="756">
        <f>$C$645</f>
        <v>0.75</v>
      </c>
      <c r="J647" s="295" t="s">
        <v>541</v>
      </c>
      <c r="K647" s="148"/>
      <c r="L647" s="547"/>
      <c r="M647" s="68"/>
      <c r="N647" s="67"/>
      <c r="Q647" s="45"/>
      <c r="R647" s="45"/>
      <c r="S647" s="45"/>
      <c r="T647" s="45"/>
      <c r="U647" s="45"/>
      <c r="V647" s="45"/>
      <c r="W647" s="45"/>
      <c r="X647" s="45"/>
      <c r="Y647" s="45"/>
      <c r="Z647" s="45"/>
      <c r="AA647" s="45"/>
      <c r="AB647" s="45"/>
      <c r="AC647" s="45"/>
      <c r="AD647" s="45"/>
      <c r="AE647" s="45"/>
    </row>
    <row r="648" spans="1:31" s="66" customFormat="1" ht="24.95" customHeight="1" x14ac:dyDescent="0.2">
      <c r="A648" s="45"/>
      <c r="B648" s="1644" t="s">
        <v>542</v>
      </c>
      <c r="C648" s="1644"/>
      <c r="D648" s="1644"/>
      <c r="E648" s="1645" t="s">
        <v>536</v>
      </c>
      <c r="F648" s="1645"/>
      <c r="G648" s="752" t="s">
        <v>543</v>
      </c>
      <c r="H648" s="755" t="s">
        <v>540</v>
      </c>
      <c r="I648" s="756">
        <f>$C$645</f>
        <v>0.75</v>
      </c>
      <c r="J648" s="295" t="s">
        <v>544</v>
      </c>
      <c r="K648" s="148"/>
      <c r="L648" s="547"/>
      <c r="M648" s="68"/>
      <c r="N648" s="67"/>
      <c r="Q648" s="45"/>
      <c r="R648" s="45"/>
      <c r="S648" s="45"/>
      <c r="T648" s="45"/>
      <c r="U648" s="45"/>
      <c r="V648" s="45"/>
      <c r="W648" s="45"/>
      <c r="X648" s="45"/>
      <c r="Y648" s="45"/>
      <c r="Z648" s="45"/>
      <c r="AA648" s="45"/>
      <c r="AB648" s="45"/>
      <c r="AC648" s="45"/>
      <c r="AD648" s="45"/>
      <c r="AE648" s="45"/>
    </row>
    <row r="649" spans="1:31" s="66" customFormat="1" ht="20.100000000000001" customHeight="1" x14ac:dyDescent="0.2">
      <c r="A649" s="45"/>
      <c r="B649" s="757"/>
      <c r="C649" s="757"/>
      <c r="D649" s="757"/>
      <c r="E649" s="758"/>
      <c r="F649" s="758"/>
      <c r="G649" s="758"/>
      <c r="H649" s="758"/>
      <c r="I649" s="759"/>
      <c r="J649" s="114"/>
      <c r="K649" s="148"/>
      <c r="L649" s="547"/>
      <c r="M649" s="68"/>
      <c r="N649" s="182" t="s">
        <v>30</v>
      </c>
      <c r="Q649" s="45"/>
      <c r="R649" s="45"/>
      <c r="S649" s="45"/>
      <c r="T649" s="45"/>
      <c r="U649" s="45"/>
      <c r="V649" s="45"/>
      <c r="W649" s="45"/>
      <c r="X649" s="45"/>
      <c r="Y649" s="45"/>
      <c r="Z649" s="45"/>
      <c r="AA649" s="45"/>
      <c r="AB649" s="45"/>
      <c r="AC649" s="45"/>
      <c r="AD649" s="45"/>
      <c r="AE649" s="45"/>
    </row>
    <row r="650" spans="1:31" s="66" customFormat="1" ht="135" customHeight="1" x14ac:dyDescent="0.2">
      <c r="A650" s="45"/>
      <c r="B650" s="1646" t="s">
        <v>545</v>
      </c>
      <c r="C650" s="1647"/>
      <c r="D650" s="1647"/>
      <c r="E650" s="1647"/>
      <c r="F650" s="1647"/>
      <c r="G650" s="1647"/>
      <c r="H650" s="1647"/>
      <c r="I650" s="1647"/>
      <c r="J650" s="1648"/>
      <c r="K650" s="148"/>
      <c r="L650" s="547"/>
      <c r="M650" s="68"/>
      <c r="N650" s="67"/>
      <c r="Q650" s="45"/>
      <c r="R650" s="45"/>
      <c r="S650" s="45"/>
      <c r="T650" s="45"/>
      <c r="U650" s="45"/>
      <c r="V650" s="45"/>
      <c r="W650" s="45"/>
      <c r="X650" s="45"/>
      <c r="Y650" s="45"/>
      <c r="Z650" s="45"/>
      <c r="AA650" s="45"/>
      <c r="AB650" s="45"/>
      <c r="AC650" s="45"/>
      <c r="AD650" s="45"/>
      <c r="AE650" s="45"/>
    </row>
    <row r="651" spans="1:31" s="66" customFormat="1" ht="35.1" customHeight="1" x14ac:dyDescent="0.2">
      <c r="A651" s="45"/>
      <c r="B651" s="760" t="s">
        <v>546</v>
      </c>
      <c r="C651" s="761"/>
      <c r="D651" s="761"/>
      <c r="E651" s="762"/>
      <c r="F651" s="762"/>
      <c r="G651" s="762"/>
      <c r="H651" s="762"/>
      <c r="I651" s="763"/>
      <c r="J651" s="302"/>
      <c r="K651" s="148"/>
      <c r="L651" s="547"/>
      <c r="M651" s="68"/>
      <c r="N651" s="182" t="s">
        <v>30</v>
      </c>
      <c r="Q651" s="45"/>
      <c r="R651" s="45"/>
      <c r="S651" s="45"/>
      <c r="T651" s="45"/>
      <c r="U651" s="45"/>
      <c r="V651" s="45"/>
      <c r="W651" s="45"/>
      <c r="X651" s="45"/>
      <c r="Y651" s="45"/>
      <c r="Z651" s="45"/>
      <c r="AA651" s="45"/>
      <c r="AB651" s="45"/>
      <c r="AC651" s="45"/>
      <c r="AD651" s="45"/>
      <c r="AE651" s="45"/>
    </row>
    <row r="652" spans="1:31" s="66" customFormat="1" ht="50.1" customHeight="1" x14ac:dyDescent="0.2">
      <c r="A652" s="45"/>
      <c r="B652" s="764"/>
      <c r="C652" s="536"/>
      <c r="D652" s="765"/>
      <c r="E652" s="766" t="s">
        <v>547</v>
      </c>
      <c r="F652" s="767" t="s">
        <v>548</v>
      </c>
      <c r="G652" s="768"/>
      <c r="H652" s="769"/>
      <c r="I652" s="747"/>
      <c r="J652" s="309"/>
      <c r="K652" s="148"/>
      <c r="L652" s="547"/>
      <c r="M652" s="68"/>
      <c r="N652" s="547"/>
      <c r="Q652" s="45"/>
      <c r="R652" s="45"/>
      <c r="S652" s="45"/>
      <c r="T652" s="45"/>
      <c r="U652" s="45"/>
      <c r="V652" s="45"/>
      <c r="W652" s="45"/>
      <c r="X652" s="45"/>
      <c r="Y652" s="45"/>
      <c r="Z652" s="45"/>
      <c r="AA652" s="45"/>
      <c r="AB652" s="45"/>
      <c r="AC652" s="45"/>
      <c r="AD652" s="45"/>
      <c r="AE652" s="45"/>
    </row>
    <row r="653" spans="1:31" s="66" customFormat="1" ht="110.1" customHeight="1" x14ac:dyDescent="0.2">
      <c r="A653" s="45"/>
      <c r="B653" s="770"/>
      <c r="C653" s="771"/>
      <c r="D653" s="1649" t="s">
        <v>549</v>
      </c>
      <c r="E653" s="1649"/>
      <c r="F653" s="1649"/>
      <c r="G653" s="1649"/>
      <c r="H653" s="1649"/>
      <c r="I653" s="1649"/>
      <c r="J653" s="1650"/>
      <c r="K653" s="148"/>
      <c r="L653" s="547"/>
      <c r="M653" s="772"/>
      <c r="N653" s="547"/>
      <c r="Q653" s="45"/>
      <c r="R653" s="45"/>
      <c r="S653" s="45"/>
      <c r="T653" s="45"/>
      <c r="U653" s="45"/>
      <c r="V653" s="45"/>
      <c r="W653" s="45"/>
      <c r="X653" s="45"/>
      <c r="Y653" s="45"/>
      <c r="Z653" s="45"/>
      <c r="AA653" s="45"/>
      <c r="AB653" s="45"/>
      <c r="AC653" s="45"/>
      <c r="AD653" s="45"/>
      <c r="AE653" s="45"/>
    </row>
    <row r="654" spans="1:31" s="66" customFormat="1" ht="20.100000000000001" customHeight="1" x14ac:dyDescent="0.2">
      <c r="A654" s="45"/>
      <c r="B654" s="148"/>
      <c r="C654" s="148"/>
      <c r="D654" s="148"/>
      <c r="E654" s="148"/>
      <c r="F654" s="148"/>
      <c r="G654" s="148"/>
      <c r="H654" s="148"/>
      <c r="I654" s="555"/>
      <c r="J654" s="234"/>
      <c r="K654" s="148"/>
      <c r="L654" s="547"/>
      <c r="M654" s="68"/>
      <c r="N654" s="547"/>
      <c r="Q654" s="45"/>
      <c r="R654" s="45"/>
      <c r="S654" s="45"/>
      <c r="T654" s="45"/>
      <c r="U654" s="45"/>
      <c r="V654" s="45"/>
      <c r="W654" s="45"/>
      <c r="X654" s="45"/>
      <c r="Y654" s="45"/>
      <c r="Z654" s="45"/>
      <c r="AA654" s="45"/>
      <c r="AB654" s="45"/>
      <c r="AC654" s="45"/>
      <c r="AD654" s="45"/>
      <c r="AE654" s="45"/>
    </row>
    <row r="655" spans="1:31" s="66" customFormat="1" ht="30" customHeight="1" x14ac:dyDescent="0.2">
      <c r="A655" s="45"/>
      <c r="B655" s="1623" t="s">
        <v>550</v>
      </c>
      <c r="C655" s="1624"/>
      <c r="D655" s="1624"/>
      <c r="E655" s="1624"/>
      <c r="F655" s="1624"/>
      <c r="G655" s="1624"/>
      <c r="H655" s="1624"/>
      <c r="I655" s="1624"/>
      <c r="J655" s="1625"/>
      <c r="K655" s="148"/>
      <c r="L655" s="547"/>
      <c r="M655" s="68"/>
      <c r="N655" s="182" t="s">
        <v>30</v>
      </c>
      <c r="Q655" s="45"/>
      <c r="R655" s="45"/>
      <c r="S655" s="45"/>
      <c r="T655" s="45"/>
      <c r="U655" s="45"/>
      <c r="V655" s="45"/>
      <c r="W655" s="45"/>
      <c r="X655" s="45"/>
      <c r="Y655" s="45"/>
      <c r="Z655" s="45"/>
      <c r="AA655" s="45"/>
      <c r="AB655" s="45"/>
      <c r="AC655" s="45"/>
      <c r="AD655" s="45"/>
      <c r="AE655" s="45"/>
    </row>
    <row r="656" spans="1:31" s="225" customFormat="1" ht="30" customHeight="1" x14ac:dyDescent="0.2">
      <c r="A656" s="773"/>
      <c r="B656" s="1638" t="s">
        <v>843</v>
      </c>
      <c r="C656" s="1639"/>
      <c r="D656" s="1639"/>
      <c r="E656" s="1639"/>
      <c r="F656" s="1639"/>
      <c r="G656" s="1639"/>
      <c r="H656" s="1639"/>
      <c r="I656" s="1639"/>
      <c r="J656" s="1640"/>
      <c r="K656" s="774"/>
      <c r="N656" s="775"/>
    </row>
    <row r="657" spans="1:31" s="225" customFormat="1" ht="54.95" customHeight="1" x14ac:dyDescent="0.2">
      <c r="A657" s="773"/>
      <c r="B657" s="872" t="s">
        <v>844</v>
      </c>
      <c r="C657" s="873"/>
      <c r="D657" s="873"/>
      <c r="E657" s="873"/>
      <c r="F657" s="873"/>
      <c r="G657" s="873"/>
      <c r="H657" s="873"/>
      <c r="I657" s="873"/>
      <c r="J657" s="874"/>
      <c r="K657" s="774"/>
      <c r="N657" s="775"/>
    </row>
    <row r="658" spans="1:31" s="225" customFormat="1" ht="54.95" customHeight="1" x14ac:dyDescent="0.2">
      <c r="A658" s="773"/>
      <c r="B658" s="1641" t="s">
        <v>845</v>
      </c>
      <c r="C658" s="1642"/>
      <c r="D658" s="1642"/>
      <c r="E658" s="1642"/>
      <c r="F658" s="1642"/>
      <c r="G658" s="1642"/>
      <c r="H658" s="1642"/>
      <c r="I658" s="1642"/>
      <c r="J658" s="1643"/>
      <c r="K658" s="774"/>
      <c r="N658" s="775"/>
    </row>
    <row r="659" spans="1:31" s="225" customFormat="1" ht="90" customHeight="1" x14ac:dyDescent="0.2">
      <c r="A659" s="773"/>
      <c r="B659" s="1638" t="s">
        <v>846</v>
      </c>
      <c r="C659" s="1639"/>
      <c r="D659" s="1639"/>
      <c r="E659" s="1639"/>
      <c r="F659" s="1639"/>
      <c r="G659" s="1639"/>
      <c r="H659" s="1639"/>
      <c r="I659" s="1639"/>
      <c r="J659" s="1640"/>
      <c r="K659" s="774"/>
      <c r="N659" s="775"/>
    </row>
    <row r="660" spans="1:31" s="66" customFormat="1" ht="20.100000000000001" customHeight="1" x14ac:dyDescent="0.2">
      <c r="A660" s="45"/>
      <c r="B660" s="776"/>
      <c r="C660" s="777"/>
      <c r="D660" s="777"/>
      <c r="E660" s="777"/>
      <c r="F660" s="777"/>
      <c r="G660" s="777"/>
      <c r="H660" s="777"/>
      <c r="I660" s="777"/>
      <c r="J660" s="313"/>
      <c r="K660" s="148"/>
      <c r="L660" s="547"/>
      <c r="M660" s="68"/>
      <c r="N660" s="547"/>
      <c r="Q660" s="45"/>
      <c r="R660" s="45"/>
      <c r="S660" s="45"/>
      <c r="T660" s="45"/>
      <c r="U660" s="45"/>
      <c r="V660" s="45"/>
      <c r="W660" s="45"/>
      <c r="X660" s="45"/>
      <c r="Y660" s="45"/>
      <c r="Z660" s="45"/>
      <c r="AA660" s="45"/>
      <c r="AB660" s="45"/>
      <c r="AC660" s="45"/>
      <c r="AD660" s="45"/>
      <c r="AE660" s="45"/>
    </row>
    <row r="661" spans="1:31" s="66" customFormat="1" ht="30" customHeight="1" x14ac:dyDescent="0.2">
      <c r="A661" s="45"/>
      <c r="B661" s="1623" t="s">
        <v>554</v>
      </c>
      <c r="C661" s="1624"/>
      <c r="D661" s="1624"/>
      <c r="E661" s="1624"/>
      <c r="F661" s="1624"/>
      <c r="G661" s="1624"/>
      <c r="H661" s="1624"/>
      <c r="I661" s="1624"/>
      <c r="J661" s="1625"/>
      <c r="K661" s="148"/>
      <c r="L661" s="547"/>
      <c r="M661" s="68"/>
      <c r="N661" s="182" t="s">
        <v>30</v>
      </c>
      <c r="Q661" s="45"/>
      <c r="R661" s="45"/>
      <c r="S661" s="45"/>
      <c r="T661" s="45"/>
      <c r="U661" s="45"/>
      <c r="V661" s="45"/>
      <c r="W661" s="45"/>
      <c r="X661" s="45"/>
      <c r="Y661" s="45"/>
      <c r="Z661" s="45"/>
      <c r="AA661" s="45"/>
      <c r="AB661" s="45"/>
      <c r="AC661" s="45"/>
      <c r="AD661" s="45"/>
      <c r="AE661" s="45"/>
    </row>
    <row r="662" spans="1:31" s="66" customFormat="1" ht="20.100000000000001" customHeight="1" x14ac:dyDescent="0.2">
      <c r="A662" s="45"/>
      <c r="B662" s="778"/>
      <c r="C662" s="778"/>
      <c r="D662" s="778"/>
      <c r="E662" s="778"/>
      <c r="F662" s="778"/>
      <c r="G662" s="778"/>
      <c r="H662" s="778"/>
      <c r="I662" s="779"/>
      <c r="J662" s="316"/>
      <c r="K662" s="148"/>
      <c r="L662" s="547"/>
      <c r="M662" s="68"/>
      <c r="N662" s="67"/>
      <c r="Q662" s="45"/>
      <c r="R662" s="45"/>
      <c r="S662" s="45"/>
      <c r="T662" s="45"/>
      <c r="U662" s="45"/>
      <c r="V662" s="45"/>
      <c r="W662" s="45"/>
      <c r="X662" s="45"/>
      <c r="Y662" s="45"/>
      <c r="Z662" s="45"/>
      <c r="AA662" s="45"/>
      <c r="AB662" s="45"/>
      <c r="AC662" s="45"/>
      <c r="AD662" s="45"/>
      <c r="AE662" s="45"/>
    </row>
    <row r="663" spans="1:31" s="66" customFormat="1" ht="30" customHeight="1" x14ac:dyDescent="0.2">
      <c r="A663" s="45"/>
      <c r="B663" s="1623" t="s">
        <v>892</v>
      </c>
      <c r="C663" s="1624"/>
      <c r="D663" s="1624"/>
      <c r="E663" s="1624"/>
      <c r="F663" s="1624"/>
      <c r="G663" s="1624"/>
      <c r="H663" s="1624"/>
      <c r="I663" s="1624"/>
      <c r="J663" s="1625"/>
      <c r="K663" s="148"/>
      <c r="L663" s="547"/>
      <c r="M663" s="68"/>
      <c r="N663" s="182" t="s">
        <v>30</v>
      </c>
      <c r="Q663" s="45"/>
      <c r="R663" s="45"/>
      <c r="S663" s="45"/>
      <c r="T663" s="45"/>
      <c r="U663" s="45"/>
      <c r="V663" s="45"/>
      <c r="W663" s="45"/>
      <c r="X663" s="45"/>
      <c r="Y663" s="45"/>
      <c r="Z663" s="45"/>
      <c r="AA663" s="45"/>
      <c r="AB663" s="45"/>
      <c r="AC663" s="45"/>
      <c r="AD663" s="45"/>
      <c r="AE663" s="45"/>
    </row>
    <row r="664" spans="1:31" s="66" customFormat="1" ht="12" customHeight="1" x14ac:dyDescent="0.2">
      <c r="A664" s="45"/>
      <c r="B664" s="778"/>
      <c r="C664" s="778"/>
      <c r="D664" s="778"/>
      <c r="E664" s="778"/>
      <c r="F664" s="778"/>
      <c r="G664" s="778"/>
      <c r="H664" s="778"/>
      <c r="I664" s="779"/>
      <c r="J664" s="316"/>
      <c r="K664" s="148"/>
      <c r="L664" s="547"/>
      <c r="M664" s="68"/>
      <c r="N664" s="67"/>
      <c r="Q664" s="45"/>
      <c r="R664" s="45"/>
      <c r="S664" s="45"/>
      <c r="T664" s="45"/>
      <c r="U664" s="45"/>
      <c r="V664" s="45"/>
      <c r="W664" s="45"/>
      <c r="X664" s="45"/>
      <c r="Y664" s="45"/>
      <c r="Z664" s="45"/>
      <c r="AA664" s="45"/>
      <c r="AB664" s="45"/>
      <c r="AC664" s="45"/>
      <c r="AD664" s="45"/>
      <c r="AE664" s="45"/>
    </row>
    <row r="665" spans="1:31" s="66" customFormat="1" ht="24.95" customHeight="1" x14ac:dyDescent="0.2">
      <c r="A665" s="45"/>
      <c r="B665" s="1626" t="s">
        <v>849</v>
      </c>
      <c r="C665" s="1627"/>
      <c r="D665" s="1627"/>
      <c r="E665" s="1627"/>
      <c r="F665" s="1627"/>
      <c r="G665" s="1627"/>
      <c r="H665" s="1627"/>
      <c r="I665" s="1627"/>
      <c r="J665" s="1628"/>
      <c r="K665" s="148"/>
      <c r="L665" s="547"/>
      <c r="M665" s="68"/>
      <c r="N665" s="67"/>
      <c r="Q665" s="45"/>
      <c r="R665" s="45"/>
      <c r="S665" s="45"/>
      <c r="T665" s="45"/>
      <c r="U665" s="45"/>
      <c r="V665" s="45"/>
      <c r="W665" s="45"/>
      <c r="X665" s="45"/>
      <c r="Y665" s="45"/>
      <c r="Z665" s="45"/>
      <c r="AA665" s="45"/>
      <c r="AB665" s="45"/>
      <c r="AC665" s="45"/>
      <c r="AD665" s="45"/>
      <c r="AE665" s="45"/>
    </row>
    <row r="666" spans="1:31" s="66" customFormat="1" ht="24.95" customHeight="1" x14ac:dyDescent="0.2">
      <c r="A666" s="45"/>
      <c r="B666" s="1629" t="s">
        <v>850</v>
      </c>
      <c r="C666" s="1630"/>
      <c r="D666" s="1630"/>
      <c r="E666" s="1630"/>
      <c r="F666" s="1630"/>
      <c r="G666" s="1630"/>
      <c r="H666" s="1630"/>
      <c r="I666" s="1630"/>
      <c r="J666" s="1631"/>
      <c r="K666" s="148"/>
      <c r="L666" s="547"/>
      <c r="M666" s="68"/>
      <c r="N666" s="67"/>
      <c r="Q666" s="45"/>
      <c r="R666" s="45"/>
      <c r="S666" s="45"/>
      <c r="T666" s="45"/>
      <c r="U666" s="45"/>
      <c r="V666" s="45"/>
      <c r="W666" s="45"/>
      <c r="X666" s="45"/>
      <c r="Y666" s="45"/>
      <c r="Z666" s="45"/>
      <c r="AA666" s="45"/>
      <c r="AB666" s="45"/>
      <c r="AC666" s="45"/>
      <c r="AD666" s="45"/>
      <c r="AE666" s="45"/>
    </row>
    <row r="667" spans="1:31" s="66" customFormat="1" ht="12" customHeight="1" x14ac:dyDescent="0.2">
      <c r="A667" s="45"/>
      <c r="B667" s="536"/>
      <c r="C667" s="536"/>
      <c r="D667" s="778"/>
      <c r="E667" s="778"/>
      <c r="F667" s="778"/>
      <c r="G667" s="778"/>
      <c r="H667" s="778"/>
      <c r="I667" s="779"/>
      <c r="J667" s="316"/>
      <c r="K667" s="148"/>
      <c r="L667" s="547"/>
      <c r="M667" s="68"/>
      <c r="N667" s="67"/>
      <c r="Q667" s="45"/>
      <c r="R667" s="45"/>
      <c r="S667" s="45"/>
      <c r="T667" s="45"/>
      <c r="U667" s="45"/>
      <c r="V667" s="45"/>
      <c r="W667" s="45"/>
      <c r="X667" s="45"/>
      <c r="Y667" s="45"/>
      <c r="Z667" s="45"/>
      <c r="AA667" s="45"/>
      <c r="AB667" s="45"/>
      <c r="AC667" s="45"/>
      <c r="AD667" s="45"/>
      <c r="AE667" s="45"/>
    </row>
    <row r="668" spans="1:31" s="66" customFormat="1" ht="30" customHeight="1" x14ac:dyDescent="0.2">
      <c r="A668" s="45"/>
      <c r="B668" s="1623" t="s">
        <v>558</v>
      </c>
      <c r="C668" s="1624"/>
      <c r="D668" s="1624"/>
      <c r="E668" s="1624"/>
      <c r="F668" s="1624"/>
      <c r="G668" s="1624"/>
      <c r="H668" s="1624"/>
      <c r="I668" s="1624"/>
      <c r="J668" s="1625"/>
      <c r="K668" s="148"/>
      <c r="L668" s="547"/>
      <c r="M668" s="68"/>
      <c r="N668" s="182" t="s">
        <v>30</v>
      </c>
      <c r="Q668" s="45"/>
      <c r="R668" s="45"/>
      <c r="S668" s="45"/>
      <c r="T668" s="45"/>
      <c r="U668" s="45"/>
      <c r="V668" s="45"/>
      <c r="W668" s="45"/>
      <c r="X668" s="45"/>
      <c r="Y668" s="45"/>
      <c r="Z668" s="45"/>
      <c r="AA668" s="45"/>
      <c r="AB668" s="45"/>
      <c r="AC668" s="45"/>
      <c r="AD668" s="45"/>
      <c r="AE668" s="45"/>
    </row>
    <row r="669" spans="1:31" s="66" customFormat="1" ht="12" customHeight="1" x14ac:dyDescent="0.2">
      <c r="A669" s="45"/>
      <c r="B669" s="778"/>
      <c r="C669" s="778"/>
      <c r="D669" s="778"/>
      <c r="E669" s="778"/>
      <c r="F669" s="778"/>
      <c r="G669" s="778"/>
      <c r="H669" s="778"/>
      <c r="I669" s="778"/>
      <c r="J669" s="316"/>
      <c r="K669" s="148"/>
      <c r="L669" s="547"/>
      <c r="M669" s="68"/>
      <c r="N669" s="67"/>
      <c r="Q669" s="45"/>
      <c r="R669" s="45"/>
      <c r="S669" s="45"/>
      <c r="T669" s="45"/>
      <c r="U669" s="45"/>
      <c r="V669" s="45"/>
      <c r="W669" s="45"/>
      <c r="X669" s="45"/>
      <c r="Y669" s="45"/>
      <c r="Z669" s="45"/>
      <c r="AA669" s="45"/>
      <c r="AB669" s="45"/>
      <c r="AC669" s="45"/>
      <c r="AD669" s="45"/>
      <c r="AE669" s="45"/>
    </row>
    <row r="670" spans="1:31" s="66" customFormat="1" ht="24.95" customHeight="1" x14ac:dyDescent="0.2">
      <c r="A670" s="45"/>
      <c r="B670" s="1632" t="s">
        <v>559</v>
      </c>
      <c r="C670" s="1633"/>
      <c r="D670" s="1633"/>
      <c r="E670" s="1633"/>
      <c r="F670" s="1633"/>
      <c r="G670" s="1633"/>
      <c r="H670" s="1633"/>
      <c r="I670" s="1633"/>
      <c r="J670" s="1634"/>
      <c r="K670" s="148"/>
      <c r="L670" s="547"/>
      <c r="M670" s="68"/>
      <c r="N670" s="67"/>
      <c r="Q670" s="45"/>
      <c r="R670" s="45"/>
      <c r="S670" s="45"/>
      <c r="T670" s="45"/>
      <c r="U670" s="45"/>
      <c r="V670" s="45"/>
      <c r="W670" s="45"/>
      <c r="X670" s="45"/>
      <c r="Y670" s="45"/>
      <c r="Z670" s="45"/>
      <c r="AA670" s="45"/>
      <c r="AB670" s="45"/>
      <c r="AC670" s="45"/>
      <c r="AD670" s="45"/>
      <c r="AE670" s="45"/>
    </row>
    <row r="671" spans="1:31" s="66" customFormat="1" ht="12" customHeight="1" x14ac:dyDescent="0.2">
      <c r="A671" s="45"/>
      <c r="B671" s="621"/>
      <c r="C671" s="621"/>
      <c r="D671" s="621"/>
      <c r="E671" s="621"/>
      <c r="F671" s="621"/>
      <c r="G671" s="621"/>
      <c r="H671" s="621"/>
      <c r="I671" s="747"/>
      <c r="J671" s="281"/>
      <c r="K671" s="148"/>
      <c r="L671" s="547"/>
      <c r="M671" s="68"/>
      <c r="N671" s="67"/>
      <c r="Q671" s="45"/>
      <c r="R671" s="45"/>
      <c r="S671" s="45"/>
      <c r="T671" s="45"/>
      <c r="U671" s="45"/>
      <c r="V671" s="45"/>
      <c r="W671" s="45"/>
      <c r="X671" s="45"/>
      <c r="Y671" s="45"/>
      <c r="Z671" s="45"/>
      <c r="AA671" s="45"/>
      <c r="AB671" s="45"/>
      <c r="AC671" s="45"/>
      <c r="AD671" s="45"/>
      <c r="AE671" s="45"/>
    </row>
    <row r="672" spans="1:31" s="66" customFormat="1" ht="84.95" customHeight="1" x14ac:dyDescent="0.2">
      <c r="A672" s="45"/>
      <c r="B672" s="1635" t="s">
        <v>560</v>
      </c>
      <c r="C672" s="1636"/>
      <c r="D672" s="1636"/>
      <c r="E672" s="1636"/>
      <c r="F672" s="1636"/>
      <c r="G672" s="1636"/>
      <c r="H672" s="1636"/>
      <c r="I672" s="1636"/>
      <c r="J672" s="1637"/>
      <c r="K672" s="148"/>
      <c r="L672" s="547"/>
      <c r="M672" s="68"/>
      <c r="N672" s="67"/>
      <c r="Q672" s="45"/>
      <c r="R672" s="45"/>
      <c r="S672" s="45"/>
      <c r="T672" s="45"/>
      <c r="U672" s="45"/>
      <c r="V672" s="45"/>
      <c r="W672" s="45"/>
      <c r="X672" s="45"/>
      <c r="Y672" s="45"/>
      <c r="Z672" s="45"/>
      <c r="AA672" s="45"/>
      <c r="AB672" s="45"/>
      <c r="AC672" s="45"/>
      <c r="AD672" s="45"/>
      <c r="AE672" s="45"/>
    </row>
  </sheetData>
  <mergeCells count="1310">
    <mergeCell ref="B9:J9"/>
    <mergeCell ref="B10:J10"/>
    <mergeCell ref="B12:J12"/>
    <mergeCell ref="B13:J13"/>
    <mergeCell ref="B15:J15"/>
    <mergeCell ref="I17:J17"/>
    <mergeCell ref="B5:D5"/>
    <mergeCell ref="E5:F5"/>
    <mergeCell ref="H5:I5"/>
    <mergeCell ref="B6:D6"/>
    <mergeCell ref="E6:F6"/>
    <mergeCell ref="B7:J7"/>
    <mergeCell ref="B1:J1"/>
    <mergeCell ref="B2:J2"/>
    <mergeCell ref="B3:D3"/>
    <mergeCell ref="E3:J3"/>
    <mergeCell ref="B4:D4"/>
    <mergeCell ref="E4:J4"/>
    <mergeCell ref="J25:J28"/>
    <mergeCell ref="C26:D26"/>
    <mergeCell ref="E26:F26"/>
    <mergeCell ref="G26:H26"/>
    <mergeCell ref="C27:D27"/>
    <mergeCell ref="E27:F27"/>
    <mergeCell ref="G27:H27"/>
    <mergeCell ref="C28:D28"/>
    <mergeCell ref="E28:F28"/>
    <mergeCell ref="G28:H28"/>
    <mergeCell ref="I18:J18"/>
    <mergeCell ref="B20:J20"/>
    <mergeCell ref="B22:H22"/>
    <mergeCell ref="B23:J23"/>
    <mergeCell ref="C24:H24"/>
    <mergeCell ref="B25:B28"/>
    <mergeCell ref="C25:D25"/>
    <mergeCell ref="E25:F25"/>
    <mergeCell ref="G25:H25"/>
    <mergeCell ref="I25:I28"/>
    <mergeCell ref="E31:F31"/>
    <mergeCell ref="G31:H31"/>
    <mergeCell ref="C32:D32"/>
    <mergeCell ref="E32:F32"/>
    <mergeCell ref="G32:H32"/>
    <mergeCell ref="C33:D33"/>
    <mergeCell ref="E33:F33"/>
    <mergeCell ref="G33:H33"/>
    <mergeCell ref="B29:B39"/>
    <mergeCell ref="C29:D29"/>
    <mergeCell ref="E29:F29"/>
    <mergeCell ref="G29:H29"/>
    <mergeCell ref="I29:I39"/>
    <mergeCell ref="J29:J39"/>
    <mergeCell ref="C30:D30"/>
    <mergeCell ref="E30:F30"/>
    <mergeCell ref="G30:H30"/>
    <mergeCell ref="C31:D31"/>
    <mergeCell ref="B40:B44"/>
    <mergeCell ref="C40:D40"/>
    <mergeCell ref="E40:F40"/>
    <mergeCell ref="G40:H40"/>
    <mergeCell ref="G43:H43"/>
    <mergeCell ref="C44:D44"/>
    <mergeCell ref="C36:D36"/>
    <mergeCell ref="E36:F36"/>
    <mergeCell ref="G36:H36"/>
    <mergeCell ref="C37:D37"/>
    <mergeCell ref="E37:F37"/>
    <mergeCell ref="G37:H37"/>
    <mergeCell ref="C34:D34"/>
    <mergeCell ref="E34:F34"/>
    <mergeCell ref="G34:H34"/>
    <mergeCell ref="C35:D35"/>
    <mergeCell ref="E35:F35"/>
    <mergeCell ref="G35:H35"/>
    <mergeCell ref="I45:I51"/>
    <mergeCell ref="J45:J51"/>
    <mergeCell ref="C46:D46"/>
    <mergeCell ref="E46:F46"/>
    <mergeCell ref="G46:H46"/>
    <mergeCell ref="C47:D47"/>
    <mergeCell ref="I40:I44"/>
    <mergeCell ref="J40:J44"/>
    <mergeCell ref="C41:D41"/>
    <mergeCell ref="E41:F41"/>
    <mergeCell ref="G41:H41"/>
    <mergeCell ref="C42:D42"/>
    <mergeCell ref="E42:F42"/>
    <mergeCell ref="G42:H42"/>
    <mergeCell ref="C43:D43"/>
    <mergeCell ref="E43:F43"/>
    <mergeCell ref="C38:D38"/>
    <mergeCell ref="C39:H39"/>
    <mergeCell ref="C50:H50"/>
    <mergeCell ref="C51:H51"/>
    <mergeCell ref="B52:B56"/>
    <mergeCell ref="C52:D52"/>
    <mergeCell ref="E52:F52"/>
    <mergeCell ref="G52:H52"/>
    <mergeCell ref="E47:F47"/>
    <mergeCell ref="G47:H47"/>
    <mergeCell ref="C48:D48"/>
    <mergeCell ref="E48:F48"/>
    <mergeCell ref="G48:H48"/>
    <mergeCell ref="C49:D49"/>
    <mergeCell ref="E49:F49"/>
    <mergeCell ref="G49:H49"/>
    <mergeCell ref="B45:B51"/>
    <mergeCell ref="C45:D45"/>
    <mergeCell ref="E45:F45"/>
    <mergeCell ref="G45:H45"/>
    <mergeCell ref="B57:B59"/>
    <mergeCell ref="C57:D57"/>
    <mergeCell ref="E57:F57"/>
    <mergeCell ref="G57:H57"/>
    <mergeCell ref="I57:I59"/>
    <mergeCell ref="J57:J59"/>
    <mergeCell ref="C58:D58"/>
    <mergeCell ref="E58:F58"/>
    <mergeCell ref="G58:H58"/>
    <mergeCell ref="C59:D59"/>
    <mergeCell ref="I52:I56"/>
    <mergeCell ref="J52:J56"/>
    <mergeCell ref="C53:D53"/>
    <mergeCell ref="E53:F53"/>
    <mergeCell ref="G53:H53"/>
    <mergeCell ref="C54:D54"/>
    <mergeCell ref="E54:F54"/>
    <mergeCell ref="G54:H54"/>
    <mergeCell ref="C56:H56"/>
    <mergeCell ref="J64:J65"/>
    <mergeCell ref="C65:D65"/>
    <mergeCell ref="E65:F65"/>
    <mergeCell ref="B66:B67"/>
    <mergeCell ref="C66:D66"/>
    <mergeCell ref="E66:F66"/>
    <mergeCell ref="G66:H66"/>
    <mergeCell ref="I66:I67"/>
    <mergeCell ref="J66:J67"/>
    <mergeCell ref="C67:D67"/>
    <mergeCell ref="C63:H63"/>
    <mergeCell ref="B64:B65"/>
    <mergeCell ref="C64:D64"/>
    <mergeCell ref="E64:F64"/>
    <mergeCell ref="G64:H64"/>
    <mergeCell ref="I64:I65"/>
    <mergeCell ref="B60:B63"/>
    <mergeCell ref="C60:D60"/>
    <mergeCell ref="E60:F60"/>
    <mergeCell ref="G60:H60"/>
    <mergeCell ref="I60:I63"/>
    <mergeCell ref="J60:J63"/>
    <mergeCell ref="C61:D61"/>
    <mergeCell ref="E61:F61"/>
    <mergeCell ref="G61:H61"/>
    <mergeCell ref="C62:H62"/>
    <mergeCell ref="B82:J82"/>
    <mergeCell ref="B83:H83"/>
    <mergeCell ref="C84:H84"/>
    <mergeCell ref="C85:H85"/>
    <mergeCell ref="C86:H86"/>
    <mergeCell ref="B88:H88"/>
    <mergeCell ref="C77:D77"/>
    <mergeCell ref="B78:J78"/>
    <mergeCell ref="B79:H79"/>
    <mergeCell ref="B80:B81"/>
    <mergeCell ref="C80:H80"/>
    <mergeCell ref="I80:I81"/>
    <mergeCell ref="J80:J81"/>
    <mergeCell ref="C81:H81"/>
    <mergeCell ref="C71:H71"/>
    <mergeCell ref="C72:H72"/>
    <mergeCell ref="C73:H73"/>
    <mergeCell ref="C74:H74"/>
    <mergeCell ref="C75:H75"/>
    <mergeCell ref="C76:H76"/>
    <mergeCell ref="B68:B73"/>
    <mergeCell ref="C68:D68"/>
    <mergeCell ref="E68:F68"/>
    <mergeCell ref="G68:H68"/>
    <mergeCell ref="I68:I73"/>
    <mergeCell ref="J68:J73"/>
    <mergeCell ref="C69:D69"/>
    <mergeCell ref="E69:F69"/>
    <mergeCell ref="G69:H69"/>
    <mergeCell ref="C70:D70"/>
    <mergeCell ref="B101:H101"/>
    <mergeCell ref="B102:B103"/>
    <mergeCell ref="C102:D102"/>
    <mergeCell ref="E102:F102"/>
    <mergeCell ref="G102:H102"/>
    <mergeCell ref="I102:I103"/>
    <mergeCell ref="B95:J95"/>
    <mergeCell ref="B96:H96"/>
    <mergeCell ref="B97:B99"/>
    <mergeCell ref="C97:J97"/>
    <mergeCell ref="C98:H98"/>
    <mergeCell ref="C99:H99"/>
    <mergeCell ref="B89:J89"/>
    <mergeCell ref="B90:J90"/>
    <mergeCell ref="B91:H91"/>
    <mergeCell ref="A92:J92"/>
    <mergeCell ref="A93:H93"/>
    <mergeCell ref="B94:J94"/>
    <mergeCell ref="I106:I107"/>
    <mergeCell ref="J106:J107"/>
    <mergeCell ref="C107:D107"/>
    <mergeCell ref="E107:F107"/>
    <mergeCell ref="G107:H107"/>
    <mergeCell ref="B109:H109"/>
    <mergeCell ref="E105:F105"/>
    <mergeCell ref="G105:H105"/>
    <mergeCell ref="B106:B107"/>
    <mergeCell ref="C106:D106"/>
    <mergeCell ref="E106:F106"/>
    <mergeCell ref="G106:H106"/>
    <mergeCell ref="J102:J103"/>
    <mergeCell ref="C103:D103"/>
    <mergeCell ref="E103:F103"/>
    <mergeCell ref="B104:B105"/>
    <mergeCell ref="C104:D104"/>
    <mergeCell ref="E104:F104"/>
    <mergeCell ref="G104:H104"/>
    <mergeCell ref="I104:I105"/>
    <mergeCell ref="J104:J105"/>
    <mergeCell ref="C105:D105"/>
    <mergeCell ref="G113:H113"/>
    <mergeCell ref="C114:D114"/>
    <mergeCell ref="E114:F114"/>
    <mergeCell ref="B115:B119"/>
    <mergeCell ref="C115:D115"/>
    <mergeCell ref="E115:F115"/>
    <mergeCell ref="G115:H115"/>
    <mergeCell ref="G118:H118"/>
    <mergeCell ref="C119:H119"/>
    <mergeCell ref="B110:J110"/>
    <mergeCell ref="B111:J111"/>
    <mergeCell ref="B112:B114"/>
    <mergeCell ref="C112:D112"/>
    <mergeCell ref="E112:F112"/>
    <mergeCell ref="G112:H112"/>
    <mergeCell ref="I112:I114"/>
    <mergeCell ref="J112:J114"/>
    <mergeCell ref="C113:D113"/>
    <mergeCell ref="E113:F113"/>
    <mergeCell ref="B126:H126"/>
    <mergeCell ref="B127:J127"/>
    <mergeCell ref="C128:H128"/>
    <mergeCell ref="B129:B134"/>
    <mergeCell ref="C129:D129"/>
    <mergeCell ref="E129:F129"/>
    <mergeCell ref="G129:H129"/>
    <mergeCell ref="I129:I134"/>
    <mergeCell ref="J129:J134"/>
    <mergeCell ref="C130:D130"/>
    <mergeCell ref="C120:D120"/>
    <mergeCell ref="E120:F120"/>
    <mergeCell ref="C121:H121"/>
    <mergeCell ref="C122:H122"/>
    <mergeCell ref="B123:J123"/>
    <mergeCell ref="B124:J124"/>
    <mergeCell ref="I115:I119"/>
    <mergeCell ref="J115:J119"/>
    <mergeCell ref="C116:D116"/>
    <mergeCell ref="E116:F116"/>
    <mergeCell ref="G116:H116"/>
    <mergeCell ref="C117:D117"/>
    <mergeCell ref="E117:F117"/>
    <mergeCell ref="G117:H117"/>
    <mergeCell ref="C118:D118"/>
    <mergeCell ref="E118:F118"/>
    <mergeCell ref="J135:J140"/>
    <mergeCell ref="C136:D136"/>
    <mergeCell ref="E136:F136"/>
    <mergeCell ref="G136:H136"/>
    <mergeCell ref="C137:D137"/>
    <mergeCell ref="C133:D133"/>
    <mergeCell ref="E133:F133"/>
    <mergeCell ref="G133:H133"/>
    <mergeCell ref="C134:D134"/>
    <mergeCell ref="E134:F134"/>
    <mergeCell ref="G134:H134"/>
    <mergeCell ref="E130:F130"/>
    <mergeCell ref="G130:H130"/>
    <mergeCell ref="C131:D131"/>
    <mergeCell ref="E131:F131"/>
    <mergeCell ref="G131:H131"/>
    <mergeCell ref="C132:D132"/>
    <mergeCell ref="E132:F132"/>
    <mergeCell ref="G132:H132"/>
    <mergeCell ref="C140:H140"/>
    <mergeCell ref="B141:B147"/>
    <mergeCell ref="C141:D141"/>
    <mergeCell ref="E141:F141"/>
    <mergeCell ref="G141:H141"/>
    <mergeCell ref="I141:I147"/>
    <mergeCell ref="C145:D145"/>
    <mergeCell ref="E145:F145"/>
    <mergeCell ref="G145:H145"/>
    <mergeCell ref="C146:D146"/>
    <mergeCell ref="E137:F137"/>
    <mergeCell ref="G137:H137"/>
    <mergeCell ref="C138:D138"/>
    <mergeCell ref="E138:F138"/>
    <mergeCell ref="G138:H138"/>
    <mergeCell ref="C139:D139"/>
    <mergeCell ref="E139:F139"/>
    <mergeCell ref="G139:H139"/>
    <mergeCell ref="B135:B140"/>
    <mergeCell ref="C135:D135"/>
    <mergeCell ref="E135:F135"/>
    <mergeCell ref="G135:H135"/>
    <mergeCell ref="I135:I140"/>
    <mergeCell ref="E146:F146"/>
    <mergeCell ref="G146:H146"/>
    <mergeCell ref="C147:D147"/>
    <mergeCell ref="G147:H147"/>
    <mergeCell ref="B148:B152"/>
    <mergeCell ref="C148:D148"/>
    <mergeCell ref="E148:F148"/>
    <mergeCell ref="G148:H148"/>
    <mergeCell ref="G151:H151"/>
    <mergeCell ref="C152:D152"/>
    <mergeCell ref="J141:J147"/>
    <mergeCell ref="C142:D142"/>
    <mergeCell ref="E142:F142"/>
    <mergeCell ref="G142:H142"/>
    <mergeCell ref="C143:D143"/>
    <mergeCell ref="E143:F143"/>
    <mergeCell ref="G143:H143"/>
    <mergeCell ref="C144:D144"/>
    <mergeCell ref="E144:F144"/>
    <mergeCell ref="G144:H144"/>
    <mergeCell ref="I153:I157"/>
    <mergeCell ref="J153:J157"/>
    <mergeCell ref="C154:D154"/>
    <mergeCell ref="E154:F154"/>
    <mergeCell ref="G154:H154"/>
    <mergeCell ref="C155:D155"/>
    <mergeCell ref="E155:F155"/>
    <mergeCell ref="G155:H155"/>
    <mergeCell ref="C156:D156"/>
    <mergeCell ref="E156:F156"/>
    <mergeCell ref="E152:F152"/>
    <mergeCell ref="G152:H152"/>
    <mergeCell ref="B153:B157"/>
    <mergeCell ref="C153:D153"/>
    <mergeCell ref="E153:F153"/>
    <mergeCell ref="G153:H153"/>
    <mergeCell ref="C157:D157"/>
    <mergeCell ref="I148:I152"/>
    <mergeCell ref="J148:J152"/>
    <mergeCell ref="C149:D149"/>
    <mergeCell ref="E149:F149"/>
    <mergeCell ref="G149:H149"/>
    <mergeCell ref="C150:D150"/>
    <mergeCell ref="E150:F150"/>
    <mergeCell ref="G150:H150"/>
    <mergeCell ref="C151:D151"/>
    <mergeCell ref="E151:F151"/>
    <mergeCell ref="J161:J162"/>
    <mergeCell ref="C162:D162"/>
    <mergeCell ref="G162:H162"/>
    <mergeCell ref="B163:B164"/>
    <mergeCell ref="C163:D163"/>
    <mergeCell ref="E163:F163"/>
    <mergeCell ref="G163:H163"/>
    <mergeCell ref="I163:I164"/>
    <mergeCell ref="J163:J164"/>
    <mergeCell ref="C164:D164"/>
    <mergeCell ref="E160:F160"/>
    <mergeCell ref="B161:B162"/>
    <mergeCell ref="C161:D161"/>
    <mergeCell ref="E161:F161"/>
    <mergeCell ref="G161:H161"/>
    <mergeCell ref="I161:I162"/>
    <mergeCell ref="B158:B160"/>
    <mergeCell ref="C158:D158"/>
    <mergeCell ref="E158:F158"/>
    <mergeCell ref="G158:H158"/>
    <mergeCell ref="I158:I160"/>
    <mergeCell ref="J158:J160"/>
    <mergeCell ref="C159:D159"/>
    <mergeCell ref="E159:F159"/>
    <mergeCell ref="G159:H159"/>
    <mergeCell ref="C160:D160"/>
    <mergeCell ref="C169:H169"/>
    <mergeCell ref="C170:H170"/>
    <mergeCell ref="C171:H171"/>
    <mergeCell ref="C172:D172"/>
    <mergeCell ref="B174:H174"/>
    <mergeCell ref="B175:J175"/>
    <mergeCell ref="J165:J166"/>
    <mergeCell ref="C166:D166"/>
    <mergeCell ref="B167:B168"/>
    <mergeCell ref="C167:D167"/>
    <mergeCell ref="I167:I168"/>
    <mergeCell ref="J167:J168"/>
    <mergeCell ref="C168:H168"/>
    <mergeCell ref="E164:F164"/>
    <mergeCell ref="B165:B166"/>
    <mergeCell ref="C165:D165"/>
    <mergeCell ref="E165:F165"/>
    <mergeCell ref="G165:H165"/>
    <mergeCell ref="I165:I166"/>
    <mergeCell ref="B185:J185"/>
    <mergeCell ref="B186:B188"/>
    <mergeCell ref="C186:D186"/>
    <mergeCell ref="E186:F186"/>
    <mergeCell ref="G186:H186"/>
    <mergeCell ref="I186:I188"/>
    <mergeCell ref="J186:J188"/>
    <mergeCell ref="E187:F187"/>
    <mergeCell ref="G187:H187"/>
    <mergeCell ref="C188:D188"/>
    <mergeCell ref="B179:J179"/>
    <mergeCell ref="B181:H181"/>
    <mergeCell ref="C182:D182"/>
    <mergeCell ref="E182:F182"/>
    <mergeCell ref="G182:H182"/>
    <mergeCell ref="B184:H184"/>
    <mergeCell ref="B176:B178"/>
    <mergeCell ref="C176:D176"/>
    <mergeCell ref="E176:F176"/>
    <mergeCell ref="G176:H176"/>
    <mergeCell ref="I176:I178"/>
    <mergeCell ref="J176:J178"/>
    <mergeCell ref="E177:F177"/>
    <mergeCell ref="G177:H177"/>
    <mergeCell ref="C194:D194"/>
    <mergeCell ref="C195:H195"/>
    <mergeCell ref="B196:B198"/>
    <mergeCell ref="C196:D196"/>
    <mergeCell ref="E196:F196"/>
    <mergeCell ref="G196:H196"/>
    <mergeCell ref="I189:I195"/>
    <mergeCell ref="J189:J195"/>
    <mergeCell ref="C190:D190"/>
    <mergeCell ref="E190:F190"/>
    <mergeCell ref="G190:H190"/>
    <mergeCell ref="C191:D191"/>
    <mergeCell ref="E191:F191"/>
    <mergeCell ref="G191:H191"/>
    <mergeCell ref="C192:D192"/>
    <mergeCell ref="E192:F192"/>
    <mergeCell ref="E188:F188"/>
    <mergeCell ref="G188:H188"/>
    <mergeCell ref="B189:B195"/>
    <mergeCell ref="C189:D189"/>
    <mergeCell ref="E189:F189"/>
    <mergeCell ref="G189:H189"/>
    <mergeCell ref="G192:H192"/>
    <mergeCell ref="C193:D193"/>
    <mergeCell ref="E193:F193"/>
    <mergeCell ref="G193:H193"/>
    <mergeCell ref="E201:F201"/>
    <mergeCell ref="G201:H201"/>
    <mergeCell ref="C202:D202"/>
    <mergeCell ref="E202:F202"/>
    <mergeCell ref="G202:H202"/>
    <mergeCell ref="C203:D203"/>
    <mergeCell ref="B199:B203"/>
    <mergeCell ref="C199:D199"/>
    <mergeCell ref="E199:F199"/>
    <mergeCell ref="G199:H199"/>
    <mergeCell ref="I199:I203"/>
    <mergeCell ref="J199:J203"/>
    <mergeCell ref="C200:D200"/>
    <mergeCell ref="E200:F200"/>
    <mergeCell ref="G200:H200"/>
    <mergeCell ref="C201:D201"/>
    <mergeCell ref="I196:I198"/>
    <mergeCell ref="J196:J198"/>
    <mergeCell ref="C197:D197"/>
    <mergeCell ref="E197:F197"/>
    <mergeCell ref="G197:H197"/>
    <mergeCell ref="C198:D198"/>
    <mergeCell ref="E198:F198"/>
    <mergeCell ref="C207:D207"/>
    <mergeCell ref="E207:F207"/>
    <mergeCell ref="G207:H207"/>
    <mergeCell ref="B208:B209"/>
    <mergeCell ref="C208:D208"/>
    <mergeCell ref="E208:F208"/>
    <mergeCell ref="G208:H208"/>
    <mergeCell ref="B204:B206"/>
    <mergeCell ref="C204:D204"/>
    <mergeCell ref="E204:F204"/>
    <mergeCell ref="G204:H204"/>
    <mergeCell ref="I204:I206"/>
    <mergeCell ref="J204:J206"/>
    <mergeCell ref="C205:D205"/>
    <mergeCell ref="E205:F205"/>
    <mergeCell ref="G205:H205"/>
    <mergeCell ref="C206:D206"/>
    <mergeCell ref="I212:I216"/>
    <mergeCell ref="J212:J216"/>
    <mergeCell ref="C213:D213"/>
    <mergeCell ref="E213:F213"/>
    <mergeCell ref="C214:H214"/>
    <mergeCell ref="C215:H215"/>
    <mergeCell ref="C216:H216"/>
    <mergeCell ref="C211:D211"/>
    <mergeCell ref="E211:F211"/>
    <mergeCell ref="G211:H211"/>
    <mergeCell ref="B212:B216"/>
    <mergeCell ref="C212:D212"/>
    <mergeCell ref="E212:F212"/>
    <mergeCell ref="G212:H212"/>
    <mergeCell ref="I208:I209"/>
    <mergeCell ref="J208:J209"/>
    <mergeCell ref="C209:D209"/>
    <mergeCell ref="E209:F209"/>
    <mergeCell ref="G209:H209"/>
    <mergeCell ref="C210:D210"/>
    <mergeCell ref="E210:F210"/>
    <mergeCell ref="G210:H210"/>
    <mergeCell ref="B232:H232"/>
    <mergeCell ref="B233:H234"/>
    <mergeCell ref="I233:I234"/>
    <mergeCell ref="J233:J234"/>
    <mergeCell ref="B236:H236"/>
    <mergeCell ref="B237:J237"/>
    <mergeCell ref="B224:J224"/>
    <mergeCell ref="C225:H225"/>
    <mergeCell ref="B226:J226"/>
    <mergeCell ref="C227:H227"/>
    <mergeCell ref="B229:H229"/>
    <mergeCell ref="B230:H230"/>
    <mergeCell ref="C217:H217"/>
    <mergeCell ref="C218:H218"/>
    <mergeCell ref="C219:H219"/>
    <mergeCell ref="C220:D220"/>
    <mergeCell ref="B222:H222"/>
    <mergeCell ref="B223:J223"/>
    <mergeCell ref="C242:D242"/>
    <mergeCell ref="E242:F242"/>
    <mergeCell ref="G242:H242"/>
    <mergeCell ref="B243:B249"/>
    <mergeCell ref="C243:D243"/>
    <mergeCell ref="E243:F243"/>
    <mergeCell ref="G243:H243"/>
    <mergeCell ref="G246:H246"/>
    <mergeCell ref="C247:D247"/>
    <mergeCell ref="E247:F247"/>
    <mergeCell ref="B238:J238"/>
    <mergeCell ref="C239:H239"/>
    <mergeCell ref="B240:B242"/>
    <mergeCell ref="C240:D240"/>
    <mergeCell ref="E240:F240"/>
    <mergeCell ref="G240:H240"/>
    <mergeCell ref="I240:I242"/>
    <mergeCell ref="J240:J242"/>
    <mergeCell ref="E241:F241"/>
    <mergeCell ref="G241:H241"/>
    <mergeCell ref="I250:I253"/>
    <mergeCell ref="J250:J253"/>
    <mergeCell ref="C251:D251"/>
    <mergeCell ref="E251:F251"/>
    <mergeCell ref="G251:H251"/>
    <mergeCell ref="C252:D252"/>
    <mergeCell ref="E252:F252"/>
    <mergeCell ref="G252:H252"/>
    <mergeCell ref="C253:D253"/>
    <mergeCell ref="G247:H247"/>
    <mergeCell ref="C248:D248"/>
    <mergeCell ref="E248:F248"/>
    <mergeCell ref="C249:H249"/>
    <mergeCell ref="B250:B253"/>
    <mergeCell ref="C250:D250"/>
    <mergeCell ref="E250:F250"/>
    <mergeCell ref="G250:H250"/>
    <mergeCell ref="I243:I249"/>
    <mergeCell ref="J243:J249"/>
    <mergeCell ref="C244:D244"/>
    <mergeCell ref="E244:F244"/>
    <mergeCell ref="G244:H244"/>
    <mergeCell ref="C245:D245"/>
    <mergeCell ref="E245:F245"/>
    <mergeCell ref="G245:H245"/>
    <mergeCell ref="C246:D246"/>
    <mergeCell ref="E246:F246"/>
    <mergeCell ref="E256:F256"/>
    <mergeCell ref="G256:H256"/>
    <mergeCell ref="C257:D257"/>
    <mergeCell ref="E257:F257"/>
    <mergeCell ref="G257:H257"/>
    <mergeCell ref="C258:D258"/>
    <mergeCell ref="E258:F258"/>
    <mergeCell ref="B254:B259"/>
    <mergeCell ref="C254:D254"/>
    <mergeCell ref="E254:F254"/>
    <mergeCell ref="G254:H254"/>
    <mergeCell ref="I254:I259"/>
    <mergeCell ref="J254:J259"/>
    <mergeCell ref="C255:D255"/>
    <mergeCell ref="E255:F255"/>
    <mergeCell ref="G255:H255"/>
    <mergeCell ref="C256:D256"/>
    <mergeCell ref="C265:D265"/>
    <mergeCell ref="E265:F265"/>
    <mergeCell ref="G265:H265"/>
    <mergeCell ref="B266:B267"/>
    <mergeCell ref="C266:D266"/>
    <mergeCell ref="E266:F266"/>
    <mergeCell ref="G266:H266"/>
    <mergeCell ref="J260:J264"/>
    <mergeCell ref="C261:D261"/>
    <mergeCell ref="E261:F261"/>
    <mergeCell ref="G261:H261"/>
    <mergeCell ref="C263:H263"/>
    <mergeCell ref="C264:H264"/>
    <mergeCell ref="C259:H259"/>
    <mergeCell ref="B260:B264"/>
    <mergeCell ref="C260:D260"/>
    <mergeCell ref="E260:F260"/>
    <mergeCell ref="G260:H260"/>
    <mergeCell ref="I260:I264"/>
    <mergeCell ref="B271:B273"/>
    <mergeCell ref="C271:D271"/>
    <mergeCell ref="E271:F271"/>
    <mergeCell ref="G271:H271"/>
    <mergeCell ref="I271:I273"/>
    <mergeCell ref="J271:J273"/>
    <mergeCell ref="C272:D272"/>
    <mergeCell ref="C273:H273"/>
    <mergeCell ref="B269:B270"/>
    <mergeCell ref="C269:D269"/>
    <mergeCell ref="E269:F269"/>
    <mergeCell ref="G269:H269"/>
    <mergeCell ref="I269:I270"/>
    <mergeCell ref="J269:J270"/>
    <mergeCell ref="C270:D270"/>
    <mergeCell ref="I266:I267"/>
    <mergeCell ref="J266:J267"/>
    <mergeCell ref="C267:D267"/>
    <mergeCell ref="E267:F267"/>
    <mergeCell ref="G267:H267"/>
    <mergeCell ref="C268:D268"/>
    <mergeCell ref="E268:F268"/>
    <mergeCell ref="G268:H268"/>
    <mergeCell ref="J279:J281"/>
    <mergeCell ref="E280:F280"/>
    <mergeCell ref="G280:H280"/>
    <mergeCell ref="C281:D281"/>
    <mergeCell ref="E281:F281"/>
    <mergeCell ref="G281:H281"/>
    <mergeCell ref="C274:H274"/>
    <mergeCell ref="C275:H275"/>
    <mergeCell ref="C276:H276"/>
    <mergeCell ref="C277:D277"/>
    <mergeCell ref="B278:J278"/>
    <mergeCell ref="B279:B281"/>
    <mergeCell ref="C279:D279"/>
    <mergeCell ref="E279:F279"/>
    <mergeCell ref="G279:H279"/>
    <mergeCell ref="I279:I281"/>
    <mergeCell ref="C287:H287"/>
    <mergeCell ref="E284:F284"/>
    <mergeCell ref="G284:H284"/>
    <mergeCell ref="C285:D285"/>
    <mergeCell ref="E285:F285"/>
    <mergeCell ref="G285:H285"/>
    <mergeCell ref="C286:D286"/>
    <mergeCell ref="E286:F286"/>
    <mergeCell ref="G286:H286"/>
    <mergeCell ref="B282:B287"/>
    <mergeCell ref="C282:D282"/>
    <mergeCell ref="E282:F282"/>
    <mergeCell ref="G282:H282"/>
    <mergeCell ref="I282:I287"/>
    <mergeCell ref="J282:J287"/>
    <mergeCell ref="C283:D283"/>
    <mergeCell ref="E283:F283"/>
    <mergeCell ref="G283:H283"/>
    <mergeCell ref="C284:D284"/>
    <mergeCell ref="E293:F293"/>
    <mergeCell ref="G293:H293"/>
    <mergeCell ref="C294:D294"/>
    <mergeCell ref="E294:F294"/>
    <mergeCell ref="G294:H294"/>
    <mergeCell ref="C295:D295"/>
    <mergeCell ref="B291:B295"/>
    <mergeCell ref="C291:D291"/>
    <mergeCell ref="E291:F291"/>
    <mergeCell ref="G291:H291"/>
    <mergeCell ref="I291:I295"/>
    <mergeCell ref="J291:J295"/>
    <mergeCell ref="C292:D292"/>
    <mergeCell ref="E292:F292"/>
    <mergeCell ref="G292:H292"/>
    <mergeCell ref="C293:D293"/>
    <mergeCell ref="J288:J290"/>
    <mergeCell ref="E289:F289"/>
    <mergeCell ref="G289:H289"/>
    <mergeCell ref="C290:D290"/>
    <mergeCell ref="E290:F290"/>
    <mergeCell ref="G290:H290"/>
    <mergeCell ref="B288:B290"/>
    <mergeCell ref="C288:D288"/>
    <mergeCell ref="E288:F288"/>
    <mergeCell ref="G288:H288"/>
    <mergeCell ref="I288:I290"/>
    <mergeCell ref="I299:I300"/>
    <mergeCell ref="J299:J300"/>
    <mergeCell ref="C300:D300"/>
    <mergeCell ref="G300:H300"/>
    <mergeCell ref="C301:D301"/>
    <mergeCell ref="E301:F301"/>
    <mergeCell ref="G301:H301"/>
    <mergeCell ref="C298:D298"/>
    <mergeCell ref="E298:F298"/>
    <mergeCell ref="B299:B300"/>
    <mergeCell ref="C299:D299"/>
    <mergeCell ref="E299:F299"/>
    <mergeCell ref="G299:H299"/>
    <mergeCell ref="B296:B297"/>
    <mergeCell ref="C296:D296"/>
    <mergeCell ref="E296:F296"/>
    <mergeCell ref="G296:H296"/>
    <mergeCell ref="I296:I297"/>
    <mergeCell ref="J296:J297"/>
    <mergeCell ref="C297:D297"/>
    <mergeCell ref="E297:F297"/>
    <mergeCell ref="G297:H297"/>
    <mergeCell ref="C309:H309"/>
    <mergeCell ref="C310:H310"/>
    <mergeCell ref="C311:H311"/>
    <mergeCell ref="C312:D312"/>
    <mergeCell ref="B314:H314"/>
    <mergeCell ref="B315:J315"/>
    <mergeCell ref="B306:B308"/>
    <mergeCell ref="C306:D306"/>
    <mergeCell ref="E306:F306"/>
    <mergeCell ref="G306:H306"/>
    <mergeCell ref="I306:I308"/>
    <mergeCell ref="J306:J308"/>
    <mergeCell ref="C307:D307"/>
    <mergeCell ref="C308:H308"/>
    <mergeCell ref="B302:B305"/>
    <mergeCell ref="C302:D302"/>
    <mergeCell ref="E302:F302"/>
    <mergeCell ref="G302:H302"/>
    <mergeCell ref="I302:I305"/>
    <mergeCell ref="J302:J305"/>
    <mergeCell ref="C303:D303"/>
    <mergeCell ref="C305:H305"/>
    <mergeCell ref="G326:H326"/>
    <mergeCell ref="C327:D327"/>
    <mergeCell ref="B323:B324"/>
    <mergeCell ref="C323:D323"/>
    <mergeCell ref="E323:F323"/>
    <mergeCell ref="G323:H323"/>
    <mergeCell ref="I323:I324"/>
    <mergeCell ref="J323:J324"/>
    <mergeCell ref="C324:D324"/>
    <mergeCell ref="E324:F324"/>
    <mergeCell ref="G324:H324"/>
    <mergeCell ref="C316:H316"/>
    <mergeCell ref="C317:H317"/>
    <mergeCell ref="C318:H318"/>
    <mergeCell ref="C319:H319"/>
    <mergeCell ref="B321:H321"/>
    <mergeCell ref="B322:J322"/>
    <mergeCell ref="J331:J334"/>
    <mergeCell ref="C332:D332"/>
    <mergeCell ref="E332:F332"/>
    <mergeCell ref="G332:H332"/>
    <mergeCell ref="C333:D333"/>
    <mergeCell ref="E333:F333"/>
    <mergeCell ref="G333:H333"/>
    <mergeCell ref="C334:D334"/>
    <mergeCell ref="E334:F334"/>
    <mergeCell ref="G334:H334"/>
    <mergeCell ref="C330:H330"/>
    <mergeCell ref="B331:B334"/>
    <mergeCell ref="C331:D331"/>
    <mergeCell ref="E331:F331"/>
    <mergeCell ref="G331:H331"/>
    <mergeCell ref="I331:I334"/>
    <mergeCell ref="E327:F327"/>
    <mergeCell ref="G327:H327"/>
    <mergeCell ref="C328:D328"/>
    <mergeCell ref="E328:F328"/>
    <mergeCell ref="G328:H328"/>
    <mergeCell ref="C329:D329"/>
    <mergeCell ref="E329:F329"/>
    <mergeCell ref="G329:H329"/>
    <mergeCell ref="B325:B330"/>
    <mergeCell ref="C325:D325"/>
    <mergeCell ref="E325:F325"/>
    <mergeCell ref="G325:H325"/>
    <mergeCell ref="I325:I330"/>
    <mergeCell ref="J325:J330"/>
    <mergeCell ref="C326:D326"/>
    <mergeCell ref="E326:F326"/>
    <mergeCell ref="I338:I340"/>
    <mergeCell ref="J338:J340"/>
    <mergeCell ref="C339:D339"/>
    <mergeCell ref="E339:F339"/>
    <mergeCell ref="G339:H339"/>
    <mergeCell ref="C340:D340"/>
    <mergeCell ref="E337:F337"/>
    <mergeCell ref="G337:H337"/>
    <mergeCell ref="B338:B340"/>
    <mergeCell ref="C338:D338"/>
    <mergeCell ref="E338:F338"/>
    <mergeCell ref="G338:H338"/>
    <mergeCell ref="B335:B337"/>
    <mergeCell ref="C335:D335"/>
    <mergeCell ref="E335:F335"/>
    <mergeCell ref="G335:H335"/>
    <mergeCell ref="I335:I337"/>
    <mergeCell ref="J335:J337"/>
    <mergeCell ref="C336:D336"/>
    <mergeCell ref="E336:F336"/>
    <mergeCell ref="G336:H336"/>
    <mergeCell ref="C337:D337"/>
    <mergeCell ref="I345:I346"/>
    <mergeCell ref="J345:J346"/>
    <mergeCell ref="C346:D346"/>
    <mergeCell ref="E346:F346"/>
    <mergeCell ref="C347:D347"/>
    <mergeCell ref="E347:F347"/>
    <mergeCell ref="C344:D344"/>
    <mergeCell ref="E344:F344"/>
    <mergeCell ref="G344:H344"/>
    <mergeCell ref="B345:B346"/>
    <mergeCell ref="C345:D345"/>
    <mergeCell ref="E345:F345"/>
    <mergeCell ref="G345:H345"/>
    <mergeCell ref="B341:B343"/>
    <mergeCell ref="C341:D341"/>
    <mergeCell ref="E341:F341"/>
    <mergeCell ref="G341:H341"/>
    <mergeCell ref="I341:I343"/>
    <mergeCell ref="J341:J343"/>
    <mergeCell ref="C342:D342"/>
    <mergeCell ref="E342:F342"/>
    <mergeCell ref="C343:D343"/>
    <mergeCell ref="E343:F343"/>
    <mergeCell ref="C360:H360"/>
    <mergeCell ref="B361:B363"/>
    <mergeCell ref="C361:H361"/>
    <mergeCell ref="I361:I363"/>
    <mergeCell ref="J361:J363"/>
    <mergeCell ref="C362:D362"/>
    <mergeCell ref="E362:F362"/>
    <mergeCell ref="G362:H362"/>
    <mergeCell ref="C363:H363"/>
    <mergeCell ref="B352:J352"/>
    <mergeCell ref="B354:H354"/>
    <mergeCell ref="C355:H355"/>
    <mergeCell ref="C356:H356"/>
    <mergeCell ref="B358:H358"/>
    <mergeCell ref="B359:J359"/>
    <mergeCell ref="C348:H348"/>
    <mergeCell ref="C349:D349"/>
    <mergeCell ref="E349:F349"/>
    <mergeCell ref="G349:H349"/>
    <mergeCell ref="B350:B351"/>
    <mergeCell ref="C350:H350"/>
    <mergeCell ref="C351:D351"/>
    <mergeCell ref="E351:F351"/>
    <mergeCell ref="G351:H351"/>
    <mergeCell ref="C367:H367"/>
    <mergeCell ref="B368:B371"/>
    <mergeCell ref="C368:D368"/>
    <mergeCell ref="E368:F368"/>
    <mergeCell ref="I368:I371"/>
    <mergeCell ref="J368:J371"/>
    <mergeCell ref="C369:D369"/>
    <mergeCell ref="E369:F369"/>
    <mergeCell ref="G369:H369"/>
    <mergeCell ref="C370:D370"/>
    <mergeCell ref="B364:B367"/>
    <mergeCell ref="C364:H364"/>
    <mergeCell ref="I364:I367"/>
    <mergeCell ref="J364:J367"/>
    <mergeCell ref="C365:D365"/>
    <mergeCell ref="E365:F365"/>
    <mergeCell ref="G365:H365"/>
    <mergeCell ref="C366:D366"/>
    <mergeCell ref="E366:F366"/>
    <mergeCell ref="G366:H366"/>
    <mergeCell ref="I373:I374"/>
    <mergeCell ref="J373:J374"/>
    <mergeCell ref="C374:D374"/>
    <mergeCell ref="E374:F374"/>
    <mergeCell ref="G374:H374"/>
    <mergeCell ref="B375:B376"/>
    <mergeCell ref="C375:D375"/>
    <mergeCell ref="E375:F375"/>
    <mergeCell ref="G375:H375"/>
    <mergeCell ref="I375:I376"/>
    <mergeCell ref="E370:F370"/>
    <mergeCell ref="C371:H371"/>
    <mergeCell ref="C372:H372"/>
    <mergeCell ref="B373:B374"/>
    <mergeCell ref="C373:D373"/>
    <mergeCell ref="E373:F373"/>
    <mergeCell ref="G373:H373"/>
    <mergeCell ref="C381:H381"/>
    <mergeCell ref="C382:H382"/>
    <mergeCell ref="C383:H383"/>
    <mergeCell ref="C384:H384"/>
    <mergeCell ref="B385:B386"/>
    <mergeCell ref="C385:J385"/>
    <mergeCell ref="C386:H386"/>
    <mergeCell ref="J375:J376"/>
    <mergeCell ref="C376:H376"/>
    <mergeCell ref="B377:B378"/>
    <mergeCell ref="C377:J377"/>
    <mergeCell ref="C378:H378"/>
    <mergeCell ref="B379:B384"/>
    <mergeCell ref="C379:H379"/>
    <mergeCell ref="I379:I383"/>
    <mergeCell ref="J379:J383"/>
    <mergeCell ref="C380:H380"/>
    <mergeCell ref="C401:D401"/>
    <mergeCell ref="E401:F401"/>
    <mergeCell ref="C402:H402"/>
    <mergeCell ref="C403:H403"/>
    <mergeCell ref="B404:B406"/>
    <mergeCell ref="C404:D404"/>
    <mergeCell ref="E404:F404"/>
    <mergeCell ref="G404:H404"/>
    <mergeCell ref="B395:J395"/>
    <mergeCell ref="B397:H397"/>
    <mergeCell ref="B398:J398"/>
    <mergeCell ref="B399:J399"/>
    <mergeCell ref="C400:D400"/>
    <mergeCell ref="E400:F400"/>
    <mergeCell ref="C387:H387"/>
    <mergeCell ref="B388:J388"/>
    <mergeCell ref="B390:H390"/>
    <mergeCell ref="B391:J391"/>
    <mergeCell ref="B392:B394"/>
    <mergeCell ref="C392:H392"/>
    <mergeCell ref="I392:I394"/>
    <mergeCell ref="J392:J394"/>
    <mergeCell ref="C393:H393"/>
    <mergeCell ref="C394:H394"/>
    <mergeCell ref="C413:D413"/>
    <mergeCell ref="E413:F413"/>
    <mergeCell ref="C414:H414"/>
    <mergeCell ref="C415:H415"/>
    <mergeCell ref="C416:H416"/>
    <mergeCell ref="C417:H417"/>
    <mergeCell ref="C407:H407"/>
    <mergeCell ref="C408:H408"/>
    <mergeCell ref="C409:H409"/>
    <mergeCell ref="B410:J410"/>
    <mergeCell ref="B411:B412"/>
    <mergeCell ref="C411:H411"/>
    <mergeCell ref="C412:H412"/>
    <mergeCell ref="I404:I406"/>
    <mergeCell ref="J404:J406"/>
    <mergeCell ref="C405:D405"/>
    <mergeCell ref="E405:F405"/>
    <mergeCell ref="G405:H405"/>
    <mergeCell ref="E406:F406"/>
    <mergeCell ref="G406:H406"/>
    <mergeCell ref="I426:I428"/>
    <mergeCell ref="J426:J428"/>
    <mergeCell ref="C427:D427"/>
    <mergeCell ref="E427:F427"/>
    <mergeCell ref="G427:H427"/>
    <mergeCell ref="C428:D428"/>
    <mergeCell ref="E428:F428"/>
    <mergeCell ref="G428:H428"/>
    <mergeCell ref="C423:H423"/>
    <mergeCell ref="C424:H424"/>
    <mergeCell ref="C425:H425"/>
    <mergeCell ref="B426:B428"/>
    <mergeCell ref="C426:D426"/>
    <mergeCell ref="E426:F426"/>
    <mergeCell ref="G426:H426"/>
    <mergeCell ref="C418:H418"/>
    <mergeCell ref="C419:H419"/>
    <mergeCell ref="B420:H420"/>
    <mergeCell ref="B421:J421"/>
    <mergeCell ref="C422:E422"/>
    <mergeCell ref="F422:H422"/>
    <mergeCell ref="I437:I439"/>
    <mergeCell ref="J437:J439"/>
    <mergeCell ref="C438:D438"/>
    <mergeCell ref="E438:F438"/>
    <mergeCell ref="G438:H438"/>
    <mergeCell ref="E439:F439"/>
    <mergeCell ref="G439:H439"/>
    <mergeCell ref="C436:D436"/>
    <mergeCell ref="E436:F436"/>
    <mergeCell ref="G436:H436"/>
    <mergeCell ref="B437:B439"/>
    <mergeCell ref="C437:D437"/>
    <mergeCell ref="E437:F437"/>
    <mergeCell ref="G437:H437"/>
    <mergeCell ref="C429:H429"/>
    <mergeCell ref="C430:H430"/>
    <mergeCell ref="C431:H431"/>
    <mergeCell ref="B433:H433"/>
    <mergeCell ref="B434:J434"/>
    <mergeCell ref="B435:J435"/>
    <mergeCell ref="C443:D443"/>
    <mergeCell ref="E443:F443"/>
    <mergeCell ref="G443:H443"/>
    <mergeCell ref="E444:F444"/>
    <mergeCell ref="G444:H444"/>
    <mergeCell ref="C445:D445"/>
    <mergeCell ref="E445:F445"/>
    <mergeCell ref="G445:H445"/>
    <mergeCell ref="B440:J440"/>
    <mergeCell ref="C441:D441"/>
    <mergeCell ref="E441:F441"/>
    <mergeCell ref="G441:H441"/>
    <mergeCell ref="B442:B445"/>
    <mergeCell ref="C442:D442"/>
    <mergeCell ref="E442:F442"/>
    <mergeCell ref="G442:H442"/>
    <mergeCell ref="I442:I445"/>
    <mergeCell ref="J442:J445"/>
    <mergeCell ref="B453:J453"/>
    <mergeCell ref="B455:H455"/>
    <mergeCell ref="B456:J456"/>
    <mergeCell ref="C457:H457"/>
    <mergeCell ref="B458:J458"/>
    <mergeCell ref="C460:H460"/>
    <mergeCell ref="J450:J452"/>
    <mergeCell ref="C451:D451"/>
    <mergeCell ref="E451:F451"/>
    <mergeCell ref="G451:H451"/>
    <mergeCell ref="C452:D452"/>
    <mergeCell ref="E452:F452"/>
    <mergeCell ref="G452:H452"/>
    <mergeCell ref="B446:J446"/>
    <mergeCell ref="B448:J448"/>
    <mergeCell ref="C449:D449"/>
    <mergeCell ref="E449:F449"/>
    <mergeCell ref="G449:H449"/>
    <mergeCell ref="B450:B452"/>
    <mergeCell ref="C450:D450"/>
    <mergeCell ref="E450:F450"/>
    <mergeCell ref="G450:H450"/>
    <mergeCell ref="I450:I452"/>
    <mergeCell ref="B473:J473"/>
    <mergeCell ref="C474:H474"/>
    <mergeCell ref="C475:H475"/>
    <mergeCell ref="B476:J476"/>
    <mergeCell ref="B477:B483"/>
    <mergeCell ref="C477:H477"/>
    <mergeCell ref="C478:H478"/>
    <mergeCell ref="C479:H479"/>
    <mergeCell ref="C480:H480"/>
    <mergeCell ref="C481:H481"/>
    <mergeCell ref="C467:H467"/>
    <mergeCell ref="C468:H468"/>
    <mergeCell ref="B469:J469"/>
    <mergeCell ref="C470:H470"/>
    <mergeCell ref="C471:H471"/>
    <mergeCell ref="C472:H472"/>
    <mergeCell ref="C461:H461"/>
    <mergeCell ref="B462:J462"/>
    <mergeCell ref="C463:H463"/>
    <mergeCell ref="C464:H464"/>
    <mergeCell ref="B465:J465"/>
    <mergeCell ref="C466:H466"/>
    <mergeCell ref="B493:B494"/>
    <mergeCell ref="C493:H493"/>
    <mergeCell ref="C494:H494"/>
    <mergeCell ref="B495:J495"/>
    <mergeCell ref="B497:H497"/>
    <mergeCell ref="B498:J498"/>
    <mergeCell ref="B487:J487"/>
    <mergeCell ref="B488:B492"/>
    <mergeCell ref="C488:H488"/>
    <mergeCell ref="C489:H489"/>
    <mergeCell ref="C490:H490"/>
    <mergeCell ref="C491:H491"/>
    <mergeCell ref="C492:H492"/>
    <mergeCell ref="C482:H482"/>
    <mergeCell ref="C483:H483"/>
    <mergeCell ref="B484:B486"/>
    <mergeCell ref="C484:H484"/>
    <mergeCell ref="C485:H485"/>
    <mergeCell ref="C486:H486"/>
    <mergeCell ref="C508:D508"/>
    <mergeCell ref="G508:H508"/>
    <mergeCell ref="C509:D509"/>
    <mergeCell ref="E509:F509"/>
    <mergeCell ref="C510:H510"/>
    <mergeCell ref="B512:H512"/>
    <mergeCell ref="G505:H505"/>
    <mergeCell ref="C506:D506"/>
    <mergeCell ref="E506:F506"/>
    <mergeCell ref="G506:H506"/>
    <mergeCell ref="V506:V507"/>
    <mergeCell ref="C507:D507"/>
    <mergeCell ref="E507:F507"/>
    <mergeCell ref="G507:H507"/>
    <mergeCell ref="C499:H499"/>
    <mergeCell ref="C500:H500"/>
    <mergeCell ref="B502:H502"/>
    <mergeCell ref="B503:J503"/>
    <mergeCell ref="B504:B509"/>
    <mergeCell ref="G504:H504"/>
    <mergeCell ref="I504:I509"/>
    <mergeCell ref="J504:J509"/>
    <mergeCell ref="C505:D505"/>
    <mergeCell ref="E505:F505"/>
    <mergeCell ref="G516:H516"/>
    <mergeCell ref="C517:D517"/>
    <mergeCell ref="E517:F517"/>
    <mergeCell ref="B518:B520"/>
    <mergeCell ref="C518:D518"/>
    <mergeCell ref="E518:F518"/>
    <mergeCell ref="G518:H518"/>
    <mergeCell ref="B513:J513"/>
    <mergeCell ref="B514:J514"/>
    <mergeCell ref="B515:B517"/>
    <mergeCell ref="C515:D515"/>
    <mergeCell ref="E515:F515"/>
    <mergeCell ref="G515:H515"/>
    <mergeCell ref="I515:I517"/>
    <mergeCell ref="J515:J517"/>
    <mergeCell ref="C516:D516"/>
    <mergeCell ref="E516:F516"/>
    <mergeCell ref="J524:J525"/>
    <mergeCell ref="C525:D525"/>
    <mergeCell ref="C526:H526"/>
    <mergeCell ref="C527:H527"/>
    <mergeCell ref="C528:H528"/>
    <mergeCell ref="C529:H529"/>
    <mergeCell ref="B521:J521"/>
    <mergeCell ref="B522:J522"/>
    <mergeCell ref="C523:D523"/>
    <mergeCell ref="E523:F523"/>
    <mergeCell ref="G523:H523"/>
    <mergeCell ref="B524:B525"/>
    <mergeCell ref="C524:D524"/>
    <mergeCell ref="E524:F524"/>
    <mergeCell ref="G524:H524"/>
    <mergeCell ref="I524:I525"/>
    <mergeCell ref="I518:I520"/>
    <mergeCell ref="J518:J520"/>
    <mergeCell ref="C519:D519"/>
    <mergeCell ref="E519:F519"/>
    <mergeCell ref="G519:H519"/>
    <mergeCell ref="C520:D520"/>
    <mergeCell ref="E520:F520"/>
    <mergeCell ref="G520:H520"/>
    <mergeCell ref="B537:B538"/>
    <mergeCell ref="C537:D537"/>
    <mergeCell ref="E537:F537"/>
    <mergeCell ref="G537:H537"/>
    <mergeCell ref="I537:I538"/>
    <mergeCell ref="J537:J538"/>
    <mergeCell ref="C538:D538"/>
    <mergeCell ref="C533:D533"/>
    <mergeCell ref="C534:H534"/>
    <mergeCell ref="B535:J535"/>
    <mergeCell ref="C536:D536"/>
    <mergeCell ref="E536:F536"/>
    <mergeCell ref="G536:H536"/>
    <mergeCell ref="B530:J530"/>
    <mergeCell ref="C531:D531"/>
    <mergeCell ref="E531:F531"/>
    <mergeCell ref="G531:H531"/>
    <mergeCell ref="B532:B533"/>
    <mergeCell ref="C532:D532"/>
    <mergeCell ref="E532:F532"/>
    <mergeCell ref="G532:H532"/>
    <mergeCell ref="I532:I533"/>
    <mergeCell ref="J532:J533"/>
    <mergeCell ref="B558:J558"/>
    <mergeCell ref="B559:J559"/>
    <mergeCell ref="B561:H561"/>
    <mergeCell ref="B562:J562"/>
    <mergeCell ref="B563:B565"/>
    <mergeCell ref="C563:J563"/>
    <mergeCell ref="C564:H564"/>
    <mergeCell ref="C565:H565"/>
    <mergeCell ref="B549:H549"/>
    <mergeCell ref="C550:H550"/>
    <mergeCell ref="B552:J552"/>
    <mergeCell ref="B553:J553"/>
    <mergeCell ref="B555:J555"/>
    <mergeCell ref="B556:J556"/>
    <mergeCell ref="C539:H539"/>
    <mergeCell ref="B541:H541"/>
    <mergeCell ref="B542:J542"/>
    <mergeCell ref="C543:H543"/>
    <mergeCell ref="B545:H545"/>
    <mergeCell ref="B546:B547"/>
    <mergeCell ref="C546:H546"/>
    <mergeCell ref="I546:I547"/>
    <mergeCell ref="J546:J547"/>
    <mergeCell ref="C547:H547"/>
    <mergeCell ref="B579:H579"/>
    <mergeCell ref="B580:J580"/>
    <mergeCell ref="C581:H581"/>
    <mergeCell ref="B583:H583"/>
    <mergeCell ref="B584:J584"/>
    <mergeCell ref="C585:H585"/>
    <mergeCell ref="B574:H574"/>
    <mergeCell ref="I574:J574"/>
    <mergeCell ref="B576:H576"/>
    <mergeCell ref="I576:J576"/>
    <mergeCell ref="B577:H577"/>
    <mergeCell ref="I577:J577"/>
    <mergeCell ref="B567:H567"/>
    <mergeCell ref="C568:H568"/>
    <mergeCell ref="B570:J570"/>
    <mergeCell ref="B571:J571"/>
    <mergeCell ref="B573:H573"/>
    <mergeCell ref="I573:J573"/>
    <mergeCell ref="C598:H598"/>
    <mergeCell ref="B600:H600"/>
    <mergeCell ref="B601:J601"/>
    <mergeCell ref="C602:H602"/>
    <mergeCell ref="B604:H604"/>
    <mergeCell ref="I604:J604"/>
    <mergeCell ref="E591:F591"/>
    <mergeCell ref="G591:H591"/>
    <mergeCell ref="B593:H593"/>
    <mergeCell ref="B594:H594"/>
    <mergeCell ref="B596:H596"/>
    <mergeCell ref="B597:J597"/>
    <mergeCell ref="B587:H587"/>
    <mergeCell ref="B588:J588"/>
    <mergeCell ref="B589:B591"/>
    <mergeCell ref="C589:H589"/>
    <mergeCell ref="I589:I591"/>
    <mergeCell ref="J589:J591"/>
    <mergeCell ref="C590:D590"/>
    <mergeCell ref="E590:F590"/>
    <mergeCell ref="G590:H590"/>
    <mergeCell ref="C591:D591"/>
    <mergeCell ref="I609:J609"/>
    <mergeCell ref="C610:H610"/>
    <mergeCell ref="I610:J610"/>
    <mergeCell ref="C611:H611"/>
    <mergeCell ref="I611:J611"/>
    <mergeCell ref="C612:H612"/>
    <mergeCell ref="I612:J612"/>
    <mergeCell ref="C605:H605"/>
    <mergeCell ref="I605:J605"/>
    <mergeCell ref="C606:H606"/>
    <mergeCell ref="I606:J606"/>
    <mergeCell ref="B607:B618"/>
    <mergeCell ref="C607:H607"/>
    <mergeCell ref="I607:J607"/>
    <mergeCell ref="C608:H608"/>
    <mergeCell ref="I608:J608"/>
    <mergeCell ref="C609:H609"/>
    <mergeCell ref="B619:J619"/>
    <mergeCell ref="B621:H621"/>
    <mergeCell ref="C623:H623"/>
    <mergeCell ref="B625:H625"/>
    <mergeCell ref="B626:H626"/>
    <mergeCell ref="B628:J628"/>
    <mergeCell ref="C616:H616"/>
    <mergeCell ref="I616:J616"/>
    <mergeCell ref="C617:H617"/>
    <mergeCell ref="I617:J617"/>
    <mergeCell ref="C618:H618"/>
    <mergeCell ref="I618:J618"/>
    <mergeCell ref="C613:H613"/>
    <mergeCell ref="I613:J613"/>
    <mergeCell ref="C614:H614"/>
    <mergeCell ref="I614:J614"/>
    <mergeCell ref="C615:H615"/>
    <mergeCell ref="I615:J615"/>
    <mergeCell ref="B644:D644"/>
    <mergeCell ref="E644:F644"/>
    <mergeCell ref="H644:J644"/>
    <mergeCell ref="E645:F645"/>
    <mergeCell ref="H645:J645"/>
    <mergeCell ref="E646:F646"/>
    <mergeCell ref="B638:D638"/>
    <mergeCell ref="E638:F638"/>
    <mergeCell ref="I638:J638"/>
    <mergeCell ref="B640:J640"/>
    <mergeCell ref="B642:J642"/>
    <mergeCell ref="B643:J643"/>
    <mergeCell ref="B630:J630"/>
    <mergeCell ref="B632:J632"/>
    <mergeCell ref="B634:J634"/>
    <mergeCell ref="B636:D636"/>
    <mergeCell ref="E636:F637"/>
    <mergeCell ref="B637:D637"/>
    <mergeCell ref="G637:H637"/>
    <mergeCell ref="I637:J637"/>
    <mergeCell ref="B663:J663"/>
    <mergeCell ref="B665:J665"/>
    <mergeCell ref="B666:J666"/>
    <mergeCell ref="B668:J668"/>
    <mergeCell ref="B670:J670"/>
    <mergeCell ref="B672:J672"/>
    <mergeCell ref="B655:J655"/>
    <mergeCell ref="B656:J656"/>
    <mergeCell ref="B657:J657"/>
    <mergeCell ref="B658:J658"/>
    <mergeCell ref="B659:J659"/>
    <mergeCell ref="B661:J661"/>
    <mergeCell ref="B647:D647"/>
    <mergeCell ref="E647:F647"/>
    <mergeCell ref="B648:D648"/>
    <mergeCell ref="E648:F648"/>
    <mergeCell ref="B650:J650"/>
    <mergeCell ref="D653:J653"/>
  </mergeCells>
  <conditionalFormatting sqref="E3:J4 E5:F5 I17:J18 J5">
    <cfRule type="containsBlanks" dxfId="3" priority="2" stopIfTrue="1">
      <formula>LEN(TRIM(E3))=0</formula>
    </cfRule>
  </conditionalFormatting>
  <conditionalFormatting sqref="E638:F638">
    <cfRule type="containsBlanks" dxfId="2" priority="1" stopIfTrue="1">
      <formula>LEN(TRIM(E638))=0</formula>
    </cfRule>
  </conditionalFormatting>
  <dataValidations count="8">
    <dataValidation allowBlank="1" showInputMessage="1" showErrorMessage="1" prompt="Ingresar Datos De FTPS" sqref="E3:E5 F5:J5"/>
    <dataValidation allowBlank="1" showInputMessage="1" showErrorMessage="1" prompt="Ingresar El tipo de  Plan: Hijastros, Padres, etc." sqref="B7:J7"/>
    <dataValidation allowBlank="1" showInputMessage="1" showErrorMessage="1" prompt="Modificar titulos de acuerdo a condiciones" sqref="B2:J2"/>
    <dataValidation allowBlank="1" showInputMessage="1" showErrorMessage="1" prompt="Verificar BMA" sqref="I17:J18"/>
    <dataValidation allowBlank="1" showInputMessage="1" showErrorMessage="1" prompt="Verificar Siniestralidad objetivo" sqref="B645:J648"/>
    <dataValidation allowBlank="1" showInputMessage="1" showErrorMessage="1" prompt="Verificar tipo de Plan" sqref="B634:J634"/>
    <dataValidation errorStyle="warning" allowBlank="1" showInputMessage="1" showErrorMessage="1" errorTitle="Verificar Grupal o Etario" error="Verificar Grupal o Etario" prompt="Verificar Grupal o Etario" sqref="B638:D638"/>
    <dataValidation allowBlank="1" showInputMessage="1" showErrorMessage="1" prompt="Verificar Aportes" sqref="E638:F638"/>
  </dataValidations>
  <printOptions horizontalCentered="1"/>
  <pageMargins left="0.39370078740157483" right="0.39370078740157483" top="1.7716535433070868" bottom="0.98425196850393704" header="0" footer="0"/>
  <pageSetup paperSize="9" scale="73" fitToHeight="0" orientation="portrait" horizontalDpi="300" verticalDpi="300" r:id="rId1"/>
  <headerFooter alignWithMargins="0">
    <oddFooter>Página &amp;P de &amp;N</oddFooter>
  </headerFooter>
  <rowBreaks count="31" manualBreakCount="31">
    <brk id="28" min="1" max="15" man="1"/>
    <brk id="51" min="1" max="15" man="1"/>
    <brk id="78" min="1" max="15" man="1"/>
    <brk id="84" min="1" max="15" man="1"/>
    <brk id="100" min="1" max="15" man="1"/>
    <brk id="120" min="1" max="15" man="1"/>
    <brk id="140" min="1" max="15" man="1"/>
    <brk id="166" min="1" max="15" man="1"/>
    <brk id="188" min="1" max="15" man="1"/>
    <brk id="211" min="1" max="15" man="1"/>
    <brk id="235" min="1" max="15" man="1"/>
    <brk id="253" min="1" max="15" man="1"/>
    <brk id="277" min="1" max="15" man="1"/>
    <brk id="297" min="1" max="15" man="1"/>
    <brk id="315" min="1" max="15" man="1"/>
    <brk id="319" min="1" max="15" man="1"/>
    <brk id="343" min="1" max="15" man="1"/>
    <brk id="367" min="1" max="15" man="1"/>
    <brk id="389" min="1" max="15" man="1"/>
    <brk id="413" min="1" max="15" man="1"/>
    <brk id="441" min="1" max="15" man="1"/>
    <brk id="468" min="1" max="15" man="1"/>
    <brk id="496" min="1" max="15" man="1"/>
    <brk id="521" min="1" max="15" man="1"/>
    <brk id="544" min="1" max="15" man="1"/>
    <brk id="559" min="1" max="15" man="1"/>
    <brk id="575" min="1" max="15" man="1"/>
    <brk id="595" min="1" max="15" man="1"/>
    <brk id="620" min="1" max="15" man="1"/>
    <brk id="641" min="1" max="15" man="1"/>
    <brk id="660" min="1" max="15" man="1"/>
  </rowBreaks>
  <colBreaks count="1" manualBreakCount="1">
    <brk id="10" max="658"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FF0000"/>
  </sheetPr>
  <dimension ref="A1:AF751"/>
  <sheetViews>
    <sheetView showGridLines="0" view="pageBreakPreview" topLeftCell="B137" zoomScale="85" zoomScaleNormal="66" zoomScaleSheetLayoutView="85" workbookViewId="0">
      <selection activeCell="E136" sqref="E136:F136"/>
    </sheetView>
  </sheetViews>
  <sheetFormatPr baseColWidth="10" defaultColWidth="16.140625" defaultRowHeight="12.75" x14ac:dyDescent="0.2"/>
  <cols>
    <col min="1" max="1" width="16.7109375" style="66" hidden="1" customWidth="1"/>
    <col min="2" max="2" width="20.7109375" style="148" customWidth="1"/>
    <col min="3" max="8" width="14.28515625" style="148" customWidth="1"/>
    <col min="9" max="9" width="11.7109375" style="823" customWidth="1"/>
    <col min="10" max="10" width="11.7109375" style="843" customWidth="1"/>
    <col min="11" max="11" width="16.140625" style="148" hidden="1" customWidth="1"/>
    <col min="12" max="12" width="16.140625" style="547" hidden="1" customWidth="1"/>
    <col min="13" max="13" width="16.140625" style="68" hidden="1" customWidth="1"/>
    <col min="14" max="14" width="16.140625" style="67" hidden="1" customWidth="1"/>
    <col min="15" max="15" width="16.140625" style="547" hidden="1" customWidth="1"/>
    <col min="16" max="16" width="16.140625" style="66" hidden="1" customWidth="1"/>
    <col min="17" max="17" width="16.140625" style="45" customWidth="1"/>
    <col min="18" max="16384" width="16.140625" style="45"/>
  </cols>
  <sheetData>
    <row r="1" spans="1:32" s="67" customFormat="1" ht="18.75" customHeight="1" x14ac:dyDescent="0.2">
      <c r="A1" s="66"/>
      <c r="B1" s="2004" t="s">
        <v>872</v>
      </c>
      <c r="C1" s="2004"/>
      <c r="D1" s="2004"/>
      <c r="E1" s="2004"/>
      <c r="F1" s="2004"/>
      <c r="G1" s="2004"/>
      <c r="H1" s="2004"/>
      <c r="I1" s="2004"/>
      <c r="J1" s="2004"/>
      <c r="K1" s="148"/>
      <c r="L1" s="547"/>
      <c r="M1" s="68"/>
      <c r="O1" s="547"/>
      <c r="P1" s="66"/>
      <c r="Q1" s="45"/>
      <c r="R1" s="45"/>
      <c r="S1" s="45"/>
      <c r="T1" s="45"/>
      <c r="U1" s="45"/>
      <c r="V1" s="45"/>
      <c r="W1" s="45"/>
      <c r="X1" s="45"/>
      <c r="Y1" s="45"/>
      <c r="Z1" s="45"/>
      <c r="AA1" s="45"/>
      <c r="AB1" s="45"/>
      <c r="AC1" s="45"/>
      <c r="AD1" s="45"/>
      <c r="AE1" s="45"/>
      <c r="AF1" s="45"/>
    </row>
    <row r="2" spans="1:32" s="67" customFormat="1" ht="20.100000000000001" customHeight="1" x14ac:dyDescent="0.2">
      <c r="A2" s="66"/>
      <c r="B2" s="2059"/>
      <c r="C2" s="2059"/>
      <c r="D2" s="2059"/>
      <c r="E2" s="2059"/>
      <c r="F2" s="2059"/>
      <c r="G2" s="2059"/>
      <c r="H2" s="2059"/>
      <c r="I2" s="2059"/>
      <c r="J2" s="2059"/>
      <c r="K2" s="549"/>
      <c r="L2" s="547"/>
      <c r="M2" s="550"/>
      <c r="O2" s="547"/>
      <c r="P2" s="66"/>
      <c r="Q2" s="45"/>
      <c r="R2" s="45"/>
      <c r="S2" s="45"/>
      <c r="T2" s="45"/>
      <c r="U2" s="45"/>
      <c r="V2" s="45"/>
      <c r="W2" s="45"/>
      <c r="X2" s="45"/>
      <c r="Y2" s="45"/>
      <c r="Z2" s="45"/>
      <c r="AA2" s="45"/>
      <c r="AB2" s="45"/>
      <c r="AC2" s="45"/>
      <c r="AD2" s="45"/>
      <c r="AE2" s="45"/>
      <c r="AF2" s="45"/>
    </row>
    <row r="3" spans="1:32" s="67" customFormat="1" ht="18.75" customHeight="1" x14ac:dyDescent="0.2">
      <c r="A3" s="66"/>
      <c r="B3" s="1998" t="s">
        <v>2</v>
      </c>
      <c r="C3" s="1998"/>
      <c r="D3" s="1998"/>
      <c r="E3" s="2000" t="str">
        <f>'[2]Datos REG y HIJOS'!$K$27</f>
        <v>UNIVERSIDAD PERUANA DE CIENCIAS APLICADAS</v>
      </c>
      <c r="F3" s="2000"/>
      <c r="G3" s="2000"/>
      <c r="H3" s="2000"/>
      <c r="I3" s="2000"/>
      <c r="J3" s="2000"/>
      <c r="K3" s="551"/>
      <c r="L3" s="547"/>
      <c r="M3" s="550"/>
      <c r="O3" s="547"/>
      <c r="P3" s="66"/>
      <c r="Q3" s="45"/>
      <c r="R3" s="45"/>
      <c r="S3" s="45"/>
      <c r="T3" s="45"/>
      <c r="U3" s="45"/>
      <c r="V3" s="45"/>
      <c r="W3" s="45"/>
      <c r="X3" s="45"/>
      <c r="Y3" s="45"/>
      <c r="Z3" s="45"/>
      <c r="AA3" s="45"/>
      <c r="AB3" s="45"/>
      <c r="AC3" s="45"/>
      <c r="AD3" s="45"/>
      <c r="AE3" s="45"/>
      <c r="AF3" s="45"/>
    </row>
    <row r="4" spans="1:32" s="67" customFormat="1" ht="30.75" customHeight="1" x14ac:dyDescent="0.2">
      <c r="A4" s="66"/>
      <c r="B4" s="1998" t="s">
        <v>3</v>
      </c>
      <c r="C4" s="1998"/>
      <c r="D4" s="1998"/>
      <c r="E4" s="2006" t="str">
        <f>'[2]Datos REG y HIJOS'!$K$28</f>
        <v>AV. EL DERBY 254 - SANTIAGO DE SURCO</v>
      </c>
      <c r="F4" s="2000"/>
      <c r="G4" s="2000"/>
      <c r="H4" s="2000"/>
      <c r="I4" s="2000"/>
      <c r="J4" s="2000"/>
      <c r="K4" s="551"/>
      <c r="L4" s="547"/>
      <c r="M4" s="550"/>
      <c r="O4" s="547"/>
      <c r="P4" s="66"/>
      <c r="Q4" s="45"/>
      <c r="R4" s="45"/>
      <c r="S4" s="45"/>
      <c r="T4" s="45"/>
      <c r="U4" s="45"/>
      <c r="V4" s="45"/>
      <c r="W4" s="45"/>
      <c r="X4" s="45"/>
      <c r="Y4" s="45"/>
      <c r="Z4" s="45"/>
      <c r="AA4" s="45"/>
      <c r="AB4" s="45"/>
      <c r="AC4" s="45"/>
      <c r="AD4" s="45"/>
      <c r="AE4" s="45"/>
      <c r="AF4" s="45"/>
    </row>
    <row r="5" spans="1:32" s="67" customFormat="1" ht="18.75" customHeight="1" x14ac:dyDescent="0.2">
      <c r="A5" s="66"/>
      <c r="B5" s="1998" t="s">
        <v>4</v>
      </c>
      <c r="C5" s="1998"/>
      <c r="D5" s="1998"/>
      <c r="E5" s="1999">
        <f>'[2]Datos REG y HIJOS'!$K$29</f>
        <v>43922</v>
      </c>
      <c r="F5" s="2000"/>
      <c r="G5" s="552"/>
      <c r="H5" s="2001" t="s">
        <v>5</v>
      </c>
      <c r="I5" s="2001"/>
      <c r="J5" s="9">
        <f>'[2]Datos REG y HIJOS'!$K$30</f>
        <v>231002</v>
      </c>
      <c r="K5" s="148"/>
      <c r="L5" s="547"/>
      <c r="M5" s="68"/>
      <c r="O5" s="547"/>
      <c r="P5" s="66"/>
      <c r="Q5" s="45"/>
      <c r="R5" s="45"/>
      <c r="S5" s="45"/>
      <c r="T5" s="45"/>
      <c r="U5" s="45"/>
      <c r="V5" s="45"/>
      <c r="W5" s="45"/>
      <c r="X5" s="45"/>
      <c r="Y5" s="45"/>
      <c r="Z5" s="45"/>
      <c r="AA5" s="45"/>
      <c r="AB5" s="45"/>
      <c r="AC5" s="45"/>
      <c r="AD5" s="45"/>
      <c r="AE5" s="45"/>
      <c r="AF5" s="45"/>
    </row>
    <row r="6" spans="1:32" s="67" customFormat="1" ht="20.100000000000001" customHeight="1" x14ac:dyDescent="0.2">
      <c r="A6" s="66"/>
      <c r="B6" s="1998"/>
      <c r="C6" s="1998"/>
      <c r="D6" s="1998"/>
      <c r="E6" s="2002"/>
      <c r="F6" s="2002"/>
      <c r="G6" s="554"/>
      <c r="H6" s="148"/>
      <c r="I6" s="823"/>
      <c r="J6" s="9"/>
      <c r="K6" s="148"/>
      <c r="L6" s="547"/>
      <c r="M6" s="68"/>
      <c r="O6" s="547"/>
      <c r="P6" s="66"/>
      <c r="Q6" s="45"/>
      <c r="R6" s="45"/>
      <c r="S6" s="45"/>
      <c r="T6" s="45"/>
      <c r="U6" s="45"/>
      <c r="V6" s="45"/>
      <c r="W6" s="45"/>
      <c r="X6" s="45"/>
      <c r="Y6" s="45"/>
      <c r="Z6" s="45"/>
      <c r="AA6" s="45"/>
      <c r="AB6" s="45"/>
      <c r="AC6" s="45"/>
      <c r="AD6" s="45"/>
      <c r="AE6" s="45"/>
      <c r="AF6" s="45"/>
    </row>
    <row r="7" spans="1:32" s="67" customFormat="1" ht="14.25" customHeight="1" x14ac:dyDescent="0.2">
      <c r="A7" s="66"/>
      <c r="B7" s="2005" t="s">
        <v>906</v>
      </c>
      <c r="C7" s="2005"/>
      <c r="D7" s="2005"/>
      <c r="E7" s="2005"/>
      <c r="F7" s="2005"/>
      <c r="G7" s="2005"/>
      <c r="H7" s="2005"/>
      <c r="I7" s="2005"/>
      <c r="J7" s="2005"/>
      <c r="K7" s="557"/>
      <c r="L7" s="547"/>
      <c r="M7" s="558"/>
      <c r="O7" s="547"/>
      <c r="P7" s="66"/>
      <c r="Q7" s="45"/>
      <c r="R7" s="45"/>
      <c r="S7" s="45"/>
      <c r="T7" s="45"/>
      <c r="U7" s="45"/>
      <c r="V7" s="45"/>
      <c r="W7" s="45"/>
      <c r="X7" s="45"/>
      <c r="Y7" s="45"/>
      <c r="Z7" s="45"/>
      <c r="AA7" s="45"/>
      <c r="AB7" s="45"/>
      <c r="AC7" s="45"/>
      <c r="AD7" s="45"/>
      <c r="AE7" s="45"/>
      <c r="AF7" s="45"/>
    </row>
    <row r="8" spans="1:32" s="67" customFormat="1" ht="20.100000000000001" customHeight="1" x14ac:dyDescent="0.2">
      <c r="A8" s="66"/>
      <c r="B8" s="799"/>
      <c r="C8" s="799"/>
      <c r="D8" s="799"/>
      <c r="E8" s="799"/>
      <c r="F8" s="799"/>
      <c r="G8" s="799"/>
      <c r="H8" s="799"/>
      <c r="I8" s="799"/>
      <c r="J8" s="15"/>
      <c r="K8" s="557"/>
      <c r="L8" s="547"/>
      <c r="M8" s="558"/>
      <c r="O8" s="547"/>
      <c r="P8" s="66"/>
      <c r="Q8" s="45"/>
      <c r="R8" s="45"/>
      <c r="S8" s="45"/>
      <c r="T8" s="45"/>
      <c r="U8" s="45"/>
      <c r="V8" s="45"/>
      <c r="W8" s="45"/>
      <c r="X8" s="45"/>
      <c r="Y8" s="45"/>
      <c r="Z8" s="45"/>
      <c r="AA8" s="45"/>
      <c r="AB8" s="45"/>
      <c r="AC8" s="45"/>
      <c r="AD8" s="45"/>
      <c r="AE8" s="45"/>
      <c r="AF8" s="45"/>
    </row>
    <row r="9" spans="1:32" s="67" customFormat="1" ht="30" customHeight="1" x14ac:dyDescent="0.2">
      <c r="A9" s="66"/>
      <c r="B9" s="1623" t="s">
        <v>7</v>
      </c>
      <c r="C9" s="1624"/>
      <c r="D9" s="1624"/>
      <c r="E9" s="1624"/>
      <c r="F9" s="1624"/>
      <c r="G9" s="1624"/>
      <c r="H9" s="1624"/>
      <c r="I9" s="1624"/>
      <c r="J9" s="1625"/>
      <c r="K9" s="148"/>
      <c r="L9" s="547"/>
      <c r="M9" s="68"/>
      <c r="O9" s="547"/>
      <c r="P9" s="66"/>
      <c r="Q9" s="45"/>
      <c r="R9" s="45"/>
      <c r="S9" s="45"/>
      <c r="T9" s="45"/>
      <c r="U9" s="45"/>
      <c r="V9" s="45"/>
      <c r="W9" s="45"/>
      <c r="X9" s="45"/>
      <c r="Y9" s="45"/>
      <c r="Z9" s="45"/>
      <c r="AA9" s="45"/>
      <c r="AB9" s="45"/>
      <c r="AC9" s="45"/>
      <c r="AD9" s="45"/>
      <c r="AE9" s="45"/>
      <c r="AF9" s="45"/>
    </row>
    <row r="10" spans="1:32" s="67" customFormat="1" ht="51.75" customHeight="1" x14ac:dyDescent="0.2">
      <c r="A10" s="66"/>
      <c r="B10" s="1995" t="s">
        <v>811</v>
      </c>
      <c r="C10" s="1996"/>
      <c r="D10" s="1996"/>
      <c r="E10" s="1996"/>
      <c r="F10" s="1996"/>
      <c r="G10" s="1996"/>
      <c r="H10" s="1996"/>
      <c r="I10" s="1996"/>
      <c r="J10" s="1997"/>
      <c r="K10" s="148"/>
      <c r="L10" s="547"/>
      <c r="M10" s="68"/>
      <c r="O10" s="547"/>
      <c r="P10" s="66"/>
      <c r="Q10" s="45"/>
      <c r="R10" s="45"/>
      <c r="S10" s="45"/>
      <c r="T10" s="45"/>
      <c r="U10" s="45"/>
      <c r="V10" s="45"/>
      <c r="W10" s="45"/>
      <c r="X10" s="45"/>
      <c r="Y10" s="45"/>
      <c r="Z10" s="45"/>
      <c r="AA10" s="45"/>
      <c r="AB10" s="45"/>
      <c r="AC10" s="45"/>
      <c r="AD10" s="45"/>
      <c r="AE10" s="45"/>
      <c r="AF10" s="45"/>
    </row>
    <row r="11" spans="1:32" s="67" customFormat="1" ht="20.100000000000001" customHeight="1" x14ac:dyDescent="0.2">
      <c r="A11" s="66"/>
      <c r="B11" s="559"/>
      <c r="C11" s="559"/>
      <c r="D11" s="559"/>
      <c r="E11" s="559"/>
      <c r="F11" s="559"/>
      <c r="G11" s="559"/>
      <c r="H11" s="559"/>
      <c r="I11" s="786"/>
      <c r="J11" s="180"/>
      <c r="K11" s="148"/>
      <c r="L11" s="547"/>
      <c r="M11" s="68"/>
      <c r="O11" s="547"/>
      <c r="P11" s="66"/>
      <c r="Q11" s="45"/>
      <c r="R11" s="45"/>
      <c r="S11" s="45"/>
      <c r="T11" s="45"/>
      <c r="U11" s="45"/>
      <c r="V11" s="45"/>
      <c r="W11" s="45"/>
      <c r="X11" s="45"/>
      <c r="Y11" s="45"/>
      <c r="Z11" s="45"/>
      <c r="AA11" s="45"/>
      <c r="AB11" s="45"/>
      <c r="AC11" s="45"/>
      <c r="AD11" s="45"/>
      <c r="AE11" s="45"/>
      <c r="AF11" s="45"/>
    </row>
    <row r="12" spans="1:32" s="67" customFormat="1" ht="30" customHeight="1" x14ac:dyDescent="0.2">
      <c r="A12" s="66"/>
      <c r="B12" s="1623" t="s">
        <v>812</v>
      </c>
      <c r="C12" s="1624"/>
      <c r="D12" s="1624"/>
      <c r="E12" s="1624"/>
      <c r="F12" s="1624"/>
      <c r="G12" s="1624"/>
      <c r="H12" s="1624"/>
      <c r="I12" s="1624"/>
      <c r="J12" s="1625"/>
      <c r="K12" s="148"/>
      <c r="L12" s="547"/>
      <c r="M12" s="68"/>
      <c r="O12" s="547"/>
      <c r="P12" s="66"/>
      <c r="Q12" s="45"/>
      <c r="R12" s="45"/>
      <c r="S12" s="45"/>
      <c r="T12" s="45"/>
      <c r="U12" s="45"/>
      <c r="V12" s="45"/>
      <c r="W12" s="45"/>
      <c r="X12" s="45"/>
      <c r="Y12" s="45"/>
      <c r="Z12" s="45"/>
      <c r="AA12" s="45"/>
      <c r="AB12" s="45"/>
      <c r="AC12" s="45"/>
      <c r="AD12" s="45"/>
      <c r="AE12" s="45"/>
      <c r="AF12" s="45"/>
    </row>
    <row r="13" spans="1:32" s="67" customFormat="1" ht="43.5" customHeight="1" x14ac:dyDescent="0.2">
      <c r="A13" s="66"/>
      <c r="B13" s="1995" t="s">
        <v>813</v>
      </c>
      <c r="C13" s="1996"/>
      <c r="D13" s="1996"/>
      <c r="E13" s="1996"/>
      <c r="F13" s="1996"/>
      <c r="G13" s="1996"/>
      <c r="H13" s="1996"/>
      <c r="I13" s="1996"/>
      <c r="J13" s="1997"/>
      <c r="K13" s="148"/>
      <c r="L13" s="547"/>
      <c r="M13" s="68"/>
      <c r="O13" s="547"/>
      <c r="P13" s="66"/>
      <c r="Q13" s="45"/>
      <c r="R13" s="45"/>
      <c r="S13" s="45"/>
      <c r="T13" s="45"/>
      <c r="U13" s="45"/>
      <c r="V13" s="45"/>
      <c r="W13" s="45"/>
      <c r="X13" s="45"/>
      <c r="Y13" s="45"/>
      <c r="Z13" s="45"/>
      <c r="AA13" s="45"/>
      <c r="AB13" s="45"/>
      <c r="AC13" s="45"/>
      <c r="AD13" s="45"/>
      <c r="AE13" s="45"/>
      <c r="AF13" s="45"/>
    </row>
    <row r="14" spans="1:32" s="67" customFormat="1" ht="20.100000000000001" customHeight="1" x14ac:dyDescent="0.2">
      <c r="A14" s="66"/>
      <c r="B14" s="559"/>
      <c r="C14" s="559"/>
      <c r="D14" s="559"/>
      <c r="E14" s="559"/>
      <c r="F14" s="559"/>
      <c r="G14" s="559"/>
      <c r="H14" s="559"/>
      <c r="I14" s="786"/>
      <c r="J14" s="180"/>
      <c r="K14" s="148"/>
      <c r="L14" s="547"/>
      <c r="M14" s="68"/>
      <c r="O14" s="547"/>
      <c r="P14" s="66"/>
      <c r="Q14" s="45"/>
      <c r="R14" s="45"/>
      <c r="S14" s="45"/>
      <c r="T14" s="45"/>
      <c r="U14" s="45"/>
      <c r="V14" s="45"/>
      <c r="W14" s="45"/>
      <c r="X14" s="45"/>
      <c r="Y14" s="45"/>
      <c r="Z14" s="45"/>
      <c r="AA14" s="45"/>
      <c r="AB14" s="45"/>
      <c r="AC14" s="45"/>
      <c r="AD14" s="45"/>
      <c r="AE14" s="45"/>
      <c r="AF14" s="45"/>
    </row>
    <row r="15" spans="1:32" s="67" customFormat="1" ht="30" customHeight="1" x14ac:dyDescent="0.2">
      <c r="A15" s="66"/>
      <c r="B15" s="1623" t="s">
        <v>11</v>
      </c>
      <c r="C15" s="1624"/>
      <c r="D15" s="1624"/>
      <c r="E15" s="1624"/>
      <c r="F15" s="1624"/>
      <c r="G15" s="1624"/>
      <c r="H15" s="1624"/>
      <c r="I15" s="1624"/>
      <c r="J15" s="1625"/>
      <c r="K15" s="148"/>
      <c r="L15" s="547"/>
      <c r="M15" s="68"/>
      <c r="O15" s="547"/>
      <c r="P15" s="66"/>
      <c r="Q15" s="45"/>
      <c r="R15" s="45"/>
      <c r="S15" s="45"/>
      <c r="T15" s="45"/>
      <c r="U15" s="45"/>
      <c r="V15" s="45"/>
      <c r="W15" s="45"/>
      <c r="X15" s="45"/>
      <c r="Y15" s="45"/>
      <c r="Z15" s="45"/>
      <c r="AA15" s="45"/>
      <c r="AB15" s="45"/>
      <c r="AC15" s="45"/>
      <c r="AD15" s="45"/>
      <c r="AE15" s="45"/>
      <c r="AF15" s="45"/>
    </row>
    <row r="16" spans="1:32" ht="20.100000000000001" customHeight="1" x14ac:dyDescent="0.2">
      <c r="B16" s="560"/>
      <c r="C16" s="560"/>
      <c r="D16" s="560"/>
      <c r="E16" s="560"/>
      <c r="F16" s="560"/>
      <c r="G16" s="560"/>
      <c r="H16" s="560"/>
      <c r="I16" s="824"/>
      <c r="J16" s="825"/>
      <c r="L16" s="561"/>
      <c r="M16" s="181"/>
      <c r="N16" s="149"/>
      <c r="O16" s="561"/>
      <c r="P16" s="45"/>
    </row>
    <row r="17" spans="1:16" ht="24.95" customHeight="1" x14ac:dyDescent="0.2">
      <c r="B17" s="562" t="s">
        <v>12</v>
      </c>
      <c r="C17" s="563"/>
      <c r="D17" s="563"/>
      <c r="E17" s="563"/>
      <c r="F17" s="564"/>
      <c r="G17" s="563"/>
      <c r="H17" s="563"/>
      <c r="I17" s="2007" t="s">
        <v>13</v>
      </c>
      <c r="J17" s="2008"/>
    </row>
    <row r="18" spans="1:16" ht="24.95" customHeight="1" x14ac:dyDescent="0.2">
      <c r="B18" s="562" t="s">
        <v>14</v>
      </c>
      <c r="C18" s="563"/>
      <c r="D18" s="563"/>
      <c r="E18" s="563"/>
      <c r="F18" s="564"/>
      <c r="G18" s="563"/>
      <c r="H18" s="563"/>
      <c r="I18" s="2009">
        <f>'[2]Datos REG y HIJOS'!$K$19</f>
        <v>1500000</v>
      </c>
      <c r="J18" s="2010"/>
    </row>
    <row r="19" spans="1:16" ht="20.100000000000001" customHeight="1" x14ac:dyDescent="0.2">
      <c r="B19" s="69"/>
      <c r="C19" s="69"/>
      <c r="D19" s="69"/>
      <c r="E19" s="69"/>
      <c r="F19" s="565"/>
      <c r="G19" s="69"/>
      <c r="H19" s="69"/>
      <c r="I19" s="722"/>
      <c r="J19" s="826"/>
    </row>
    <row r="20" spans="1:16" ht="30" customHeight="1" x14ac:dyDescent="0.2">
      <c r="B20" s="1623" t="s">
        <v>15</v>
      </c>
      <c r="C20" s="1624"/>
      <c r="D20" s="1624"/>
      <c r="E20" s="1624"/>
      <c r="F20" s="1624"/>
      <c r="G20" s="1624"/>
      <c r="H20" s="1624"/>
      <c r="I20" s="1624"/>
      <c r="J20" s="1625"/>
    </row>
    <row r="21" spans="1:16" ht="20.100000000000001" customHeight="1" x14ac:dyDescent="0.2">
      <c r="B21" s="566"/>
      <c r="C21" s="566"/>
      <c r="D21" s="566"/>
      <c r="E21" s="566"/>
      <c r="F21" s="566"/>
      <c r="G21" s="566"/>
      <c r="H21" s="566"/>
      <c r="I21" s="827"/>
      <c r="J21" s="828"/>
    </row>
    <row r="22" spans="1:16" ht="30" customHeight="1" x14ac:dyDescent="0.2">
      <c r="B22" s="1662" t="s">
        <v>16</v>
      </c>
      <c r="C22" s="1663"/>
      <c r="D22" s="1663"/>
      <c r="E22" s="1663"/>
      <c r="F22" s="1663"/>
      <c r="G22" s="1663"/>
      <c r="H22" s="1664"/>
      <c r="I22" s="406" t="s">
        <v>17</v>
      </c>
      <c r="J22" s="35" t="s">
        <v>18</v>
      </c>
      <c r="K22" s="226" t="s">
        <v>19</v>
      </c>
      <c r="L22" s="183">
        <v>1</v>
      </c>
      <c r="O22" s="183">
        <v>1</v>
      </c>
      <c r="P22" s="568" t="s">
        <v>20</v>
      </c>
    </row>
    <row r="23" spans="1:16" ht="36.950000000000003" customHeight="1" x14ac:dyDescent="0.2">
      <c r="B23" s="1913" t="s">
        <v>21</v>
      </c>
      <c r="C23" s="1913"/>
      <c r="D23" s="1913"/>
      <c r="E23" s="1913"/>
      <c r="F23" s="1913"/>
      <c r="G23" s="1913"/>
      <c r="H23" s="1913"/>
      <c r="I23" s="1913"/>
      <c r="J23" s="1913"/>
      <c r="O23" s="183">
        <v>1</v>
      </c>
      <c r="P23" s="568" t="s">
        <v>20</v>
      </c>
    </row>
    <row r="24" spans="1:16" ht="171" customHeight="1" x14ac:dyDescent="0.2">
      <c r="A24" s="39"/>
      <c r="B24" s="569" t="s">
        <v>22</v>
      </c>
      <c r="C24" s="1166" t="s">
        <v>821</v>
      </c>
      <c r="D24" s="1167"/>
      <c r="E24" s="1167"/>
      <c r="F24" s="1167"/>
      <c r="G24" s="1167"/>
      <c r="H24" s="1168"/>
      <c r="I24" s="168">
        <v>40</v>
      </c>
      <c r="J24" s="42">
        <v>1</v>
      </c>
      <c r="K24" s="570" t="s">
        <v>24</v>
      </c>
      <c r="L24" s="571" t="s">
        <v>25</v>
      </c>
      <c r="M24" s="67"/>
      <c r="N24" s="66"/>
      <c r="O24" s="183">
        <v>1</v>
      </c>
      <c r="P24" s="568" t="s">
        <v>20</v>
      </c>
    </row>
    <row r="25" spans="1:16" ht="39.950000000000003" customHeight="1" x14ac:dyDescent="0.2">
      <c r="B25" s="1910" t="s">
        <v>26</v>
      </c>
      <c r="C25" s="1217" t="s">
        <v>27</v>
      </c>
      <c r="D25" s="1016"/>
      <c r="E25" s="1016" t="s">
        <v>28</v>
      </c>
      <c r="F25" s="1016"/>
      <c r="G25" s="1016" t="s">
        <v>29</v>
      </c>
      <c r="H25" s="1125"/>
      <c r="I25" s="1926">
        <f>+'[2]Datos REG y HIJOS'!$D$3</f>
        <v>35</v>
      </c>
      <c r="J25" s="1241">
        <f>+'[2]Datos REG y HIJOS'!$E$3</f>
        <v>0.9</v>
      </c>
      <c r="K25" s="570" t="s">
        <v>26</v>
      </c>
      <c r="L25" s="571" t="s">
        <v>25</v>
      </c>
      <c r="N25" s="182" t="s">
        <v>30</v>
      </c>
      <c r="O25" s="183">
        <v>1</v>
      </c>
      <c r="P25" s="568" t="s">
        <v>20</v>
      </c>
    </row>
    <row r="26" spans="1:16" ht="30" customHeight="1" x14ac:dyDescent="0.2">
      <c r="B26" s="1971"/>
      <c r="C26" s="1046" t="s">
        <v>31</v>
      </c>
      <c r="D26" s="1022"/>
      <c r="E26" s="1108" t="s">
        <v>32</v>
      </c>
      <c r="F26" s="1108"/>
      <c r="G26" s="1022" t="s">
        <v>33</v>
      </c>
      <c r="H26" s="1028"/>
      <c r="I26" s="1927"/>
      <c r="J26" s="1242"/>
      <c r="K26" s="570" t="s">
        <v>26</v>
      </c>
      <c r="L26" s="571" t="s">
        <v>25</v>
      </c>
      <c r="O26" s="183">
        <v>1</v>
      </c>
      <c r="P26" s="568" t="s">
        <v>20</v>
      </c>
    </row>
    <row r="27" spans="1:16" ht="30" customHeight="1" x14ac:dyDescent="0.2">
      <c r="B27" s="1971"/>
      <c r="C27" s="1218" t="s">
        <v>34</v>
      </c>
      <c r="D27" s="1180"/>
      <c r="E27" s="1108" t="s">
        <v>35</v>
      </c>
      <c r="F27" s="1108"/>
      <c r="G27" s="1180" t="s">
        <v>36</v>
      </c>
      <c r="H27" s="1227"/>
      <c r="I27" s="1927"/>
      <c r="J27" s="1242"/>
      <c r="K27" s="570" t="s">
        <v>26</v>
      </c>
      <c r="L27" s="571" t="s">
        <v>25</v>
      </c>
      <c r="O27" s="183">
        <v>1</v>
      </c>
      <c r="P27" s="568" t="s">
        <v>20</v>
      </c>
    </row>
    <row r="28" spans="1:16" ht="30" customHeight="1" x14ac:dyDescent="0.2">
      <c r="B28" s="1911"/>
      <c r="C28" s="1181" t="s">
        <v>37</v>
      </c>
      <c r="D28" s="1182"/>
      <c r="E28" s="1177" t="s">
        <v>38</v>
      </c>
      <c r="F28" s="1177"/>
      <c r="G28" s="1177"/>
      <c r="H28" s="1177"/>
      <c r="I28" s="1928"/>
      <c r="J28" s="1243"/>
      <c r="K28" s="570" t="s">
        <v>26</v>
      </c>
      <c r="L28" s="571" t="s">
        <v>25</v>
      </c>
      <c r="O28" s="183">
        <v>1</v>
      </c>
      <c r="P28" s="568" t="s">
        <v>20</v>
      </c>
    </row>
    <row r="29" spans="1:16" ht="30" customHeight="1" x14ac:dyDescent="0.2">
      <c r="B29" s="1979" t="s">
        <v>40</v>
      </c>
      <c r="C29" s="1014" t="s">
        <v>41</v>
      </c>
      <c r="D29" s="1015"/>
      <c r="E29" s="1188" t="s">
        <v>42</v>
      </c>
      <c r="F29" s="1188"/>
      <c r="G29" s="1016" t="s">
        <v>43</v>
      </c>
      <c r="H29" s="1125"/>
      <c r="I29" s="1926">
        <f>+'[2]Datos REG y HIJOS'!$D$4</f>
        <v>35</v>
      </c>
      <c r="J29" s="1241">
        <f>+'[2]Datos REG y HIJOS'!$E$4</f>
        <v>0.9</v>
      </c>
      <c r="K29" s="570" t="s">
        <v>40</v>
      </c>
      <c r="L29" s="571" t="s">
        <v>25</v>
      </c>
      <c r="N29" s="182" t="s">
        <v>30</v>
      </c>
      <c r="O29" s="183">
        <v>1</v>
      </c>
      <c r="P29" s="568" t="s">
        <v>20</v>
      </c>
    </row>
    <row r="30" spans="1:16" ht="39.950000000000003" customHeight="1" x14ac:dyDescent="0.2">
      <c r="B30" s="1980"/>
      <c r="C30" s="1211" t="s">
        <v>44</v>
      </c>
      <c r="D30" s="1190"/>
      <c r="E30" s="1190" t="s">
        <v>45</v>
      </c>
      <c r="F30" s="1190"/>
      <c r="G30" s="1190" t="s">
        <v>46</v>
      </c>
      <c r="H30" s="1212"/>
      <c r="I30" s="1927"/>
      <c r="J30" s="1242"/>
      <c r="K30" s="570" t="s">
        <v>40</v>
      </c>
      <c r="L30" s="571" t="s">
        <v>25</v>
      </c>
      <c r="O30" s="183">
        <v>1</v>
      </c>
      <c r="P30" s="568" t="s">
        <v>20</v>
      </c>
    </row>
    <row r="31" spans="1:16" ht="39.950000000000003" customHeight="1" x14ac:dyDescent="0.2">
      <c r="B31" s="1980"/>
      <c r="C31" s="1046" t="s">
        <v>47</v>
      </c>
      <c r="D31" s="1022"/>
      <c r="E31" s="1190" t="s">
        <v>48</v>
      </c>
      <c r="F31" s="1190"/>
      <c r="G31" s="1190" t="s">
        <v>49</v>
      </c>
      <c r="H31" s="1212"/>
      <c r="I31" s="1927"/>
      <c r="J31" s="1242"/>
      <c r="K31" s="570" t="s">
        <v>40</v>
      </c>
      <c r="L31" s="571" t="s">
        <v>25</v>
      </c>
      <c r="O31" s="183">
        <v>1</v>
      </c>
      <c r="P31" s="568" t="s">
        <v>20</v>
      </c>
    </row>
    <row r="32" spans="1:16" ht="39.950000000000003" customHeight="1" x14ac:dyDescent="0.2">
      <c r="B32" s="1980"/>
      <c r="C32" s="1133" t="s">
        <v>50</v>
      </c>
      <c r="D32" s="1132"/>
      <c r="E32" s="1132" t="s">
        <v>51</v>
      </c>
      <c r="F32" s="1132"/>
      <c r="G32" s="1132" t="s">
        <v>52</v>
      </c>
      <c r="H32" s="1134"/>
      <c r="I32" s="1927"/>
      <c r="J32" s="1242"/>
      <c r="K32" s="570" t="s">
        <v>40</v>
      </c>
      <c r="L32" s="571" t="s">
        <v>25</v>
      </c>
      <c r="O32" s="183">
        <v>1</v>
      </c>
      <c r="P32" s="568" t="s">
        <v>20</v>
      </c>
    </row>
    <row r="33" spans="1:16" ht="39.950000000000003" customHeight="1" x14ac:dyDescent="0.2">
      <c r="B33" s="1980"/>
      <c r="C33" s="1133" t="s">
        <v>53</v>
      </c>
      <c r="D33" s="1132"/>
      <c r="E33" s="1132" t="s">
        <v>54</v>
      </c>
      <c r="F33" s="1132"/>
      <c r="G33" s="1132" t="s">
        <v>55</v>
      </c>
      <c r="H33" s="1134"/>
      <c r="I33" s="1927"/>
      <c r="J33" s="1242"/>
      <c r="K33" s="570" t="s">
        <v>40</v>
      </c>
      <c r="L33" s="571" t="s">
        <v>25</v>
      </c>
      <c r="O33" s="183">
        <v>1</v>
      </c>
      <c r="P33" s="568" t="s">
        <v>20</v>
      </c>
    </row>
    <row r="34" spans="1:16" ht="39.950000000000003" customHeight="1" x14ac:dyDescent="0.2">
      <c r="B34" s="1980"/>
      <c r="C34" s="1133" t="s">
        <v>56</v>
      </c>
      <c r="D34" s="1132"/>
      <c r="E34" s="1132" t="s">
        <v>57</v>
      </c>
      <c r="F34" s="1132"/>
      <c r="G34" s="1132" t="s">
        <v>58</v>
      </c>
      <c r="H34" s="1134"/>
      <c r="I34" s="1927"/>
      <c r="J34" s="1242"/>
      <c r="K34" s="570" t="s">
        <v>40</v>
      </c>
      <c r="L34" s="571" t="s">
        <v>25</v>
      </c>
      <c r="O34" s="183">
        <v>1</v>
      </c>
      <c r="P34" s="568" t="s">
        <v>20</v>
      </c>
    </row>
    <row r="35" spans="1:16" ht="30" customHeight="1" x14ac:dyDescent="0.2">
      <c r="B35" s="1980"/>
      <c r="C35" s="1046" t="s">
        <v>59</v>
      </c>
      <c r="D35" s="1022"/>
      <c r="E35" s="1132" t="s">
        <v>60</v>
      </c>
      <c r="F35" s="1132"/>
      <c r="G35" s="1132" t="s">
        <v>61</v>
      </c>
      <c r="H35" s="1134"/>
      <c r="I35" s="1927"/>
      <c r="J35" s="1242"/>
      <c r="K35" s="570" t="s">
        <v>40</v>
      </c>
      <c r="L35" s="571" t="s">
        <v>25</v>
      </c>
      <c r="O35" s="183">
        <v>1</v>
      </c>
      <c r="P35" s="568" t="s">
        <v>20</v>
      </c>
    </row>
    <row r="36" spans="1:16" ht="30" customHeight="1" x14ac:dyDescent="0.2">
      <c r="B36" s="1980"/>
      <c r="C36" s="1046" t="s">
        <v>62</v>
      </c>
      <c r="D36" s="1022"/>
      <c r="E36" s="1022" t="s">
        <v>63</v>
      </c>
      <c r="F36" s="1022"/>
      <c r="G36" s="1132" t="s">
        <v>64</v>
      </c>
      <c r="H36" s="1132"/>
      <c r="I36" s="1927"/>
      <c r="J36" s="1242"/>
      <c r="K36" s="570" t="s">
        <v>40</v>
      </c>
      <c r="L36" s="571" t="s">
        <v>25</v>
      </c>
      <c r="O36" s="183">
        <v>1</v>
      </c>
      <c r="P36" s="568" t="s">
        <v>20</v>
      </c>
    </row>
    <row r="37" spans="1:16" ht="50.1" customHeight="1" x14ac:dyDescent="0.2">
      <c r="B37" s="1980"/>
      <c r="C37" s="1133" t="s">
        <v>65</v>
      </c>
      <c r="D37" s="1132"/>
      <c r="E37" s="1132" t="s">
        <v>66</v>
      </c>
      <c r="F37" s="1132"/>
      <c r="G37" s="1132" t="s">
        <v>67</v>
      </c>
      <c r="H37" s="1134"/>
      <c r="I37" s="1927"/>
      <c r="J37" s="1242"/>
      <c r="K37" s="570" t="s">
        <v>40</v>
      </c>
      <c r="L37" s="571" t="s">
        <v>25</v>
      </c>
      <c r="O37" s="183">
        <v>1</v>
      </c>
      <c r="P37" s="568" t="s">
        <v>20</v>
      </c>
    </row>
    <row r="38" spans="1:16" ht="43.9" customHeight="1" x14ac:dyDescent="0.2">
      <c r="B38" s="1980"/>
      <c r="C38" s="1133" t="s">
        <v>68</v>
      </c>
      <c r="D38" s="1132"/>
      <c r="E38" s="1"/>
      <c r="G38" s="47"/>
      <c r="H38" s="48"/>
      <c r="I38" s="1927"/>
      <c r="J38" s="1242"/>
      <c r="K38" s="570" t="s">
        <v>40</v>
      </c>
      <c r="L38" s="571" t="s">
        <v>25</v>
      </c>
      <c r="O38" s="183">
        <v>1</v>
      </c>
      <c r="P38" s="568" t="s">
        <v>20</v>
      </c>
    </row>
    <row r="39" spans="1:16" ht="39.950000000000003" customHeight="1" x14ac:dyDescent="0.2">
      <c r="A39" s="572" t="s">
        <v>69</v>
      </c>
      <c r="B39" s="1992"/>
      <c r="C39" s="1206" t="s">
        <v>70</v>
      </c>
      <c r="D39" s="1207"/>
      <c r="E39" s="1207"/>
      <c r="F39" s="1207"/>
      <c r="G39" s="1207"/>
      <c r="H39" s="1222"/>
      <c r="I39" s="1928"/>
      <c r="J39" s="1243"/>
      <c r="K39" s="570" t="s">
        <v>40</v>
      </c>
      <c r="L39" s="571" t="s">
        <v>25</v>
      </c>
      <c r="O39" s="183">
        <v>1</v>
      </c>
      <c r="P39" s="568" t="s">
        <v>20</v>
      </c>
    </row>
    <row r="40" spans="1:16" ht="30" customHeight="1" x14ac:dyDescent="0.2">
      <c r="B40" s="1865" t="s">
        <v>71</v>
      </c>
      <c r="C40" s="1187" t="s">
        <v>72</v>
      </c>
      <c r="D40" s="1188"/>
      <c r="E40" s="1188" t="s">
        <v>73</v>
      </c>
      <c r="F40" s="1188"/>
      <c r="G40" s="1188" t="s">
        <v>74</v>
      </c>
      <c r="H40" s="1189"/>
      <c r="I40" s="1926">
        <f>+'[2]Datos REG y HIJOS'!$D$5</f>
        <v>40</v>
      </c>
      <c r="J40" s="1241">
        <f>+'[2]Datos REG y HIJOS'!$E$5</f>
        <v>0.9</v>
      </c>
      <c r="K40" s="570" t="s">
        <v>71</v>
      </c>
      <c r="L40" s="571" t="s">
        <v>25</v>
      </c>
      <c r="N40" s="182" t="s">
        <v>30</v>
      </c>
      <c r="O40" s="183">
        <v>1</v>
      </c>
      <c r="P40" s="568" t="s">
        <v>20</v>
      </c>
    </row>
    <row r="41" spans="1:16" ht="30" customHeight="1" x14ac:dyDescent="0.2">
      <c r="B41" s="1866"/>
      <c r="C41" s="1218" t="s">
        <v>75</v>
      </c>
      <c r="D41" s="1180"/>
      <c r="E41" s="1180" t="s">
        <v>76</v>
      </c>
      <c r="F41" s="1180"/>
      <c r="G41" s="890" t="s">
        <v>77</v>
      </c>
      <c r="H41" s="890"/>
      <c r="I41" s="1927"/>
      <c r="J41" s="1242"/>
      <c r="K41" s="570" t="s">
        <v>71</v>
      </c>
      <c r="L41" s="571" t="s">
        <v>25</v>
      </c>
      <c r="O41" s="183">
        <v>1</v>
      </c>
      <c r="P41" s="568" t="s">
        <v>20</v>
      </c>
    </row>
    <row r="42" spans="1:16" ht="30" customHeight="1" x14ac:dyDescent="0.2">
      <c r="B42" s="1866"/>
      <c r="C42" s="1218" t="s">
        <v>39</v>
      </c>
      <c r="D42" s="1180"/>
      <c r="E42" s="1180" t="s">
        <v>79</v>
      </c>
      <c r="F42" s="1180"/>
      <c r="G42" s="1180" t="s">
        <v>80</v>
      </c>
      <c r="H42" s="1227"/>
      <c r="I42" s="1927"/>
      <c r="J42" s="1242"/>
      <c r="K42" s="570" t="s">
        <v>71</v>
      </c>
      <c r="L42" s="571" t="s">
        <v>25</v>
      </c>
      <c r="O42" s="183">
        <v>1</v>
      </c>
      <c r="P42" s="568" t="s">
        <v>20</v>
      </c>
    </row>
    <row r="43" spans="1:16" ht="30" customHeight="1" x14ac:dyDescent="0.2">
      <c r="B43" s="1866"/>
      <c r="C43" s="968" t="s">
        <v>81</v>
      </c>
      <c r="D43" s="969"/>
      <c r="E43" s="969" t="s">
        <v>82</v>
      </c>
      <c r="F43" s="969"/>
      <c r="G43" s="969" t="s">
        <v>83</v>
      </c>
      <c r="H43" s="1193"/>
      <c r="I43" s="1927"/>
      <c r="J43" s="1242"/>
      <c r="K43" s="570" t="s">
        <v>71</v>
      </c>
      <c r="L43" s="571" t="s">
        <v>25</v>
      </c>
      <c r="O43" s="183">
        <v>1</v>
      </c>
      <c r="P43" s="568" t="s">
        <v>20</v>
      </c>
    </row>
    <row r="44" spans="1:16" ht="30" customHeight="1" x14ac:dyDescent="0.2">
      <c r="B44" s="1867"/>
      <c r="C44" s="1181" t="s">
        <v>84</v>
      </c>
      <c r="D44" s="1182"/>
      <c r="E44" s="895" t="s">
        <v>78</v>
      </c>
      <c r="F44" s="895"/>
      <c r="G44" s="50"/>
      <c r="H44" s="50"/>
      <c r="I44" s="1928"/>
      <c r="J44" s="1243"/>
      <c r="K44" s="570" t="s">
        <v>71</v>
      </c>
      <c r="L44" s="571" t="s">
        <v>25</v>
      </c>
      <c r="O44" s="183">
        <v>1</v>
      </c>
      <c r="P44" s="568" t="s">
        <v>20</v>
      </c>
    </row>
    <row r="45" spans="1:16" ht="39.950000000000003" customHeight="1" x14ac:dyDescent="0.2">
      <c r="B45" s="1979" t="s">
        <v>85</v>
      </c>
      <c r="C45" s="1214" t="s">
        <v>572</v>
      </c>
      <c r="D45" s="1195"/>
      <c r="E45" s="1195" t="s">
        <v>378</v>
      </c>
      <c r="F45" s="1195"/>
      <c r="G45" s="1130" t="s">
        <v>342</v>
      </c>
      <c r="H45" s="1131"/>
      <c r="I45" s="1986">
        <f>+'[2]Datos REG y HIJOS'!$D$6</f>
        <v>40</v>
      </c>
      <c r="J45" s="1241">
        <f>+'[2]Datos REG y HIJOS'!$E$6</f>
        <v>0.85</v>
      </c>
      <c r="K45" s="570" t="s">
        <v>85</v>
      </c>
      <c r="L45" s="571" t="s">
        <v>25</v>
      </c>
      <c r="N45" s="182" t="s">
        <v>30</v>
      </c>
      <c r="O45" s="183">
        <v>1</v>
      </c>
      <c r="P45" s="568" t="s">
        <v>20</v>
      </c>
    </row>
    <row r="46" spans="1:16" ht="39.950000000000003" customHeight="1" x14ac:dyDescent="0.2">
      <c r="B46" s="1980"/>
      <c r="C46" s="1211" t="s">
        <v>86</v>
      </c>
      <c r="D46" s="1190"/>
      <c r="E46" s="1190" t="s">
        <v>574</v>
      </c>
      <c r="F46" s="1190"/>
      <c r="G46" s="1190" t="s">
        <v>624</v>
      </c>
      <c r="H46" s="1212"/>
      <c r="I46" s="1987"/>
      <c r="J46" s="1242"/>
      <c r="K46" s="570" t="s">
        <v>85</v>
      </c>
      <c r="L46" s="571" t="s">
        <v>25</v>
      </c>
      <c r="O46" s="183">
        <v>1</v>
      </c>
      <c r="P46" s="568" t="s">
        <v>20</v>
      </c>
    </row>
    <row r="47" spans="1:16" ht="39.950000000000003" customHeight="1" x14ac:dyDescent="0.2">
      <c r="B47" s="1980"/>
      <c r="C47" s="1211" t="s">
        <v>576</v>
      </c>
      <c r="D47" s="1190"/>
      <c r="E47" s="1190" t="s">
        <v>577</v>
      </c>
      <c r="F47" s="1190"/>
      <c r="G47" s="1132" t="s">
        <v>578</v>
      </c>
      <c r="H47" s="1134"/>
      <c r="I47" s="1987"/>
      <c r="J47" s="1242"/>
      <c r="K47" s="570" t="s">
        <v>85</v>
      </c>
      <c r="L47" s="571" t="s">
        <v>25</v>
      </c>
      <c r="O47" s="183">
        <v>1</v>
      </c>
      <c r="P47" s="568" t="s">
        <v>20</v>
      </c>
    </row>
    <row r="48" spans="1:16" ht="39.950000000000003" customHeight="1" x14ac:dyDescent="0.2">
      <c r="B48" s="1980"/>
      <c r="C48" s="1211" t="s">
        <v>402</v>
      </c>
      <c r="D48" s="1190"/>
      <c r="E48" s="1190" t="s">
        <v>579</v>
      </c>
      <c r="F48" s="1190"/>
      <c r="G48" s="1022" t="s">
        <v>580</v>
      </c>
      <c r="H48" s="1028"/>
      <c r="I48" s="1987"/>
      <c r="J48" s="1242"/>
      <c r="K48" s="570" t="s">
        <v>85</v>
      </c>
      <c r="L48" s="571" t="s">
        <v>25</v>
      </c>
      <c r="O48" s="183">
        <v>1</v>
      </c>
      <c r="P48" s="568" t="s">
        <v>20</v>
      </c>
    </row>
    <row r="49" spans="1:16" ht="39.950000000000003" customHeight="1" x14ac:dyDescent="0.2">
      <c r="B49" s="1980"/>
      <c r="C49" s="1046" t="s">
        <v>581</v>
      </c>
      <c r="D49" s="1022"/>
      <c r="E49" s="1190" t="s">
        <v>582</v>
      </c>
      <c r="F49" s="1190"/>
      <c r="G49" s="1190" t="s">
        <v>94</v>
      </c>
      <c r="H49" s="1212"/>
      <c r="I49" s="1987"/>
      <c r="J49" s="1242"/>
      <c r="K49" s="570" t="s">
        <v>85</v>
      </c>
      <c r="L49" s="571" t="s">
        <v>25</v>
      </c>
      <c r="O49" s="183">
        <v>1</v>
      </c>
      <c r="P49" s="568" t="s">
        <v>20</v>
      </c>
    </row>
    <row r="50" spans="1:16" ht="39.950000000000003" customHeight="1" x14ac:dyDescent="0.2">
      <c r="B50" s="1980"/>
      <c r="C50" s="1046" t="s">
        <v>573</v>
      </c>
      <c r="D50" s="1022"/>
      <c r="E50" s="140"/>
      <c r="F50" s="140"/>
      <c r="G50" s="140"/>
      <c r="H50" s="516"/>
      <c r="I50" s="1987"/>
      <c r="J50" s="1242"/>
      <c r="K50" s="570" t="s">
        <v>85</v>
      </c>
      <c r="L50" s="571" t="s">
        <v>25</v>
      </c>
      <c r="O50" s="183">
        <v>1</v>
      </c>
      <c r="P50" s="568" t="s">
        <v>20</v>
      </c>
    </row>
    <row r="51" spans="1:16" ht="39.950000000000003" customHeight="1" x14ac:dyDescent="0.2">
      <c r="B51" s="1980"/>
      <c r="C51" s="1218" t="s">
        <v>98</v>
      </c>
      <c r="D51" s="1180"/>
      <c r="E51" s="1180"/>
      <c r="F51" s="1180"/>
      <c r="G51" s="1180"/>
      <c r="H51" s="1227"/>
      <c r="I51" s="1987"/>
      <c r="J51" s="1242"/>
      <c r="K51" s="570" t="s">
        <v>85</v>
      </c>
      <c r="L51" s="571" t="s">
        <v>25</v>
      </c>
      <c r="O51" s="183">
        <v>1</v>
      </c>
      <c r="P51" s="568" t="s">
        <v>20</v>
      </c>
    </row>
    <row r="52" spans="1:16" ht="22.5" customHeight="1" x14ac:dyDescent="0.2">
      <c r="A52" s="183" t="s">
        <v>97</v>
      </c>
      <c r="B52" s="1992"/>
      <c r="C52" s="1306" t="s">
        <v>583</v>
      </c>
      <c r="D52" s="1307"/>
      <c r="E52" s="1307"/>
      <c r="F52" s="1307"/>
      <c r="G52" s="1307"/>
      <c r="H52" s="1308"/>
      <c r="I52" s="1994"/>
      <c r="J52" s="1243"/>
      <c r="K52" s="570" t="s">
        <v>85</v>
      </c>
      <c r="L52" s="571" t="s">
        <v>25</v>
      </c>
      <c r="O52" s="183">
        <v>1</v>
      </c>
      <c r="P52" s="568" t="s">
        <v>20</v>
      </c>
    </row>
    <row r="53" spans="1:16" ht="39.950000000000003" customHeight="1" x14ac:dyDescent="0.2">
      <c r="B53" s="1865" t="s">
        <v>87</v>
      </c>
      <c r="C53" s="1993" t="s">
        <v>88</v>
      </c>
      <c r="D53" s="1984"/>
      <c r="E53" s="1984" t="s">
        <v>89</v>
      </c>
      <c r="F53" s="1984"/>
      <c r="G53" s="1984" t="s">
        <v>90</v>
      </c>
      <c r="H53" s="1985"/>
      <c r="I53" s="1926">
        <f>+'[2]Datos REG y HIJOS'!$D$7</f>
        <v>45</v>
      </c>
      <c r="J53" s="1241">
        <f>+'[2]Datos REG y HIJOS'!$E$7</f>
        <v>0.85</v>
      </c>
      <c r="K53" s="570" t="s">
        <v>87</v>
      </c>
      <c r="L53" s="571" t="s">
        <v>25</v>
      </c>
      <c r="N53" s="182" t="s">
        <v>30</v>
      </c>
      <c r="O53" s="183">
        <v>1</v>
      </c>
      <c r="P53" s="568" t="s">
        <v>20</v>
      </c>
    </row>
    <row r="54" spans="1:16" ht="39.950000000000003" customHeight="1" x14ac:dyDescent="0.2">
      <c r="B54" s="1866"/>
      <c r="C54" s="1989" t="s">
        <v>91</v>
      </c>
      <c r="D54" s="1990"/>
      <c r="E54" s="1990" t="s">
        <v>92</v>
      </c>
      <c r="F54" s="1990"/>
      <c r="G54" s="1990" t="s">
        <v>93</v>
      </c>
      <c r="H54" s="1991"/>
      <c r="I54" s="1927"/>
      <c r="J54" s="1242"/>
      <c r="K54" s="570" t="s">
        <v>87</v>
      </c>
      <c r="L54" s="571" t="s">
        <v>25</v>
      </c>
      <c r="O54" s="183">
        <v>1</v>
      </c>
      <c r="P54" s="568" t="s">
        <v>20</v>
      </c>
    </row>
    <row r="55" spans="1:16" ht="39.950000000000003" customHeight="1" x14ac:dyDescent="0.2">
      <c r="B55" s="1866"/>
      <c r="C55" s="1989" t="s">
        <v>96</v>
      </c>
      <c r="D55" s="1990"/>
      <c r="E55" s="1990" t="s">
        <v>95</v>
      </c>
      <c r="F55" s="1990"/>
      <c r="G55" s="574"/>
      <c r="H55" s="575"/>
      <c r="I55" s="1927"/>
      <c r="J55" s="1242"/>
      <c r="K55" s="570" t="s">
        <v>87</v>
      </c>
      <c r="L55" s="571" t="s">
        <v>25</v>
      </c>
      <c r="O55" s="183">
        <v>1</v>
      </c>
      <c r="P55" s="568" t="s">
        <v>20</v>
      </c>
    </row>
    <row r="56" spans="1:16" ht="30" customHeight="1" x14ac:dyDescent="0.2">
      <c r="A56" s="183" t="s">
        <v>97</v>
      </c>
      <c r="B56" s="1866"/>
      <c r="C56" s="573" t="s">
        <v>98</v>
      </c>
      <c r="D56" s="574"/>
      <c r="E56" s="56"/>
      <c r="F56" s="56"/>
      <c r="G56" s="574"/>
      <c r="H56" s="575"/>
      <c r="I56" s="1927"/>
      <c r="J56" s="1242"/>
      <c r="K56" s="570" t="s">
        <v>87</v>
      </c>
      <c r="L56" s="571" t="s">
        <v>25</v>
      </c>
      <c r="O56" s="183">
        <v>1</v>
      </c>
      <c r="P56" s="568" t="s">
        <v>20</v>
      </c>
    </row>
    <row r="57" spans="1:16" ht="30" customHeight="1" x14ac:dyDescent="0.2">
      <c r="A57" s="183" t="s">
        <v>97</v>
      </c>
      <c r="B57" s="1866"/>
      <c r="C57" s="2053" t="s">
        <v>99</v>
      </c>
      <c r="D57" s="2054"/>
      <c r="E57" s="2054"/>
      <c r="F57" s="2054"/>
      <c r="G57" s="2054"/>
      <c r="H57" s="2055"/>
      <c r="I57" s="1927"/>
      <c r="J57" s="1242"/>
      <c r="K57" s="570" t="s">
        <v>87</v>
      </c>
      <c r="L57" s="571" t="s">
        <v>25</v>
      </c>
      <c r="O57" s="183">
        <v>1</v>
      </c>
      <c r="P57" s="568" t="s">
        <v>20</v>
      </c>
    </row>
    <row r="58" spans="1:16" ht="30" customHeight="1" x14ac:dyDescent="0.2">
      <c r="A58" s="67"/>
      <c r="B58" s="1865" t="s">
        <v>567</v>
      </c>
      <c r="C58" s="2056" t="s">
        <v>134</v>
      </c>
      <c r="D58" s="2057"/>
      <c r="E58" s="2058" t="s">
        <v>239</v>
      </c>
      <c r="F58" s="2058"/>
      <c r="G58" s="1984" t="s">
        <v>570</v>
      </c>
      <c r="H58" s="1985"/>
      <c r="I58" s="1986">
        <f>+'[2]Datos REG y HIJOS'!$D$8</f>
        <v>45</v>
      </c>
      <c r="J58" s="1241">
        <f>+'[2]Datos REG y HIJOS'!$E$8</f>
        <v>0.85</v>
      </c>
      <c r="K58" s="570" t="s">
        <v>567</v>
      </c>
      <c r="L58" s="571" t="s">
        <v>25</v>
      </c>
      <c r="N58" s="182" t="s">
        <v>30</v>
      </c>
      <c r="O58" s="183">
        <v>1</v>
      </c>
      <c r="P58" s="568" t="s">
        <v>20</v>
      </c>
    </row>
    <row r="59" spans="1:16" ht="30" customHeight="1" x14ac:dyDescent="0.2">
      <c r="A59" s="67"/>
      <c r="B59" s="1867"/>
      <c r="C59" s="1988" t="s">
        <v>568</v>
      </c>
      <c r="D59" s="1889"/>
      <c r="E59" s="1889" t="s">
        <v>569</v>
      </c>
      <c r="F59" s="1889"/>
      <c r="G59" s="1889"/>
      <c r="H59" s="1890"/>
      <c r="I59" s="1994"/>
      <c r="J59" s="1243"/>
      <c r="K59" s="570" t="s">
        <v>567</v>
      </c>
      <c r="L59" s="571" t="s">
        <v>25</v>
      </c>
      <c r="O59" s="183">
        <v>1</v>
      </c>
      <c r="P59" s="568" t="s">
        <v>20</v>
      </c>
    </row>
    <row r="60" spans="1:16" s="803" customFormat="1" ht="30" customHeight="1" x14ac:dyDescent="0.2">
      <c r="A60" s="67"/>
      <c r="B60" s="1971" t="s">
        <v>584</v>
      </c>
      <c r="C60" s="1457" t="s">
        <v>585</v>
      </c>
      <c r="D60" s="1219"/>
      <c r="E60" s="1990" t="s">
        <v>138</v>
      </c>
      <c r="F60" s="1990"/>
      <c r="G60" s="1990" t="s">
        <v>586</v>
      </c>
      <c r="H60" s="1991"/>
      <c r="I60" s="1927">
        <f>+'[2]Datos REG y HIJOS'!$D$10</f>
        <v>50</v>
      </c>
      <c r="J60" s="1242">
        <f>+'[2]Datos REG y HIJOS'!$E$10</f>
        <v>0.85</v>
      </c>
      <c r="K60" s="570" t="s">
        <v>584</v>
      </c>
      <c r="L60" s="571" t="s">
        <v>25</v>
      </c>
      <c r="M60" s="802"/>
      <c r="N60" s="182" t="s">
        <v>30</v>
      </c>
      <c r="O60" s="183">
        <v>1</v>
      </c>
      <c r="P60" s="568" t="s">
        <v>20</v>
      </c>
    </row>
    <row r="61" spans="1:16" s="803" customFormat="1" ht="39.950000000000003" customHeight="1" x14ac:dyDescent="0.2">
      <c r="A61" s="67"/>
      <c r="B61" s="1971"/>
      <c r="C61" s="2052" t="s">
        <v>589</v>
      </c>
      <c r="D61" s="2050"/>
      <c r="E61" s="1192" t="s">
        <v>588</v>
      </c>
      <c r="F61" s="1192"/>
      <c r="G61" s="1975" t="s">
        <v>587</v>
      </c>
      <c r="H61" s="1976"/>
      <c r="I61" s="1927"/>
      <c r="J61" s="1242"/>
      <c r="K61" s="570" t="s">
        <v>584</v>
      </c>
      <c r="L61" s="571" t="s">
        <v>25</v>
      </c>
      <c r="M61" s="802"/>
      <c r="O61" s="183">
        <v>1</v>
      </c>
      <c r="P61" s="568" t="s">
        <v>20</v>
      </c>
    </row>
    <row r="62" spans="1:16" s="803" customFormat="1" ht="30" customHeight="1" x14ac:dyDescent="0.2">
      <c r="A62" s="183" t="s">
        <v>97</v>
      </c>
      <c r="B62" s="1971"/>
      <c r="C62" s="1452" t="s">
        <v>98</v>
      </c>
      <c r="D62" s="1977"/>
      <c r="E62" s="1977"/>
      <c r="F62" s="1977"/>
      <c r="G62" s="1977"/>
      <c r="H62" s="1978"/>
      <c r="I62" s="1927"/>
      <c r="J62" s="1242"/>
      <c r="K62" s="570" t="s">
        <v>584</v>
      </c>
      <c r="L62" s="571" t="s">
        <v>25</v>
      </c>
      <c r="M62" s="802"/>
      <c r="O62" s="183">
        <v>1</v>
      </c>
      <c r="P62" s="568" t="s">
        <v>20</v>
      </c>
    </row>
    <row r="63" spans="1:16" s="803" customFormat="1" ht="30" customHeight="1" x14ac:dyDescent="0.2">
      <c r="A63" s="183" t="s">
        <v>97</v>
      </c>
      <c r="B63" s="1971"/>
      <c r="C63" s="1452" t="s">
        <v>590</v>
      </c>
      <c r="D63" s="1192"/>
      <c r="E63" s="1192"/>
      <c r="F63" s="1192"/>
      <c r="G63" s="1192"/>
      <c r="H63" s="1215"/>
      <c r="I63" s="1927"/>
      <c r="J63" s="1242"/>
      <c r="K63" s="570" t="s">
        <v>584</v>
      </c>
      <c r="L63" s="571" t="s">
        <v>25</v>
      </c>
      <c r="M63" s="802"/>
      <c r="O63" s="183">
        <v>1</v>
      </c>
      <c r="P63" s="568" t="s">
        <v>20</v>
      </c>
    </row>
    <row r="64" spans="1:16" s="803" customFormat="1" ht="30" customHeight="1" x14ac:dyDescent="0.2">
      <c r="A64" s="67"/>
      <c r="B64" s="1910" t="s">
        <v>571</v>
      </c>
      <c r="C64" s="1410" t="s">
        <v>596</v>
      </c>
      <c r="D64" s="1411"/>
      <c r="E64" s="1896" t="s">
        <v>597</v>
      </c>
      <c r="F64" s="1896"/>
      <c r="G64" s="1809" t="s">
        <v>598</v>
      </c>
      <c r="H64" s="1810"/>
      <c r="I64" s="1397">
        <f>+'[2]Datos REG y HIJOS'!$D$9</f>
        <v>40</v>
      </c>
      <c r="J64" s="915">
        <f>+'[2]Datos REG y HIJOS'!$E$9</f>
        <v>0.85</v>
      </c>
      <c r="K64" s="570" t="s">
        <v>571</v>
      </c>
      <c r="L64" s="571" t="s">
        <v>25</v>
      </c>
      <c r="M64" s="802"/>
      <c r="N64" s="182" t="s">
        <v>30</v>
      </c>
      <c r="O64" s="183">
        <v>1</v>
      </c>
      <c r="P64" s="568" t="s">
        <v>20</v>
      </c>
    </row>
    <row r="65" spans="1:16" s="803" customFormat="1" ht="30" customHeight="1" x14ac:dyDescent="0.2">
      <c r="A65" s="67"/>
      <c r="B65" s="1911"/>
      <c r="C65" s="2033" t="s">
        <v>599</v>
      </c>
      <c r="D65" s="2032"/>
      <c r="E65" s="2032" t="s">
        <v>600</v>
      </c>
      <c r="F65" s="2032"/>
      <c r="G65" s="812"/>
      <c r="H65" s="813"/>
      <c r="I65" s="1398"/>
      <c r="J65" s="916"/>
      <c r="K65" s="570" t="s">
        <v>571</v>
      </c>
      <c r="L65" s="571" t="s">
        <v>25</v>
      </c>
      <c r="M65" s="802"/>
      <c r="O65" s="183">
        <v>1</v>
      </c>
      <c r="P65" s="568" t="s">
        <v>20</v>
      </c>
    </row>
    <row r="66" spans="1:16" s="803" customFormat="1" ht="30" customHeight="1" x14ac:dyDescent="0.2">
      <c r="A66" s="67"/>
      <c r="B66" s="1865" t="s">
        <v>591</v>
      </c>
      <c r="C66" s="1410" t="s">
        <v>592</v>
      </c>
      <c r="D66" s="1411"/>
      <c r="E66" s="1411" t="s">
        <v>176</v>
      </c>
      <c r="F66" s="1411"/>
      <c r="G66" s="1411" t="s">
        <v>593</v>
      </c>
      <c r="H66" s="2026"/>
      <c r="I66" s="2022">
        <f>+'[2]Datos REG y HIJOS'!$D$11</f>
        <v>80</v>
      </c>
      <c r="J66" s="1449">
        <f>+'[2]Datos REG y HIJOS'!$E$11</f>
        <v>0.75</v>
      </c>
      <c r="K66" s="570" t="s">
        <v>591</v>
      </c>
      <c r="L66" s="571" t="s">
        <v>25</v>
      </c>
      <c r="M66" s="66"/>
      <c r="N66" s="182" t="s">
        <v>30</v>
      </c>
      <c r="O66" s="183">
        <v>1</v>
      </c>
      <c r="P66" s="568" t="s">
        <v>20</v>
      </c>
    </row>
    <row r="67" spans="1:16" s="66" customFormat="1" ht="39.950000000000003" customHeight="1" x14ac:dyDescent="0.2">
      <c r="B67" s="1867"/>
      <c r="C67" s="1453" t="s">
        <v>594</v>
      </c>
      <c r="D67" s="1213"/>
      <c r="E67" s="1213"/>
      <c r="F67" s="1213"/>
      <c r="G67" s="1213"/>
      <c r="H67" s="1454"/>
      <c r="I67" s="2023"/>
      <c r="J67" s="1451"/>
      <c r="K67" s="570" t="s">
        <v>591</v>
      </c>
      <c r="L67" s="571" t="s">
        <v>25</v>
      </c>
      <c r="N67" s="67"/>
      <c r="O67" s="183">
        <v>1</v>
      </c>
      <c r="P67" s="568" t="s">
        <v>20</v>
      </c>
    </row>
    <row r="68" spans="1:16" s="66" customFormat="1" ht="45.75" customHeight="1" x14ac:dyDescent="0.2">
      <c r="A68" s="537"/>
      <c r="B68" s="1865" t="s">
        <v>758</v>
      </c>
      <c r="C68" s="1461" t="s">
        <v>759</v>
      </c>
      <c r="D68" s="1462"/>
      <c r="E68" s="1462" t="s">
        <v>779</v>
      </c>
      <c r="F68" s="1462"/>
      <c r="G68" s="1462" t="s">
        <v>761</v>
      </c>
      <c r="H68" s="1463"/>
      <c r="I68" s="1868">
        <f>+'[2]Datos REG y HIJOS'!$D$12</f>
        <v>90</v>
      </c>
      <c r="J68" s="1449">
        <f>+'[2]Datos REG y HIJOS'!$E$12</f>
        <v>0.7</v>
      </c>
      <c r="K68" s="570" t="s">
        <v>758</v>
      </c>
      <c r="L68" s="571" t="s">
        <v>25</v>
      </c>
      <c r="N68" s="182" t="s">
        <v>30</v>
      </c>
      <c r="O68" s="183">
        <v>1</v>
      </c>
      <c r="P68" s="568" t="s">
        <v>20</v>
      </c>
    </row>
    <row r="69" spans="1:16" s="66" customFormat="1" ht="30" customHeight="1" x14ac:dyDescent="0.2">
      <c r="A69" s="537"/>
      <c r="B69" s="1866"/>
      <c r="C69" s="1452" t="s">
        <v>762</v>
      </c>
      <c r="D69" s="1192"/>
      <c r="E69" s="1192" t="s">
        <v>606</v>
      </c>
      <c r="F69" s="1192"/>
      <c r="G69" s="1192" t="s">
        <v>763</v>
      </c>
      <c r="H69" s="1215"/>
      <c r="I69" s="1869"/>
      <c r="J69" s="1450"/>
      <c r="K69" s="570" t="s">
        <v>758</v>
      </c>
      <c r="L69" s="571" t="s">
        <v>25</v>
      </c>
      <c r="O69" s="183">
        <v>1</v>
      </c>
      <c r="P69" s="568" t="s">
        <v>20</v>
      </c>
    </row>
    <row r="70" spans="1:16" s="66" customFormat="1" ht="30" customHeight="1" x14ac:dyDescent="0.2">
      <c r="A70" s="537"/>
      <c r="B70" s="1866"/>
      <c r="C70" s="1452" t="s">
        <v>764</v>
      </c>
      <c r="D70" s="1192"/>
      <c r="E70" s="346"/>
      <c r="F70" s="346"/>
      <c r="G70" s="346"/>
      <c r="H70" s="347"/>
      <c r="I70" s="1869"/>
      <c r="J70" s="1450"/>
      <c r="K70" s="570" t="s">
        <v>758</v>
      </c>
      <c r="L70" s="571" t="s">
        <v>25</v>
      </c>
      <c r="O70" s="183">
        <v>1</v>
      </c>
      <c r="P70" s="568" t="s">
        <v>20</v>
      </c>
    </row>
    <row r="71" spans="1:16" s="66" customFormat="1" ht="30" customHeight="1" x14ac:dyDescent="0.2">
      <c r="A71" s="572" t="s">
        <v>69</v>
      </c>
      <c r="B71" s="1866"/>
      <c r="C71" s="1452" t="s">
        <v>765</v>
      </c>
      <c r="D71" s="1192"/>
      <c r="E71" s="1192"/>
      <c r="F71" s="1192"/>
      <c r="G71" s="1192"/>
      <c r="H71" s="1215"/>
      <c r="I71" s="1869"/>
      <c r="J71" s="1450"/>
      <c r="K71" s="570" t="s">
        <v>758</v>
      </c>
      <c r="L71" s="571" t="s">
        <v>25</v>
      </c>
      <c r="O71" s="183">
        <v>1</v>
      </c>
      <c r="P71" s="568" t="s">
        <v>20</v>
      </c>
    </row>
    <row r="72" spans="1:16" s="66" customFormat="1" ht="30" customHeight="1" x14ac:dyDescent="0.2">
      <c r="A72" s="183" t="s">
        <v>97</v>
      </c>
      <c r="B72" s="1866"/>
      <c r="C72" s="1452" t="s">
        <v>98</v>
      </c>
      <c r="D72" s="1192"/>
      <c r="E72" s="1192"/>
      <c r="F72" s="1192"/>
      <c r="G72" s="1192"/>
      <c r="H72" s="1215"/>
      <c r="I72" s="1869"/>
      <c r="J72" s="1450"/>
      <c r="K72" s="570" t="s">
        <v>758</v>
      </c>
      <c r="L72" s="571" t="s">
        <v>25</v>
      </c>
      <c r="O72" s="183">
        <v>1</v>
      </c>
      <c r="P72" s="568" t="s">
        <v>20</v>
      </c>
    </row>
    <row r="73" spans="1:16" s="66" customFormat="1" ht="30" customHeight="1" x14ac:dyDescent="0.2">
      <c r="A73" s="183" t="s">
        <v>97</v>
      </c>
      <c r="B73" s="1867"/>
      <c r="C73" s="1453" t="s">
        <v>766</v>
      </c>
      <c r="D73" s="1213"/>
      <c r="E73" s="1213"/>
      <c r="F73" s="1213"/>
      <c r="G73" s="1213"/>
      <c r="H73" s="1454"/>
      <c r="I73" s="1870"/>
      <c r="J73" s="1451"/>
      <c r="K73" s="570" t="s">
        <v>758</v>
      </c>
      <c r="L73" s="571" t="s">
        <v>25</v>
      </c>
      <c r="O73" s="183">
        <v>1</v>
      </c>
      <c r="P73" s="568" t="s">
        <v>20</v>
      </c>
    </row>
    <row r="74" spans="1:16" s="66" customFormat="1" ht="39.950000000000003" customHeight="1" x14ac:dyDescent="0.2">
      <c r="A74" s="67"/>
      <c r="B74" s="541" t="s">
        <v>601</v>
      </c>
      <c r="C74" s="1252" t="s">
        <v>602</v>
      </c>
      <c r="D74" s="1252"/>
      <c r="E74" s="1252"/>
      <c r="F74" s="1252"/>
      <c r="G74" s="1252"/>
      <c r="H74" s="1252"/>
      <c r="I74" s="580">
        <f>+'[2]Datos REG y HIJOS'!$D$13</f>
        <v>35</v>
      </c>
      <c r="J74" s="353">
        <f>+'[2]Datos REG y HIJOS'!$E$13</f>
        <v>0.9</v>
      </c>
      <c r="K74" s="570" t="s">
        <v>601</v>
      </c>
      <c r="L74" s="571" t="s">
        <v>25</v>
      </c>
      <c r="M74" s="67"/>
      <c r="N74" s="182" t="s">
        <v>30</v>
      </c>
      <c r="O74" s="183">
        <v>1</v>
      </c>
      <c r="P74" s="568" t="s">
        <v>20</v>
      </c>
    </row>
    <row r="75" spans="1:16" ht="39.950000000000003" customHeight="1" x14ac:dyDescent="0.2">
      <c r="A75" s="149"/>
      <c r="B75" s="471" t="s">
        <v>603</v>
      </c>
      <c r="C75" s="1252" t="s">
        <v>604</v>
      </c>
      <c r="D75" s="1252"/>
      <c r="E75" s="1252"/>
      <c r="F75" s="1252"/>
      <c r="G75" s="1252"/>
      <c r="H75" s="1252"/>
      <c r="I75" s="580">
        <f>+'[2]Datos REG y HIJOS'!$D$14</f>
        <v>55</v>
      </c>
      <c r="J75" s="353">
        <f>+'[2]Datos REG y HIJOS'!$E$14</f>
        <v>0.85</v>
      </c>
      <c r="K75" s="570" t="s">
        <v>603</v>
      </c>
      <c r="L75" s="571" t="s">
        <v>25</v>
      </c>
      <c r="M75" s="149"/>
      <c r="N75" s="182" t="s">
        <v>30</v>
      </c>
      <c r="O75" s="183">
        <v>1</v>
      </c>
      <c r="P75" s="568" t="s">
        <v>20</v>
      </c>
    </row>
    <row r="76" spans="1:16" ht="39.950000000000003" customHeight="1" x14ac:dyDescent="0.2">
      <c r="A76" s="45"/>
      <c r="B76" s="829" t="s">
        <v>769</v>
      </c>
      <c r="C76" s="2049" t="s">
        <v>770</v>
      </c>
      <c r="D76" s="2049"/>
      <c r="E76" s="2049"/>
      <c r="F76" s="2049"/>
      <c r="G76" s="2049"/>
      <c r="H76" s="2049"/>
      <c r="I76" s="805">
        <f>+'[2]Datos REG y HIJOS'!$D$15</f>
        <v>115</v>
      </c>
      <c r="J76" s="830">
        <f>+'[2]Datos REG y HIJOS'!$E$15</f>
        <v>0.65</v>
      </c>
      <c r="K76" s="570" t="s">
        <v>769</v>
      </c>
      <c r="L76" s="571" t="s">
        <v>25</v>
      </c>
      <c r="M76" s="66"/>
      <c r="N76" s="182" t="s">
        <v>30</v>
      </c>
      <c r="O76" s="183">
        <v>1</v>
      </c>
      <c r="P76" s="568" t="s">
        <v>20</v>
      </c>
    </row>
    <row r="77" spans="1:16" s="66" customFormat="1" ht="30" customHeight="1" x14ac:dyDescent="0.2">
      <c r="A77" s="183"/>
      <c r="B77" s="831" t="s">
        <v>767</v>
      </c>
      <c r="C77" s="2083" t="s">
        <v>768</v>
      </c>
      <c r="D77" s="2084"/>
      <c r="E77" s="166"/>
      <c r="F77" s="166"/>
      <c r="G77" s="166"/>
      <c r="H77" s="442"/>
      <c r="I77" s="832">
        <v>120</v>
      </c>
      <c r="J77" s="529">
        <v>0.6</v>
      </c>
      <c r="L77" s="661"/>
      <c r="O77" s="67"/>
      <c r="P77" s="586"/>
    </row>
    <row r="78" spans="1:16" s="66" customFormat="1" ht="20.100000000000001" customHeight="1" x14ac:dyDescent="0.2">
      <c r="A78" s="183"/>
      <c r="B78" s="833"/>
      <c r="C78" s="166"/>
      <c r="D78" s="346"/>
      <c r="E78" s="346"/>
      <c r="F78" s="346"/>
      <c r="G78" s="346"/>
      <c r="H78" s="346"/>
      <c r="I78" s="834"/>
      <c r="J78" s="835"/>
      <c r="K78" s="45"/>
      <c r="L78" s="661"/>
      <c r="O78" s="67"/>
      <c r="P78" s="586"/>
    </row>
    <row r="79" spans="1:16" s="66" customFormat="1" ht="30" customHeight="1" x14ac:dyDescent="0.2">
      <c r="A79" s="183"/>
      <c r="B79" s="904" t="s">
        <v>100</v>
      </c>
      <c r="C79" s="905"/>
      <c r="D79" s="905"/>
      <c r="E79" s="905"/>
      <c r="F79" s="905"/>
      <c r="G79" s="905"/>
      <c r="H79" s="906"/>
      <c r="I79" s="34" t="s">
        <v>17</v>
      </c>
      <c r="J79" s="35" t="s">
        <v>18</v>
      </c>
      <c r="L79" s="661"/>
      <c r="O79" s="67"/>
      <c r="P79" s="586"/>
    </row>
    <row r="80" spans="1:16" ht="359.25" customHeight="1" x14ac:dyDescent="0.2">
      <c r="A80" s="45"/>
      <c r="B80" s="1783" t="s">
        <v>101</v>
      </c>
      <c r="C80" s="1250" t="s">
        <v>816</v>
      </c>
      <c r="D80" s="1015"/>
      <c r="E80" s="1015"/>
      <c r="F80" s="1015"/>
      <c r="G80" s="1015"/>
      <c r="H80" s="2048"/>
      <c r="I80" s="1698">
        <v>0</v>
      </c>
      <c r="J80" s="915">
        <v>1</v>
      </c>
      <c r="K80" s="226" t="s">
        <v>103</v>
      </c>
      <c r="L80" s="183">
        <v>3</v>
      </c>
      <c r="N80" s="182" t="s">
        <v>30</v>
      </c>
      <c r="O80" s="183">
        <v>3</v>
      </c>
      <c r="P80" s="568" t="s">
        <v>20</v>
      </c>
    </row>
    <row r="81" spans="1:25" ht="189" customHeight="1" x14ac:dyDescent="0.2">
      <c r="A81" s="45"/>
      <c r="B81" s="1785"/>
      <c r="C81" s="1264" t="s">
        <v>867</v>
      </c>
      <c r="D81" s="1265"/>
      <c r="E81" s="1265"/>
      <c r="F81" s="1265"/>
      <c r="G81" s="1265"/>
      <c r="H81" s="1266"/>
      <c r="I81" s="1700"/>
      <c r="J81" s="916"/>
      <c r="K81" s="226" t="s">
        <v>103</v>
      </c>
      <c r="L81" s="183">
        <v>3</v>
      </c>
      <c r="N81" s="182" t="s">
        <v>30</v>
      </c>
      <c r="O81" s="183">
        <v>3</v>
      </c>
      <c r="P81" s="568" t="s">
        <v>20</v>
      </c>
    </row>
    <row r="82" spans="1:25" s="66" customFormat="1" ht="20.100000000000001" customHeight="1" x14ac:dyDescent="0.2">
      <c r="A82" s="183"/>
      <c r="B82" s="616"/>
      <c r="C82" s="346"/>
      <c r="D82" s="346"/>
      <c r="E82" s="346"/>
      <c r="F82" s="346"/>
      <c r="G82" s="346"/>
      <c r="H82" s="346"/>
      <c r="I82" s="660"/>
      <c r="J82" s="142"/>
      <c r="K82" s="45"/>
      <c r="L82" s="661"/>
      <c r="O82" s="67"/>
      <c r="P82" s="586"/>
    </row>
    <row r="83" spans="1:25" s="66" customFormat="1" ht="30" customHeight="1" x14ac:dyDescent="0.2">
      <c r="A83" s="183"/>
      <c r="B83" s="904" t="s">
        <v>105</v>
      </c>
      <c r="C83" s="905"/>
      <c r="D83" s="905"/>
      <c r="E83" s="905"/>
      <c r="F83" s="905"/>
      <c r="G83" s="905"/>
      <c r="H83" s="906"/>
      <c r="I83" s="34" t="s">
        <v>17</v>
      </c>
      <c r="J83" s="35" t="s">
        <v>18</v>
      </c>
      <c r="K83" s="45"/>
      <c r="L83" s="661"/>
      <c r="O83" s="67"/>
      <c r="P83" s="586"/>
    </row>
    <row r="84" spans="1:25" ht="214.5" customHeight="1" x14ac:dyDescent="0.2">
      <c r="A84" s="45"/>
      <c r="B84" s="538" t="s">
        <v>106</v>
      </c>
      <c r="C84" s="1352" t="s">
        <v>107</v>
      </c>
      <c r="D84" s="1353"/>
      <c r="E84" s="1353"/>
      <c r="F84" s="1353"/>
      <c r="G84" s="1353"/>
      <c r="H84" s="1354"/>
      <c r="I84" s="409">
        <f>+'[2]Datos REG y HIJOS'!$G$33</f>
        <v>50</v>
      </c>
      <c r="J84" s="42">
        <v>1</v>
      </c>
      <c r="K84" s="226" t="s">
        <v>108</v>
      </c>
      <c r="L84" s="183">
        <v>4</v>
      </c>
      <c r="M84" s="181"/>
      <c r="N84" s="182" t="s">
        <v>30</v>
      </c>
      <c r="O84" s="183">
        <v>4</v>
      </c>
      <c r="P84" s="568" t="s">
        <v>20</v>
      </c>
    </row>
    <row r="85" spans="1:25" ht="96" customHeight="1" x14ac:dyDescent="0.2">
      <c r="A85" s="45"/>
      <c r="B85" s="538" t="s">
        <v>109</v>
      </c>
      <c r="C85" s="1958" t="s">
        <v>110</v>
      </c>
      <c r="D85" s="1958"/>
      <c r="E85" s="1958"/>
      <c r="F85" s="1958"/>
      <c r="G85" s="1958"/>
      <c r="H85" s="1958"/>
      <c r="I85" s="409">
        <f>+'[2]Datos REG y HIJOS'!$G$34</f>
        <v>80</v>
      </c>
      <c r="J85" s="42">
        <v>1</v>
      </c>
      <c r="K85" s="226" t="s">
        <v>111</v>
      </c>
      <c r="L85" s="183">
        <v>5</v>
      </c>
      <c r="N85" s="182" t="s">
        <v>30</v>
      </c>
      <c r="O85" s="183">
        <v>5</v>
      </c>
      <c r="P85" s="568" t="s">
        <v>20</v>
      </c>
    </row>
    <row r="86" spans="1:25" ht="60" customHeight="1" x14ac:dyDescent="0.2">
      <c r="A86" s="45"/>
      <c r="B86" s="538" t="s">
        <v>112</v>
      </c>
      <c r="C86" s="1959" t="s">
        <v>113</v>
      </c>
      <c r="D86" s="1960"/>
      <c r="E86" s="1960"/>
      <c r="F86" s="1960"/>
      <c r="G86" s="1960"/>
      <c r="H86" s="1961"/>
      <c r="I86" s="409">
        <f>+'[2]Datos REG y HIJOS'!$G$36</f>
        <v>0</v>
      </c>
      <c r="J86" s="42">
        <v>1</v>
      </c>
      <c r="K86" s="226" t="s">
        <v>114</v>
      </c>
      <c r="L86" s="183">
        <v>6</v>
      </c>
      <c r="N86" s="182" t="s">
        <v>30</v>
      </c>
      <c r="O86" s="183">
        <v>6</v>
      </c>
      <c r="P86" s="568" t="s">
        <v>20</v>
      </c>
    </row>
    <row r="87" spans="1:25" s="24" customFormat="1" x14ac:dyDescent="0.2">
      <c r="B87" s="162"/>
      <c r="C87" s="63"/>
      <c r="D87" s="63"/>
      <c r="E87" s="63"/>
      <c r="F87" s="63"/>
      <c r="G87" s="63"/>
      <c r="H87" s="63"/>
      <c r="I87" s="127"/>
      <c r="J87" s="128"/>
      <c r="K87" s="18"/>
      <c r="L87" s="4"/>
      <c r="M87" s="3"/>
      <c r="N87" s="4"/>
      <c r="O87" s="4"/>
      <c r="P87" s="59"/>
    </row>
    <row r="88" spans="1:25" s="24" customFormat="1" ht="30" customHeight="1" x14ac:dyDescent="0.2">
      <c r="A88" s="4"/>
      <c r="B88" s="1223" t="s">
        <v>115</v>
      </c>
      <c r="C88" s="1223"/>
      <c r="D88" s="1223"/>
      <c r="E88" s="1223"/>
      <c r="F88" s="1223"/>
      <c r="G88" s="1223"/>
      <c r="H88" s="1223"/>
      <c r="I88" s="34" t="s">
        <v>17</v>
      </c>
      <c r="J88" s="35" t="s">
        <v>18</v>
      </c>
      <c r="K88" s="66"/>
      <c r="L88" s="67"/>
      <c r="M88" s="68"/>
      <c r="N88" s="46" t="s">
        <v>30</v>
      </c>
      <c r="O88" s="67"/>
      <c r="P88" s="66"/>
    </row>
    <row r="89" spans="1:25" ht="30" customHeight="1" x14ac:dyDescent="0.2">
      <c r="A89" s="45"/>
      <c r="B89" s="1297" t="s">
        <v>116</v>
      </c>
      <c r="C89" s="1298"/>
      <c r="D89" s="1298"/>
      <c r="E89" s="1298"/>
      <c r="F89" s="1298"/>
      <c r="G89" s="1298"/>
      <c r="H89" s="1298"/>
      <c r="I89" s="1298"/>
      <c r="J89" s="1299"/>
      <c r="K89" s="66"/>
      <c r="L89" s="67"/>
      <c r="O89" s="67"/>
      <c r="R89" s="69"/>
      <c r="U89" s="70"/>
      <c r="V89" s="71"/>
      <c r="W89" s="71"/>
      <c r="X89" s="72"/>
      <c r="Y89" s="69"/>
    </row>
    <row r="90" spans="1:25" ht="30" customHeight="1" x14ac:dyDescent="0.2">
      <c r="A90" s="45"/>
      <c r="B90" s="1268" t="s">
        <v>117</v>
      </c>
      <c r="C90" s="1268"/>
      <c r="D90" s="1268"/>
      <c r="E90" s="1268"/>
      <c r="F90" s="1268"/>
      <c r="G90" s="1268"/>
      <c r="H90" s="1268"/>
      <c r="I90" s="1268"/>
      <c r="J90" s="1268"/>
      <c r="K90" s="66"/>
      <c r="L90" s="67"/>
      <c r="O90" s="67"/>
      <c r="R90" s="69"/>
      <c r="U90" s="70"/>
      <c r="V90" s="71"/>
      <c r="W90" s="71"/>
      <c r="X90" s="72"/>
      <c r="Y90" s="69"/>
    </row>
    <row r="91" spans="1:25" ht="30" customHeight="1" x14ac:dyDescent="0.2">
      <c r="A91" s="45"/>
      <c r="B91" s="1065" t="s">
        <v>118</v>
      </c>
      <c r="C91" s="1065"/>
      <c r="D91" s="1065"/>
      <c r="E91" s="1065"/>
      <c r="F91" s="1065"/>
      <c r="G91" s="1065"/>
      <c r="H91" s="1065"/>
      <c r="I91" s="61">
        <v>0</v>
      </c>
      <c r="J91" s="42">
        <v>1</v>
      </c>
      <c r="K91" s="66"/>
      <c r="L91" s="67"/>
      <c r="O91" s="67"/>
      <c r="R91" s="69"/>
      <c r="U91" s="70"/>
      <c r="V91" s="71"/>
      <c r="W91" s="71"/>
      <c r="X91" s="72"/>
      <c r="Y91" s="69"/>
    </row>
    <row r="92" spans="1:25" ht="30" customHeight="1" x14ac:dyDescent="0.2">
      <c r="A92" s="1268" t="s">
        <v>119</v>
      </c>
      <c r="B92" s="1268"/>
      <c r="C92" s="1268"/>
      <c r="D92" s="1268"/>
      <c r="E92" s="1268"/>
      <c r="F92" s="1268"/>
      <c r="G92" s="1268"/>
      <c r="H92" s="1268"/>
      <c r="I92" s="1268"/>
      <c r="J92" s="1268"/>
      <c r="K92" s="66"/>
      <c r="L92" s="67"/>
      <c r="N92" s="46" t="s">
        <v>30</v>
      </c>
      <c r="O92" s="67"/>
      <c r="R92" s="69"/>
      <c r="U92" s="70"/>
      <c r="V92" s="71"/>
      <c r="W92" s="71"/>
      <c r="X92" s="72"/>
      <c r="Y92" s="69"/>
    </row>
    <row r="93" spans="1:25" ht="75.75" customHeight="1" x14ac:dyDescent="0.2">
      <c r="A93" s="1065" t="s">
        <v>120</v>
      </c>
      <c r="B93" s="1065"/>
      <c r="C93" s="1065"/>
      <c r="D93" s="1065"/>
      <c r="E93" s="1065"/>
      <c r="F93" s="1065"/>
      <c r="G93" s="1065"/>
      <c r="H93" s="1065"/>
      <c r="I93" s="61">
        <v>0</v>
      </c>
      <c r="J93" s="42">
        <v>1</v>
      </c>
      <c r="K93" s="66"/>
      <c r="L93" s="67"/>
      <c r="O93" s="67"/>
      <c r="R93" s="69"/>
      <c r="U93" s="70"/>
      <c r="V93" s="71"/>
      <c r="W93" s="71"/>
      <c r="X93" s="72"/>
      <c r="Y93" s="69"/>
    </row>
    <row r="94" spans="1:25" ht="228.75" customHeight="1" x14ac:dyDescent="0.2">
      <c r="A94" s="73"/>
      <c r="B94" s="1065" t="s">
        <v>121</v>
      </c>
      <c r="C94" s="1065"/>
      <c r="D94" s="1065"/>
      <c r="E94" s="1065"/>
      <c r="F94" s="1065"/>
      <c r="G94" s="1065"/>
      <c r="H94" s="1065"/>
      <c r="I94" s="1065"/>
      <c r="J94" s="1065"/>
      <c r="K94" s="66"/>
      <c r="L94" s="67"/>
      <c r="O94" s="67"/>
      <c r="R94" s="69"/>
      <c r="U94" s="70"/>
      <c r="V94" s="71"/>
      <c r="W94" s="71"/>
      <c r="X94" s="72"/>
      <c r="Y94" s="69"/>
    </row>
    <row r="95" spans="1:25" s="66" customFormat="1" ht="20.100000000000001" customHeight="1" x14ac:dyDescent="0.2">
      <c r="A95" s="183"/>
      <c r="B95" s="616"/>
      <c r="C95" s="346"/>
      <c r="D95" s="346"/>
      <c r="E95" s="346"/>
      <c r="F95" s="346"/>
      <c r="G95" s="346"/>
      <c r="H95" s="346"/>
      <c r="I95" s="660"/>
      <c r="J95" s="142"/>
      <c r="K95" s="45"/>
      <c r="L95" s="661"/>
      <c r="O95" s="67"/>
      <c r="P95" s="586"/>
    </row>
    <row r="96" spans="1:25" s="66" customFormat="1" ht="30" customHeight="1" x14ac:dyDescent="0.2">
      <c r="A96" s="183"/>
      <c r="B96" s="904" t="s">
        <v>122</v>
      </c>
      <c r="C96" s="905"/>
      <c r="D96" s="905"/>
      <c r="E96" s="905"/>
      <c r="F96" s="905"/>
      <c r="G96" s="905"/>
      <c r="H96" s="906"/>
      <c r="I96" s="34" t="s">
        <v>17</v>
      </c>
      <c r="J96" s="35" t="s">
        <v>18</v>
      </c>
      <c r="K96" s="45"/>
      <c r="L96" s="661"/>
      <c r="O96" s="67"/>
      <c r="P96" s="586"/>
    </row>
    <row r="97" spans="1:25" ht="54.95" customHeight="1" x14ac:dyDescent="0.2">
      <c r="A97" s="45"/>
      <c r="B97" s="1835" t="s">
        <v>124</v>
      </c>
      <c r="C97" s="1932" t="s">
        <v>125</v>
      </c>
      <c r="D97" s="1933"/>
      <c r="E97" s="1933"/>
      <c r="F97" s="1933"/>
      <c r="G97" s="1933"/>
      <c r="H97" s="1933"/>
      <c r="I97" s="1933"/>
      <c r="J97" s="1955"/>
      <c r="K97" s="226" t="s">
        <v>123</v>
      </c>
      <c r="L97" s="183">
        <v>50</v>
      </c>
      <c r="N97" s="182" t="s">
        <v>30</v>
      </c>
      <c r="O97" s="183">
        <v>50</v>
      </c>
      <c r="P97" s="568" t="s">
        <v>20</v>
      </c>
    </row>
    <row r="98" spans="1:25" ht="30" customHeight="1" x14ac:dyDescent="0.2">
      <c r="A98" s="45"/>
      <c r="B98" s="1836"/>
      <c r="C98" s="1932" t="s">
        <v>126</v>
      </c>
      <c r="D98" s="1933"/>
      <c r="E98" s="1933"/>
      <c r="F98" s="1933"/>
      <c r="G98" s="1933"/>
      <c r="H98" s="1955"/>
      <c r="I98" s="539">
        <v>70</v>
      </c>
      <c r="J98" s="75" t="s">
        <v>127</v>
      </c>
      <c r="K98" s="226" t="s">
        <v>123</v>
      </c>
      <c r="L98" s="183">
        <v>50</v>
      </c>
      <c r="O98" s="183">
        <v>50</v>
      </c>
      <c r="P98" s="568" t="s">
        <v>20</v>
      </c>
    </row>
    <row r="99" spans="1:25" ht="30" customHeight="1" x14ac:dyDescent="0.2">
      <c r="A99" s="45"/>
      <c r="B99" s="1837"/>
      <c r="C99" s="1932" t="s">
        <v>128</v>
      </c>
      <c r="D99" s="1933"/>
      <c r="E99" s="1933"/>
      <c r="F99" s="1933"/>
      <c r="G99" s="1933"/>
      <c r="H99" s="1955"/>
      <c r="I99" s="539">
        <v>50</v>
      </c>
      <c r="J99" s="75" t="s">
        <v>127</v>
      </c>
      <c r="K99" s="226" t="s">
        <v>123</v>
      </c>
      <c r="L99" s="183">
        <v>50</v>
      </c>
      <c r="O99" s="183">
        <v>50</v>
      </c>
      <c r="P99" s="568" t="s">
        <v>20</v>
      </c>
    </row>
    <row r="100" spans="1:25" s="80" customFormat="1" ht="20.100000000000001" customHeight="1" x14ac:dyDescent="0.2">
      <c r="A100" s="18"/>
      <c r="B100" s="76"/>
      <c r="C100" s="55"/>
      <c r="D100" s="55"/>
      <c r="E100" s="55"/>
      <c r="F100" s="55"/>
      <c r="G100" s="24"/>
      <c r="H100" s="24"/>
      <c r="I100" s="77"/>
      <c r="J100" s="337"/>
      <c r="K100" s="18"/>
      <c r="L100" s="58"/>
      <c r="M100" s="79"/>
      <c r="N100" s="4"/>
      <c r="O100" s="4"/>
      <c r="P100" s="59"/>
      <c r="Q100" s="24"/>
      <c r="R100" s="24"/>
      <c r="S100" s="24"/>
    </row>
    <row r="101" spans="1:25" ht="30" customHeight="1" x14ac:dyDescent="0.2">
      <c r="A101" s="45"/>
      <c r="B101" s="904" t="s">
        <v>129</v>
      </c>
      <c r="C101" s="1288"/>
      <c r="D101" s="1288"/>
      <c r="E101" s="1288"/>
      <c r="F101" s="1288"/>
      <c r="G101" s="1288"/>
      <c r="H101" s="1289"/>
      <c r="I101" s="34" t="s">
        <v>130</v>
      </c>
      <c r="J101" s="35" t="s">
        <v>18</v>
      </c>
      <c r="K101" s="66"/>
      <c r="L101" s="67"/>
      <c r="N101" s="46" t="s">
        <v>30</v>
      </c>
      <c r="O101" s="67"/>
    </row>
    <row r="102" spans="1:25" ht="34.5" customHeight="1" x14ac:dyDescent="0.2">
      <c r="A102" s="45"/>
      <c r="B102" s="1217" t="s">
        <v>131</v>
      </c>
      <c r="C102" s="1016"/>
      <c r="D102" s="1016"/>
      <c r="E102" s="1016"/>
      <c r="F102" s="1016"/>
      <c r="G102" s="1016"/>
      <c r="H102" s="1016"/>
      <c r="I102" s="902"/>
      <c r="J102" s="903"/>
      <c r="K102" s="66"/>
      <c r="L102" s="67"/>
      <c r="O102" s="67"/>
    </row>
    <row r="103" spans="1:25" ht="34.5" customHeight="1" x14ac:dyDescent="0.2">
      <c r="A103" s="45"/>
      <c r="B103" s="1120" t="s">
        <v>132</v>
      </c>
      <c r="C103" s="1217" t="s">
        <v>133</v>
      </c>
      <c r="D103" s="1016"/>
      <c r="E103" s="1016" t="s">
        <v>134</v>
      </c>
      <c r="F103" s="1016"/>
      <c r="G103" s="1016" t="s">
        <v>135</v>
      </c>
      <c r="H103" s="1125"/>
      <c r="I103" s="2081">
        <v>0</v>
      </c>
      <c r="J103" s="962">
        <v>0.75</v>
      </c>
      <c r="K103" s="66"/>
      <c r="L103" s="67"/>
      <c r="O103" s="67"/>
    </row>
    <row r="104" spans="1:25" ht="30" customHeight="1" x14ac:dyDescent="0.2">
      <c r="A104" s="45"/>
      <c r="B104" s="1122"/>
      <c r="C104" s="81" t="s">
        <v>92</v>
      </c>
      <c r="D104" s="82"/>
      <c r="E104" s="1034" t="s">
        <v>136</v>
      </c>
      <c r="F104" s="1034"/>
      <c r="G104" s="82" t="s">
        <v>80</v>
      </c>
      <c r="H104" s="83"/>
      <c r="I104" s="2082"/>
      <c r="J104" s="964"/>
      <c r="K104" s="66"/>
      <c r="L104" s="67"/>
      <c r="O104" s="67"/>
      <c r="R104" s="69"/>
      <c r="U104" s="84"/>
      <c r="V104" s="84"/>
      <c r="W104" s="71"/>
      <c r="X104" s="72"/>
      <c r="Y104" s="69"/>
    </row>
    <row r="105" spans="1:25" ht="30" customHeight="1" x14ac:dyDescent="0.2">
      <c r="A105" s="45"/>
      <c r="B105" s="1120" t="s">
        <v>137</v>
      </c>
      <c r="C105" s="1217" t="s">
        <v>138</v>
      </c>
      <c r="D105" s="1016"/>
      <c r="E105" s="1016" t="s">
        <v>139</v>
      </c>
      <c r="F105" s="1016"/>
      <c r="G105" s="1016" t="s">
        <v>140</v>
      </c>
      <c r="H105" s="1125"/>
      <c r="I105" s="1281">
        <v>0</v>
      </c>
      <c r="J105" s="962">
        <v>0.7</v>
      </c>
      <c r="K105" s="66"/>
      <c r="L105" s="67"/>
      <c r="N105" s="46" t="s">
        <v>30</v>
      </c>
      <c r="O105" s="67"/>
      <c r="R105" s="69"/>
      <c r="U105" s="70"/>
      <c r="V105" s="71"/>
      <c r="W105" s="71"/>
      <c r="X105" s="72"/>
      <c r="Y105" s="69"/>
    </row>
    <row r="106" spans="1:25" ht="45" customHeight="1" x14ac:dyDescent="0.2">
      <c r="A106" s="45"/>
      <c r="B106" s="1122"/>
      <c r="C106" s="1116" t="s">
        <v>141</v>
      </c>
      <c r="D106" s="1034"/>
      <c r="E106" s="1034"/>
      <c r="F106" s="1034"/>
      <c r="G106" s="1034"/>
      <c r="H106" s="1035"/>
      <c r="I106" s="1282"/>
      <c r="J106" s="964"/>
      <c r="K106" s="66"/>
      <c r="L106" s="67"/>
      <c r="N106" s="68"/>
      <c r="O106" s="67"/>
      <c r="R106" s="69"/>
      <c r="U106" s="70"/>
      <c r="V106" s="71"/>
      <c r="W106" s="71"/>
      <c r="X106" s="72"/>
      <c r="Y106" s="69"/>
    </row>
    <row r="107" spans="1:25" s="24" customFormat="1" ht="35.25" customHeight="1" x14ac:dyDescent="0.2">
      <c r="A107" s="23"/>
      <c r="B107" s="1120" t="s">
        <v>605</v>
      </c>
      <c r="C107" s="1410" t="s">
        <v>592</v>
      </c>
      <c r="D107" s="1411"/>
      <c r="E107" s="1412" t="s">
        <v>606</v>
      </c>
      <c r="F107" s="1492"/>
      <c r="G107" s="331"/>
      <c r="H107" s="332"/>
      <c r="I107" s="1490">
        <v>0</v>
      </c>
      <c r="J107" s="962">
        <v>0.6</v>
      </c>
      <c r="K107" s="18"/>
      <c r="L107" s="58"/>
      <c r="M107" s="23"/>
      <c r="N107" s="46" t="s">
        <v>30</v>
      </c>
      <c r="O107" s="4"/>
      <c r="P107" s="59"/>
    </row>
    <row r="108" spans="1:25" s="24" customFormat="1" ht="30" customHeight="1" x14ac:dyDescent="0.2">
      <c r="A108" s="23"/>
      <c r="B108" s="1122"/>
      <c r="C108" s="130" t="s">
        <v>607</v>
      </c>
      <c r="D108" s="333"/>
      <c r="E108" s="333"/>
      <c r="F108" s="333"/>
      <c r="G108" s="333"/>
      <c r="H108" s="334"/>
      <c r="I108" s="1491"/>
      <c r="J108" s="964"/>
      <c r="K108" s="18"/>
      <c r="L108" s="58"/>
      <c r="M108" s="23"/>
      <c r="N108"/>
      <c r="O108" s="4"/>
      <c r="P108" s="59"/>
    </row>
    <row r="109" spans="1:25" s="24" customFormat="1" ht="50.1" customHeight="1" x14ac:dyDescent="0.2">
      <c r="B109" s="96" t="s">
        <v>608</v>
      </c>
      <c r="C109" s="1063" t="s">
        <v>609</v>
      </c>
      <c r="D109" s="1063"/>
      <c r="E109" s="1063"/>
      <c r="F109" s="1063"/>
      <c r="G109" s="1063"/>
      <c r="H109" s="1063"/>
      <c r="I109" s="335">
        <v>0</v>
      </c>
      <c r="J109" s="75">
        <v>0.7</v>
      </c>
      <c r="K109" s="18"/>
      <c r="L109" s="4"/>
      <c r="M109" s="3"/>
      <c r="N109" s="46" t="s">
        <v>30</v>
      </c>
      <c r="O109" s="4"/>
      <c r="P109" s="59"/>
    </row>
    <row r="110" spans="1:25" s="18" customFormat="1" ht="50.1" customHeight="1" x14ac:dyDescent="0.2">
      <c r="A110" s="4"/>
      <c r="B110" s="96" t="s">
        <v>771</v>
      </c>
      <c r="C110" s="1063" t="s">
        <v>609</v>
      </c>
      <c r="D110" s="1063"/>
      <c r="E110" s="1063"/>
      <c r="F110" s="1063"/>
      <c r="G110" s="1063"/>
      <c r="H110" s="1063"/>
      <c r="I110" s="335">
        <v>0</v>
      </c>
      <c r="J110" s="75">
        <v>0.6</v>
      </c>
      <c r="L110" s="58"/>
      <c r="N110" s="46" t="s">
        <v>30</v>
      </c>
      <c r="O110" s="4"/>
      <c r="P110" s="59"/>
    </row>
    <row r="111" spans="1:25" ht="20.100000000000001" customHeight="1" x14ac:dyDescent="0.2">
      <c r="A111" s="45"/>
      <c r="B111" s="76"/>
      <c r="C111" s="85"/>
      <c r="D111" s="85"/>
      <c r="E111" s="85"/>
      <c r="F111" s="85"/>
      <c r="G111" s="85"/>
      <c r="H111" s="86"/>
      <c r="I111" s="87"/>
      <c r="J111" s="337"/>
      <c r="K111" s="66"/>
      <c r="L111" s="67"/>
      <c r="O111" s="67"/>
      <c r="R111" s="69"/>
      <c r="U111" s="70"/>
      <c r="V111" s="71"/>
      <c r="W111" s="71"/>
      <c r="X111" s="72"/>
      <c r="Y111" s="69"/>
    </row>
    <row r="112" spans="1:25" ht="30" customHeight="1" x14ac:dyDescent="0.2">
      <c r="A112" s="45"/>
      <c r="B112" s="1159" t="s">
        <v>142</v>
      </c>
      <c r="C112" s="1274"/>
      <c r="D112" s="1274"/>
      <c r="E112" s="1274"/>
      <c r="F112" s="1274"/>
      <c r="G112" s="1274"/>
      <c r="H112" s="1275"/>
      <c r="I112" s="88" t="s">
        <v>130</v>
      </c>
      <c r="J112" s="836" t="s">
        <v>18</v>
      </c>
      <c r="K112" s="66"/>
      <c r="L112" s="67"/>
      <c r="N112" s="46" t="s">
        <v>30</v>
      </c>
      <c r="O112" s="67"/>
      <c r="R112" s="69"/>
      <c r="U112" s="70"/>
      <c r="V112" s="71"/>
      <c r="W112" s="71"/>
      <c r="X112" s="72"/>
      <c r="Y112" s="69"/>
    </row>
    <row r="113" spans="1:25" ht="30" customHeight="1" x14ac:dyDescent="0.2">
      <c r="A113" s="45"/>
      <c r="B113" s="2079" t="s">
        <v>143</v>
      </c>
      <c r="C113" s="1298"/>
      <c r="D113" s="1298"/>
      <c r="E113" s="1298"/>
      <c r="F113" s="1298"/>
      <c r="G113" s="1298"/>
      <c r="H113" s="1298"/>
      <c r="I113" s="1298"/>
      <c r="J113" s="2080"/>
      <c r="K113" s="66"/>
      <c r="L113" s="67"/>
      <c r="O113" s="67"/>
      <c r="R113" s="69"/>
      <c r="U113" s="70"/>
      <c r="V113" s="71"/>
      <c r="W113" s="71"/>
      <c r="X113" s="72"/>
      <c r="Y113" s="69"/>
    </row>
    <row r="114" spans="1:25" ht="30" customHeight="1" x14ac:dyDescent="0.2">
      <c r="A114" s="45"/>
      <c r="B114" s="1120" t="s">
        <v>144</v>
      </c>
      <c r="C114" s="1217" t="s">
        <v>133</v>
      </c>
      <c r="D114" s="1016"/>
      <c r="E114" s="1016" t="s">
        <v>134</v>
      </c>
      <c r="F114" s="1016"/>
      <c r="G114" s="1016" t="s">
        <v>135</v>
      </c>
      <c r="H114" s="1125"/>
      <c r="I114" s="1042">
        <v>0</v>
      </c>
      <c r="J114" s="1469">
        <v>0.8</v>
      </c>
      <c r="K114" s="66"/>
      <c r="L114" s="67"/>
      <c r="O114" s="67"/>
      <c r="R114" s="69"/>
      <c r="U114" s="70"/>
      <c r="V114" s="71"/>
      <c r="W114" s="71"/>
      <c r="X114" s="72"/>
      <c r="Y114" s="69"/>
    </row>
    <row r="115" spans="1:25" ht="30" customHeight="1" x14ac:dyDescent="0.2">
      <c r="A115" s="45"/>
      <c r="B115" s="1122"/>
      <c r="C115" s="1116" t="s">
        <v>136</v>
      </c>
      <c r="D115" s="1034"/>
      <c r="E115" s="82" t="s">
        <v>80</v>
      </c>
      <c r="F115" s="90"/>
      <c r="G115" s="90"/>
      <c r="H115" s="91"/>
      <c r="I115" s="1044"/>
      <c r="J115" s="1470"/>
      <c r="K115" s="66"/>
      <c r="L115" s="67"/>
      <c r="O115" s="67"/>
      <c r="R115" s="69"/>
      <c r="U115" s="70"/>
      <c r="V115" s="71"/>
      <c r="W115" s="71"/>
      <c r="X115" s="72"/>
      <c r="Y115" s="69"/>
    </row>
    <row r="116" spans="1:25" s="24" customFormat="1" ht="39.950000000000003" customHeight="1" x14ac:dyDescent="0.2">
      <c r="A116" s="23"/>
      <c r="B116" s="1120" t="s">
        <v>71</v>
      </c>
      <c r="C116" s="2033" t="s">
        <v>611</v>
      </c>
      <c r="D116" s="2032"/>
      <c r="E116" s="890" t="s">
        <v>612</v>
      </c>
      <c r="F116" s="2076"/>
      <c r="G116" s="2077"/>
      <c r="H116" s="2078"/>
      <c r="I116" s="1490">
        <v>0</v>
      </c>
      <c r="J116" s="1469">
        <v>0.7</v>
      </c>
      <c r="K116" s="18"/>
      <c r="L116" s="58"/>
      <c r="M116" s="23"/>
      <c r="N116" s="46" t="s">
        <v>30</v>
      </c>
      <c r="O116" s="4"/>
      <c r="P116" s="59"/>
    </row>
    <row r="117" spans="1:25" s="24" customFormat="1" ht="30" customHeight="1" x14ac:dyDescent="0.2">
      <c r="A117" s="23"/>
      <c r="B117" s="1121"/>
      <c r="C117" s="1133" t="s">
        <v>514</v>
      </c>
      <c r="D117" s="1132"/>
      <c r="E117" s="1132"/>
      <c r="F117" s="1132"/>
      <c r="G117" s="1132"/>
      <c r="H117" s="1134"/>
      <c r="I117" s="1495"/>
      <c r="J117" s="1496"/>
      <c r="K117" s="18"/>
      <c r="L117" s="58"/>
      <c r="M117" s="23"/>
      <c r="N117" s="4"/>
      <c r="O117" s="4"/>
      <c r="P117" s="59"/>
    </row>
    <row r="118" spans="1:25" s="24" customFormat="1" ht="30" customHeight="1" x14ac:dyDescent="0.2">
      <c r="A118" s="23"/>
      <c r="B118" s="1122"/>
      <c r="C118" s="1483" t="s">
        <v>613</v>
      </c>
      <c r="D118" s="1484"/>
      <c r="E118" s="1484"/>
      <c r="F118" s="1484"/>
      <c r="G118" s="1484"/>
      <c r="H118" s="1485"/>
      <c r="I118" s="1491"/>
      <c r="J118" s="1470"/>
      <c r="K118" s="18"/>
      <c r="L118" s="58"/>
      <c r="M118" s="23"/>
      <c r="N118" s="4"/>
      <c r="O118" s="4"/>
      <c r="P118" s="59"/>
    </row>
    <row r="119" spans="1:25" s="24" customFormat="1" ht="50.1" customHeight="1" x14ac:dyDescent="0.2">
      <c r="A119" s="23"/>
      <c r="B119" s="338" t="s">
        <v>608</v>
      </c>
      <c r="C119" s="1486" t="s">
        <v>614</v>
      </c>
      <c r="D119" s="1486"/>
      <c r="E119" s="1486"/>
      <c r="F119" s="1486"/>
      <c r="G119" s="1486"/>
      <c r="H119" s="1486"/>
      <c r="I119" s="339">
        <v>0</v>
      </c>
      <c r="J119" s="340">
        <v>0.7</v>
      </c>
      <c r="K119" s="18"/>
      <c r="L119" s="58"/>
      <c r="M119" s="23"/>
      <c r="N119" s="46" t="s">
        <v>30</v>
      </c>
      <c r="O119" s="4"/>
      <c r="P119" s="59"/>
    </row>
    <row r="120" spans="1:25" s="18" customFormat="1" ht="50.1" customHeight="1" x14ac:dyDescent="0.2">
      <c r="A120" s="4"/>
      <c r="B120" s="96" t="s">
        <v>771</v>
      </c>
      <c r="C120" s="1063" t="s">
        <v>614</v>
      </c>
      <c r="D120" s="1063"/>
      <c r="E120" s="1063"/>
      <c r="F120" s="1063"/>
      <c r="G120" s="1063"/>
      <c r="H120" s="1063"/>
      <c r="I120" s="335">
        <v>0</v>
      </c>
      <c r="J120" s="75">
        <v>0.6</v>
      </c>
      <c r="L120" s="58"/>
      <c r="O120" s="4"/>
      <c r="P120" s="59"/>
    </row>
    <row r="121" spans="1:25" ht="20.100000000000001" customHeight="1" x14ac:dyDescent="0.2">
      <c r="A121" s="45"/>
      <c r="B121" s="583"/>
      <c r="C121" s="584"/>
      <c r="D121" s="584"/>
      <c r="E121" s="584"/>
      <c r="F121" s="584"/>
      <c r="G121" s="584"/>
      <c r="H121" s="584"/>
      <c r="I121" s="585"/>
      <c r="J121" s="78"/>
      <c r="K121" s="66"/>
      <c r="L121" s="67"/>
      <c r="O121" s="67"/>
      <c r="P121" s="586"/>
    </row>
    <row r="122" spans="1:25" ht="30" customHeight="1" x14ac:dyDescent="0.2">
      <c r="A122" s="45"/>
      <c r="B122" s="1662" t="s">
        <v>145</v>
      </c>
      <c r="C122" s="1956"/>
      <c r="D122" s="1956"/>
      <c r="E122" s="1956"/>
      <c r="F122" s="1956"/>
      <c r="G122" s="1956"/>
      <c r="H122" s="1957"/>
      <c r="I122" s="406" t="s">
        <v>17</v>
      </c>
      <c r="J122" s="35" t="s">
        <v>18</v>
      </c>
      <c r="K122" s="66"/>
      <c r="L122" s="67"/>
      <c r="O122" s="67"/>
      <c r="P122" s="586"/>
    </row>
    <row r="123" spans="1:25" ht="36.75" customHeight="1" x14ac:dyDescent="0.2">
      <c r="A123" s="45"/>
      <c r="B123" s="1835" t="s">
        <v>26</v>
      </c>
      <c r="C123" s="1944" t="s">
        <v>146</v>
      </c>
      <c r="D123" s="1945"/>
      <c r="E123" s="1945" t="s">
        <v>147</v>
      </c>
      <c r="F123" s="1945"/>
      <c r="G123" s="1945" t="s">
        <v>90</v>
      </c>
      <c r="H123" s="1946"/>
      <c r="I123" s="1949">
        <v>0</v>
      </c>
      <c r="J123" s="962">
        <v>0.9</v>
      </c>
      <c r="K123" s="66"/>
      <c r="L123" s="67"/>
      <c r="O123" s="67"/>
      <c r="P123" s="586"/>
    </row>
    <row r="124" spans="1:25" ht="30" customHeight="1" x14ac:dyDescent="0.2">
      <c r="A124" s="45"/>
      <c r="B124" s="1837"/>
      <c r="C124" s="1938" t="s">
        <v>74</v>
      </c>
      <c r="D124" s="1939"/>
      <c r="E124" s="1180"/>
      <c r="F124" s="1180"/>
      <c r="G124" s="584"/>
      <c r="H124" s="590"/>
      <c r="I124" s="1950"/>
      <c r="J124" s="964"/>
      <c r="K124" s="66"/>
      <c r="L124" s="67"/>
      <c r="O124" s="67"/>
      <c r="P124" s="586"/>
    </row>
    <row r="125" spans="1:25" ht="31.5" customHeight="1" x14ac:dyDescent="0.2">
      <c r="A125" s="45"/>
      <c r="B125" s="1827" t="s">
        <v>71</v>
      </c>
      <c r="C125" s="1944" t="s">
        <v>134</v>
      </c>
      <c r="D125" s="1945"/>
      <c r="E125" s="1945" t="s">
        <v>92</v>
      </c>
      <c r="F125" s="1945"/>
      <c r="G125" s="1945" t="s">
        <v>78</v>
      </c>
      <c r="H125" s="1946"/>
      <c r="I125" s="1765">
        <v>0</v>
      </c>
      <c r="J125" s="962">
        <v>0.85</v>
      </c>
      <c r="K125" s="66"/>
      <c r="L125" s="67"/>
      <c r="O125" s="67"/>
      <c r="P125" s="586"/>
    </row>
    <row r="126" spans="1:25" ht="31.5" customHeight="1" x14ac:dyDescent="0.2">
      <c r="A126" s="45"/>
      <c r="B126" s="1828"/>
      <c r="C126" s="1929" t="s">
        <v>148</v>
      </c>
      <c r="D126" s="1930"/>
      <c r="E126" s="1930" t="s">
        <v>149</v>
      </c>
      <c r="F126" s="1930"/>
      <c r="G126" s="1930" t="s">
        <v>150</v>
      </c>
      <c r="H126" s="1931"/>
      <c r="I126" s="1766"/>
      <c r="J126" s="963"/>
      <c r="K126" s="66"/>
      <c r="L126" s="67"/>
      <c r="O126" s="67"/>
      <c r="P126" s="586"/>
    </row>
    <row r="127" spans="1:25" s="66" customFormat="1" ht="30" customHeight="1" x14ac:dyDescent="0.2">
      <c r="A127" s="149"/>
      <c r="B127" s="1827" t="s">
        <v>87</v>
      </c>
      <c r="C127" s="1938" t="s">
        <v>215</v>
      </c>
      <c r="D127" s="2044"/>
      <c r="E127" s="1939" t="s">
        <v>592</v>
      </c>
      <c r="F127" s="1939"/>
      <c r="G127" s="1939" t="s">
        <v>593</v>
      </c>
      <c r="H127" s="2045"/>
      <c r="I127" s="1949">
        <v>0</v>
      </c>
      <c r="J127" s="1951">
        <v>0.7</v>
      </c>
      <c r="M127" s="67"/>
    </row>
    <row r="128" spans="1:25" s="66" customFormat="1" ht="30" customHeight="1" x14ac:dyDescent="0.2">
      <c r="A128" s="149"/>
      <c r="B128" s="1829"/>
      <c r="C128" s="1929" t="s">
        <v>669</v>
      </c>
      <c r="D128" s="1953"/>
      <c r="E128" s="1388" t="s">
        <v>586</v>
      </c>
      <c r="F128" s="1388"/>
      <c r="G128" s="1930"/>
      <c r="H128" s="1954"/>
      <c r="I128" s="1950"/>
      <c r="J128" s="1952"/>
      <c r="M128" s="67"/>
    </row>
    <row r="129" spans="1:16" ht="20.100000000000001" customHeight="1" x14ac:dyDescent="0.2">
      <c r="A129" s="45"/>
      <c r="B129" s="591"/>
      <c r="C129" s="592"/>
      <c r="D129" s="592"/>
      <c r="E129" s="592"/>
      <c r="F129" s="592"/>
      <c r="G129" s="592"/>
      <c r="H129" s="592"/>
      <c r="I129" s="593"/>
      <c r="J129" s="65"/>
    </row>
    <row r="130" spans="1:16" ht="30" customHeight="1" x14ac:dyDescent="0.2">
      <c r="A130" s="45"/>
      <c r="B130" s="1662" t="s">
        <v>155</v>
      </c>
      <c r="C130" s="1663"/>
      <c r="D130" s="1663"/>
      <c r="E130" s="1663"/>
      <c r="F130" s="1663"/>
      <c r="G130" s="1663"/>
      <c r="H130" s="1664"/>
      <c r="I130" s="406" t="s">
        <v>17</v>
      </c>
      <c r="J130" s="35" t="s">
        <v>18</v>
      </c>
      <c r="K130" s="226" t="s">
        <v>156</v>
      </c>
      <c r="L130" s="183">
        <v>7</v>
      </c>
      <c r="N130" s="182" t="s">
        <v>30</v>
      </c>
      <c r="O130" s="183">
        <v>7</v>
      </c>
      <c r="P130" s="568" t="s">
        <v>157</v>
      </c>
    </row>
    <row r="131" spans="1:16" ht="36" customHeight="1" x14ac:dyDescent="0.2">
      <c r="B131" s="1913" t="s">
        <v>21</v>
      </c>
      <c r="C131" s="1913"/>
      <c r="D131" s="1913"/>
      <c r="E131" s="1913"/>
      <c r="F131" s="1913"/>
      <c r="G131" s="1913"/>
      <c r="H131" s="1913"/>
      <c r="I131" s="1913"/>
      <c r="J131" s="1913"/>
      <c r="L131" s="594"/>
      <c r="O131" s="183">
        <v>7</v>
      </c>
      <c r="P131" s="568" t="s">
        <v>157</v>
      </c>
    </row>
    <row r="132" spans="1:16" ht="78" customHeight="1" x14ac:dyDescent="0.2">
      <c r="A132" s="595"/>
      <c r="B132" s="1166" t="s">
        <v>819</v>
      </c>
      <c r="C132" s="933"/>
      <c r="D132" s="933"/>
      <c r="E132" s="933"/>
      <c r="F132" s="933"/>
      <c r="G132" s="933"/>
      <c r="H132" s="933"/>
      <c r="I132" s="1167"/>
      <c r="J132" s="1168"/>
      <c r="K132" s="596" t="s">
        <v>160</v>
      </c>
      <c r="L132" s="597" t="s">
        <v>161</v>
      </c>
      <c r="O132" s="183">
        <v>7</v>
      </c>
      <c r="P132" s="568" t="s">
        <v>157</v>
      </c>
    </row>
    <row r="133" spans="1:16" ht="34.5" customHeight="1" x14ac:dyDescent="0.2">
      <c r="B133" s="1718" t="s">
        <v>162</v>
      </c>
      <c r="C133" s="1944" t="s">
        <v>29</v>
      </c>
      <c r="D133" s="1945"/>
      <c r="E133" s="1945" t="s">
        <v>94</v>
      </c>
      <c r="F133" s="1945"/>
      <c r="G133" s="1945" t="s">
        <v>163</v>
      </c>
      <c r="H133" s="1946"/>
      <c r="I133" s="1922">
        <f>+'[2]Datos REG y HIJOS'!$D$31</f>
        <v>20</v>
      </c>
      <c r="J133" s="915">
        <f>+'[2]Datos REG y HIJOS'!$E$31</f>
        <v>0.9</v>
      </c>
      <c r="K133" s="596" t="s">
        <v>160</v>
      </c>
      <c r="L133" s="597" t="s">
        <v>161</v>
      </c>
      <c r="M133" s="598"/>
      <c r="O133" s="183">
        <v>7</v>
      </c>
      <c r="P133" s="568" t="s">
        <v>157</v>
      </c>
    </row>
    <row r="134" spans="1:16" ht="39.950000000000003" customHeight="1" x14ac:dyDescent="0.2">
      <c r="B134" s="1891"/>
      <c r="C134" s="1938" t="s">
        <v>135</v>
      </c>
      <c r="D134" s="1939"/>
      <c r="E134" s="1939" t="s">
        <v>133</v>
      </c>
      <c r="F134" s="1939"/>
      <c r="G134" s="1779" t="s">
        <v>136</v>
      </c>
      <c r="H134" s="2075"/>
      <c r="I134" s="1923"/>
      <c r="J134" s="1045"/>
      <c r="K134" s="596" t="s">
        <v>160</v>
      </c>
      <c r="L134" s="597" t="s">
        <v>161</v>
      </c>
      <c r="M134" s="598"/>
      <c r="O134" s="183">
        <v>7</v>
      </c>
      <c r="P134" s="568" t="s">
        <v>157</v>
      </c>
    </row>
    <row r="135" spans="1:16" ht="30" customHeight="1" x14ac:dyDescent="0.2">
      <c r="B135" s="1719"/>
      <c r="C135" s="1941" t="s">
        <v>164</v>
      </c>
      <c r="D135" s="1942"/>
      <c r="E135" s="1265" t="s">
        <v>165</v>
      </c>
      <c r="F135" s="1265"/>
      <c r="G135" s="102" t="s">
        <v>166</v>
      </c>
      <c r="H135" s="103"/>
      <c r="I135" s="1924"/>
      <c r="J135" s="916"/>
      <c r="K135" s="596" t="s">
        <v>160</v>
      </c>
      <c r="L135" s="597" t="s">
        <v>161</v>
      </c>
      <c r="M135" s="598"/>
      <c r="O135" s="183">
        <v>7</v>
      </c>
      <c r="P135" s="568" t="s">
        <v>157</v>
      </c>
    </row>
    <row r="136" spans="1:16" ht="39.950000000000003" customHeight="1" x14ac:dyDescent="0.2">
      <c r="A136" s="599"/>
      <c r="B136" s="1720" t="s">
        <v>168</v>
      </c>
      <c r="C136" s="1938" t="s">
        <v>27</v>
      </c>
      <c r="D136" s="1939"/>
      <c r="E136" s="1939" t="s">
        <v>169</v>
      </c>
      <c r="F136" s="1939"/>
      <c r="G136" s="1939" t="s">
        <v>170</v>
      </c>
      <c r="H136" s="1940"/>
      <c r="I136" s="1922">
        <f>+'[2]Datos REG y HIJOS'!$D$32</f>
        <v>20</v>
      </c>
      <c r="J136" s="1255">
        <f>+'[2]Datos REG y HIJOS'!$E$32</f>
        <v>0.9</v>
      </c>
      <c r="K136" s="596" t="s">
        <v>171</v>
      </c>
      <c r="L136" s="597" t="s">
        <v>161</v>
      </c>
      <c r="M136" s="598"/>
      <c r="N136" s="182" t="s">
        <v>30</v>
      </c>
      <c r="O136" s="183">
        <v>7</v>
      </c>
      <c r="P136" s="568" t="s">
        <v>157</v>
      </c>
    </row>
    <row r="137" spans="1:16" ht="38.25" customHeight="1" x14ac:dyDescent="0.2">
      <c r="A137" s="599"/>
      <c r="B137" s="1943"/>
      <c r="C137" s="1938" t="s">
        <v>172</v>
      </c>
      <c r="D137" s="1939"/>
      <c r="E137" s="1939" t="s">
        <v>173</v>
      </c>
      <c r="F137" s="1939"/>
      <c r="G137" s="1939" t="s">
        <v>174</v>
      </c>
      <c r="H137" s="1940"/>
      <c r="I137" s="1923"/>
      <c r="J137" s="1256"/>
      <c r="K137" s="596" t="s">
        <v>171</v>
      </c>
      <c r="L137" s="597" t="s">
        <v>161</v>
      </c>
      <c r="M137" s="598"/>
      <c r="O137" s="183">
        <v>7</v>
      </c>
      <c r="P137" s="568" t="s">
        <v>157</v>
      </c>
    </row>
    <row r="138" spans="1:16" ht="39.950000000000003" customHeight="1" x14ac:dyDescent="0.2">
      <c r="A138" s="599"/>
      <c r="B138" s="1943"/>
      <c r="C138" s="1938" t="s">
        <v>175</v>
      </c>
      <c r="D138" s="1939"/>
      <c r="E138" s="1939" t="s">
        <v>176</v>
      </c>
      <c r="F138" s="1939"/>
      <c r="G138" s="1258" t="s">
        <v>81</v>
      </c>
      <c r="H138" s="1259"/>
      <c r="I138" s="1923"/>
      <c r="J138" s="1256"/>
      <c r="K138" s="596" t="s">
        <v>171</v>
      </c>
      <c r="L138" s="597" t="s">
        <v>161</v>
      </c>
      <c r="M138" s="598"/>
      <c r="O138" s="183">
        <v>7</v>
      </c>
      <c r="P138" s="568" t="s">
        <v>157</v>
      </c>
    </row>
    <row r="139" spans="1:16" ht="30" customHeight="1" x14ac:dyDescent="0.2">
      <c r="A139" s="599"/>
      <c r="B139" s="1943"/>
      <c r="C139" s="1938" t="s">
        <v>82</v>
      </c>
      <c r="D139" s="1939"/>
      <c r="E139" s="1939" t="s">
        <v>177</v>
      </c>
      <c r="F139" s="1939"/>
      <c r="G139" s="1180" t="s">
        <v>84</v>
      </c>
      <c r="H139" s="1227"/>
      <c r="I139" s="1923"/>
      <c r="J139" s="1256"/>
      <c r="K139" s="596" t="s">
        <v>171</v>
      </c>
      <c r="L139" s="597" t="s">
        <v>161</v>
      </c>
      <c r="M139" s="598"/>
      <c r="O139" s="183">
        <v>7</v>
      </c>
      <c r="P139" s="568" t="s">
        <v>157</v>
      </c>
    </row>
    <row r="140" spans="1:16" ht="36.75" customHeight="1" x14ac:dyDescent="0.2">
      <c r="A140" s="572" t="s">
        <v>69</v>
      </c>
      <c r="B140" s="1721"/>
      <c r="C140" s="1929" t="s">
        <v>178</v>
      </c>
      <c r="D140" s="1930"/>
      <c r="E140" s="1930"/>
      <c r="F140" s="1930"/>
      <c r="G140" s="1930"/>
      <c r="H140" s="1931"/>
      <c r="I140" s="1924"/>
      <c r="J140" s="1578"/>
      <c r="K140" s="596" t="s">
        <v>171</v>
      </c>
      <c r="L140" s="597" t="s">
        <v>161</v>
      </c>
      <c r="M140" s="598"/>
      <c r="O140" s="183">
        <v>7</v>
      </c>
      <c r="P140" s="568" t="s">
        <v>157</v>
      </c>
    </row>
    <row r="141" spans="1:16" ht="78.75" customHeight="1" x14ac:dyDescent="0.2">
      <c r="A141" s="572"/>
      <c r="B141" s="471" t="s">
        <v>179</v>
      </c>
      <c r="C141" s="1932" t="s">
        <v>180</v>
      </c>
      <c r="D141" s="1933"/>
      <c r="E141" s="1933" t="s">
        <v>181</v>
      </c>
      <c r="F141" s="1933"/>
      <c r="G141" s="601"/>
      <c r="H141" s="602"/>
      <c r="I141" s="837">
        <v>60</v>
      </c>
      <c r="J141" s="42">
        <v>0.7</v>
      </c>
      <c r="K141" s="597" t="s">
        <v>182</v>
      </c>
      <c r="L141" s="606" t="s">
        <v>618</v>
      </c>
      <c r="M141" s="67"/>
      <c r="N141" s="182" t="s">
        <v>30</v>
      </c>
      <c r="O141" s="183">
        <v>7</v>
      </c>
      <c r="P141" s="568" t="s">
        <v>157</v>
      </c>
    </row>
    <row r="142" spans="1:16" s="66" customFormat="1" ht="54.95" customHeight="1" x14ac:dyDescent="0.2">
      <c r="A142" s="572"/>
      <c r="B142" s="533" t="s">
        <v>898</v>
      </c>
      <c r="C142" s="1934" t="s">
        <v>616</v>
      </c>
      <c r="D142" s="1935"/>
      <c r="E142" s="1935"/>
      <c r="F142" s="1935"/>
      <c r="G142" s="1935"/>
      <c r="H142" s="1936"/>
      <c r="I142" s="837">
        <f>+'[2]Datos REG y HIJOS'!$D$33</f>
        <v>50</v>
      </c>
      <c r="J142" s="42">
        <f>'[2]Datos REG y HIJOS'!$E$33</f>
        <v>0.8</v>
      </c>
      <c r="K142" s="597" t="s">
        <v>617</v>
      </c>
      <c r="L142" s="606" t="s">
        <v>618</v>
      </c>
      <c r="M142" s="67"/>
      <c r="N142" s="182" t="s">
        <v>30</v>
      </c>
      <c r="O142" s="183">
        <v>7</v>
      </c>
      <c r="P142" s="568" t="s">
        <v>157</v>
      </c>
    </row>
    <row r="143" spans="1:16" s="66" customFormat="1" ht="54.95" customHeight="1" x14ac:dyDescent="0.2">
      <c r="A143" s="572"/>
      <c r="B143" s="105" t="s">
        <v>615</v>
      </c>
      <c r="C143" s="1937" t="s">
        <v>773</v>
      </c>
      <c r="D143" s="1786"/>
      <c r="E143" s="1786"/>
      <c r="F143" s="1786"/>
      <c r="G143" s="1786"/>
      <c r="H143" s="1787"/>
      <c r="I143" s="838">
        <f>'[2]Datos REG y HIJOS'!$D$34</f>
        <v>50</v>
      </c>
      <c r="J143" s="121">
        <f>'[2]Datos REG y HIJOS'!$E$34</f>
        <v>0.8</v>
      </c>
      <c r="K143" s="597" t="s">
        <v>774</v>
      </c>
      <c r="L143" s="606" t="s">
        <v>618</v>
      </c>
      <c r="N143" s="182" t="s">
        <v>30</v>
      </c>
      <c r="O143" s="183">
        <v>7</v>
      </c>
      <c r="P143" s="568" t="s">
        <v>157</v>
      </c>
    </row>
    <row r="144" spans="1:16" s="66" customFormat="1" ht="87.75" customHeight="1" x14ac:dyDescent="0.2">
      <c r="A144" s="572"/>
      <c r="B144" s="1161" t="s">
        <v>183</v>
      </c>
      <c r="C144" s="1162"/>
      <c r="D144" s="1162"/>
      <c r="E144" s="1162"/>
      <c r="F144" s="1162"/>
      <c r="G144" s="1162"/>
      <c r="H144" s="1162"/>
      <c r="I144" s="1162"/>
      <c r="J144" s="1163"/>
      <c r="K144" s="597"/>
      <c r="L144" s="606"/>
      <c r="N144" s="182"/>
      <c r="O144" s="183"/>
      <c r="P144" s="568"/>
    </row>
    <row r="145" spans="1:16" s="66" customFormat="1" ht="18" customHeight="1" x14ac:dyDescent="0.2">
      <c r="A145" s="572"/>
      <c r="B145" s="1252" t="s">
        <v>184</v>
      </c>
      <c r="C145" s="1252"/>
      <c r="D145" s="1252"/>
      <c r="E145" s="1252"/>
      <c r="F145" s="1252"/>
      <c r="G145" s="1252"/>
      <c r="H145" s="1252"/>
      <c r="I145" s="1252"/>
      <c r="J145" s="1252"/>
      <c r="K145" s="597"/>
      <c r="L145" s="606"/>
      <c r="N145" s="182"/>
      <c r="O145" s="183"/>
      <c r="P145" s="568"/>
    </row>
    <row r="146" spans="1:16" ht="20.100000000000001" customHeight="1" x14ac:dyDescent="0.2">
      <c r="A146" s="45"/>
      <c r="B146" s="609"/>
      <c r="C146" s="610"/>
      <c r="D146" s="611"/>
      <c r="E146" s="611"/>
      <c r="F146" s="611"/>
      <c r="G146" s="611"/>
      <c r="H146" s="611"/>
      <c r="I146" s="612"/>
      <c r="J146" s="114"/>
      <c r="L146" s="561"/>
      <c r="M146" s="181"/>
      <c r="O146" s="561"/>
      <c r="P146" s="45"/>
    </row>
    <row r="147" spans="1:16" ht="30" customHeight="1" x14ac:dyDescent="0.2">
      <c r="A147" s="45"/>
      <c r="B147" s="1662" t="s">
        <v>185</v>
      </c>
      <c r="C147" s="1663"/>
      <c r="D147" s="1663"/>
      <c r="E147" s="1663"/>
      <c r="F147" s="1663"/>
      <c r="G147" s="1663"/>
      <c r="H147" s="1664"/>
      <c r="I147" s="406" t="s">
        <v>17</v>
      </c>
      <c r="J147" s="35" t="s">
        <v>18</v>
      </c>
      <c r="K147" s="226" t="s">
        <v>186</v>
      </c>
      <c r="L147" s="183">
        <v>8</v>
      </c>
      <c r="N147" s="182" t="s">
        <v>30</v>
      </c>
      <c r="O147" s="183">
        <v>8</v>
      </c>
      <c r="P147" s="568" t="s">
        <v>187</v>
      </c>
    </row>
    <row r="148" spans="1:16" ht="36" customHeight="1" x14ac:dyDescent="0.2">
      <c r="A148" s="45"/>
      <c r="B148" s="1736" t="s">
        <v>21</v>
      </c>
      <c r="C148" s="1737"/>
      <c r="D148" s="1737"/>
      <c r="E148" s="1737"/>
      <c r="F148" s="1737"/>
      <c r="G148" s="1737"/>
      <c r="H148" s="1737"/>
      <c r="I148" s="1737"/>
      <c r="J148" s="1738"/>
      <c r="O148" s="183">
        <v>8</v>
      </c>
      <c r="P148" s="568" t="s">
        <v>187</v>
      </c>
    </row>
    <row r="149" spans="1:16" ht="158.25" customHeight="1" x14ac:dyDescent="0.2">
      <c r="A149" s="39"/>
      <c r="B149" s="569" t="s">
        <v>188</v>
      </c>
      <c r="C149" s="1166" t="s">
        <v>907</v>
      </c>
      <c r="D149" s="1167"/>
      <c r="E149" s="1167"/>
      <c r="F149" s="1167"/>
      <c r="G149" s="1167"/>
      <c r="H149" s="1168"/>
      <c r="I149" s="164">
        <v>40</v>
      </c>
      <c r="J149" s="42">
        <v>1</v>
      </c>
      <c r="K149" s="613" t="s">
        <v>24</v>
      </c>
      <c r="L149" s="613" t="s">
        <v>190</v>
      </c>
      <c r="M149" s="67"/>
      <c r="N149" s="182" t="s">
        <v>30</v>
      </c>
      <c r="O149" s="183">
        <v>8</v>
      </c>
      <c r="P149" s="568" t="s">
        <v>187</v>
      </c>
    </row>
    <row r="150" spans="1:16" ht="39.950000000000003" customHeight="1" x14ac:dyDescent="0.2">
      <c r="A150" s="45"/>
      <c r="B150" s="1236" t="s">
        <v>191</v>
      </c>
      <c r="C150" s="1217" t="s">
        <v>192</v>
      </c>
      <c r="D150" s="1016"/>
      <c r="E150" s="1016" t="s">
        <v>193</v>
      </c>
      <c r="F150" s="1016"/>
      <c r="G150" s="1016" t="s">
        <v>194</v>
      </c>
      <c r="H150" s="1125"/>
      <c r="I150" s="1926">
        <f>'[2]Datos REG y HIJOS'!$D$3</f>
        <v>35</v>
      </c>
      <c r="J150" s="1241">
        <f>'[2]Datos REG y HIJOS'!$E$3</f>
        <v>0.9</v>
      </c>
      <c r="K150" s="614" t="s">
        <v>26</v>
      </c>
      <c r="L150" s="613" t="s">
        <v>190</v>
      </c>
      <c r="M150" s="598"/>
      <c r="N150" s="182" t="s">
        <v>30</v>
      </c>
      <c r="O150" s="183">
        <v>8</v>
      </c>
      <c r="P150" s="568" t="s">
        <v>187</v>
      </c>
    </row>
    <row r="151" spans="1:16" ht="30" customHeight="1" x14ac:dyDescent="0.2">
      <c r="A151" s="45"/>
      <c r="B151" s="1237"/>
      <c r="C151" s="1244" t="s">
        <v>195</v>
      </c>
      <c r="D151" s="1245"/>
      <c r="E151" s="1245" t="s">
        <v>196</v>
      </c>
      <c r="F151" s="1245"/>
      <c r="G151" s="1245" t="s">
        <v>197</v>
      </c>
      <c r="H151" s="1246"/>
      <c r="I151" s="1927"/>
      <c r="J151" s="1242"/>
      <c r="K151" s="614" t="s">
        <v>26</v>
      </c>
      <c r="L151" s="613" t="s">
        <v>190</v>
      </c>
      <c r="M151" s="598"/>
      <c r="O151" s="183">
        <v>8</v>
      </c>
      <c r="P151" s="568" t="s">
        <v>187</v>
      </c>
    </row>
    <row r="152" spans="1:16" ht="30" customHeight="1" x14ac:dyDescent="0.2">
      <c r="A152" s="45"/>
      <c r="B152" s="1237"/>
      <c r="C152" s="1247" t="s">
        <v>31</v>
      </c>
      <c r="D152" s="1248"/>
      <c r="E152" s="1022" t="s">
        <v>198</v>
      </c>
      <c r="F152" s="1022"/>
      <c r="G152" s="1245" t="s">
        <v>199</v>
      </c>
      <c r="H152" s="1246"/>
      <c r="I152" s="1927"/>
      <c r="J152" s="1242"/>
      <c r="K152" s="614" t="s">
        <v>26</v>
      </c>
      <c r="L152" s="613" t="s">
        <v>190</v>
      </c>
      <c r="M152" s="598"/>
      <c r="O152" s="183">
        <v>8</v>
      </c>
      <c r="P152" s="568" t="s">
        <v>187</v>
      </c>
    </row>
    <row r="153" spans="1:16" ht="30" customHeight="1" x14ac:dyDescent="0.2">
      <c r="A153" s="45"/>
      <c r="B153" s="1237"/>
      <c r="C153" s="1046" t="s">
        <v>32</v>
      </c>
      <c r="D153" s="1022"/>
      <c r="E153" s="1022" t="s">
        <v>29</v>
      </c>
      <c r="F153" s="1022"/>
      <c r="G153" s="1022" t="s">
        <v>200</v>
      </c>
      <c r="H153" s="1028"/>
      <c r="I153" s="1927"/>
      <c r="J153" s="1242"/>
      <c r="K153" s="614" t="s">
        <v>26</v>
      </c>
      <c r="L153" s="613" t="s">
        <v>190</v>
      </c>
      <c r="M153" s="598"/>
      <c r="O153" s="183">
        <v>8</v>
      </c>
      <c r="P153" s="568" t="s">
        <v>187</v>
      </c>
    </row>
    <row r="154" spans="1:16" ht="30" customHeight="1" x14ac:dyDescent="0.2">
      <c r="A154" s="45"/>
      <c r="B154" s="1237"/>
      <c r="C154" s="1046" t="s">
        <v>38</v>
      </c>
      <c r="D154" s="1022"/>
      <c r="E154" s="1180" t="s">
        <v>34</v>
      </c>
      <c r="F154" s="1180"/>
      <c r="G154" s="1022" t="s">
        <v>27</v>
      </c>
      <c r="H154" s="1028"/>
      <c r="I154" s="1927"/>
      <c r="J154" s="1242"/>
      <c r="K154" s="614" t="s">
        <v>26</v>
      </c>
      <c r="L154" s="613" t="s">
        <v>190</v>
      </c>
      <c r="M154" s="598"/>
      <c r="O154" s="183">
        <v>8</v>
      </c>
      <c r="P154" s="568" t="s">
        <v>187</v>
      </c>
    </row>
    <row r="155" spans="1:16" ht="30" customHeight="1" x14ac:dyDescent="0.2">
      <c r="A155" s="45"/>
      <c r="B155" s="1238"/>
      <c r="C155" s="1181" t="s">
        <v>37</v>
      </c>
      <c r="D155" s="1182"/>
      <c r="E155" s="1177"/>
      <c r="F155" s="1177"/>
      <c r="G155" s="1034"/>
      <c r="H155" s="1035"/>
      <c r="I155" s="1928"/>
      <c r="J155" s="1243"/>
      <c r="K155" s="614" t="s">
        <v>26</v>
      </c>
      <c r="L155" s="613" t="s">
        <v>190</v>
      </c>
      <c r="M155" s="598"/>
      <c r="O155" s="183">
        <v>8</v>
      </c>
      <c r="P155" s="568" t="s">
        <v>187</v>
      </c>
    </row>
    <row r="156" spans="1:16" ht="39.950000000000003" customHeight="1" x14ac:dyDescent="0.2">
      <c r="A156" s="45"/>
      <c r="B156" s="1236" t="s">
        <v>201</v>
      </c>
      <c r="C156" s="1150" t="s">
        <v>42</v>
      </c>
      <c r="D156" s="1149"/>
      <c r="E156" s="1188" t="s">
        <v>908</v>
      </c>
      <c r="F156" s="1188"/>
      <c r="G156" s="1188" t="s">
        <v>203</v>
      </c>
      <c r="H156" s="1189"/>
      <c r="I156" s="1926">
        <f>'[2]Datos REG y HIJOS'!$D$4</f>
        <v>35</v>
      </c>
      <c r="J156" s="1241">
        <f>'[2]Datos REG y HIJOS'!$E$4</f>
        <v>0.9</v>
      </c>
      <c r="K156" s="614" t="s">
        <v>40</v>
      </c>
      <c r="L156" s="613" t="s">
        <v>190</v>
      </c>
      <c r="M156" s="598"/>
      <c r="N156" s="182" t="s">
        <v>30</v>
      </c>
      <c r="O156" s="183">
        <v>8</v>
      </c>
      <c r="P156" s="568" t="s">
        <v>187</v>
      </c>
    </row>
    <row r="157" spans="1:16" ht="39.950000000000003" customHeight="1" x14ac:dyDescent="0.2">
      <c r="A157" s="45"/>
      <c r="B157" s="1237"/>
      <c r="C157" s="1144" t="s">
        <v>204</v>
      </c>
      <c r="D157" s="1145"/>
      <c r="E157" s="1145" t="s">
        <v>234</v>
      </c>
      <c r="F157" s="1145"/>
      <c r="G157" s="1145" t="s">
        <v>206</v>
      </c>
      <c r="H157" s="1146"/>
      <c r="I157" s="1927"/>
      <c r="J157" s="1242"/>
      <c r="K157" s="614" t="s">
        <v>40</v>
      </c>
      <c r="L157" s="613" t="s">
        <v>190</v>
      </c>
      <c r="M157" s="598"/>
      <c r="O157" s="183">
        <v>8</v>
      </c>
      <c r="P157" s="568" t="s">
        <v>187</v>
      </c>
    </row>
    <row r="158" spans="1:16" ht="42.75" customHeight="1" x14ac:dyDescent="0.2">
      <c r="A158" s="45"/>
      <c r="B158" s="1237"/>
      <c r="C158" s="1144" t="s">
        <v>207</v>
      </c>
      <c r="D158" s="1145"/>
      <c r="E158" s="1145" t="s">
        <v>208</v>
      </c>
      <c r="F158" s="1145"/>
      <c r="G158" s="957" t="s">
        <v>63</v>
      </c>
      <c r="H158" s="958"/>
      <c r="I158" s="1927"/>
      <c r="J158" s="1242"/>
      <c r="K158" s="614" t="s">
        <v>40</v>
      </c>
      <c r="L158" s="613" t="s">
        <v>190</v>
      </c>
      <c r="M158" s="598"/>
      <c r="O158" s="183">
        <v>8</v>
      </c>
      <c r="P158" s="568" t="s">
        <v>187</v>
      </c>
    </row>
    <row r="159" spans="1:16" ht="39.950000000000003" customHeight="1" x14ac:dyDescent="0.2">
      <c r="A159" s="45"/>
      <c r="B159" s="1237"/>
      <c r="C159" s="1144" t="s">
        <v>909</v>
      </c>
      <c r="D159" s="1145"/>
      <c r="E159" s="1145" t="s">
        <v>44</v>
      </c>
      <c r="F159" s="1145"/>
      <c r="G159" s="1145" t="s">
        <v>48</v>
      </c>
      <c r="H159" s="1146"/>
      <c r="I159" s="1927"/>
      <c r="J159" s="1242"/>
      <c r="K159" s="614" t="s">
        <v>40</v>
      </c>
      <c r="L159" s="613" t="s">
        <v>190</v>
      </c>
      <c r="M159" s="598"/>
      <c r="O159" s="183">
        <v>8</v>
      </c>
      <c r="P159" s="568" t="s">
        <v>187</v>
      </c>
    </row>
    <row r="160" spans="1:16" ht="39.950000000000003" customHeight="1" x14ac:dyDescent="0.2">
      <c r="A160" s="45"/>
      <c r="B160" s="1237"/>
      <c r="C160" s="965" t="s">
        <v>54</v>
      </c>
      <c r="D160" s="957"/>
      <c r="E160" s="957" t="s">
        <v>58</v>
      </c>
      <c r="F160" s="957"/>
      <c r="G160" s="1145"/>
      <c r="H160" s="1146"/>
      <c r="I160" s="1927"/>
      <c r="J160" s="1242"/>
      <c r="K160" s="614" t="s">
        <v>40</v>
      </c>
      <c r="L160" s="613" t="s">
        <v>190</v>
      </c>
      <c r="M160" s="598"/>
      <c r="O160" s="183">
        <v>8</v>
      </c>
      <c r="P160" s="568" t="s">
        <v>187</v>
      </c>
    </row>
    <row r="161" spans="1:16" ht="39.950000000000003" customHeight="1" x14ac:dyDescent="0.2">
      <c r="A161" s="45"/>
      <c r="B161" s="1238"/>
      <c r="C161" s="1147" t="s">
        <v>210</v>
      </c>
      <c r="D161" s="1148"/>
      <c r="E161" s="1148"/>
      <c r="F161" s="1148"/>
      <c r="G161" s="1148"/>
      <c r="H161" s="1152"/>
      <c r="I161" s="1928"/>
      <c r="J161" s="1243"/>
      <c r="K161" s="614" t="s">
        <v>40</v>
      </c>
      <c r="L161" s="613" t="s">
        <v>190</v>
      </c>
      <c r="M161" s="598"/>
      <c r="O161" s="183">
        <v>8</v>
      </c>
      <c r="P161" s="568" t="s">
        <v>187</v>
      </c>
    </row>
    <row r="162" spans="1:16" ht="39.950000000000003" customHeight="1" x14ac:dyDescent="0.2">
      <c r="A162" s="45"/>
      <c r="B162" s="1047" t="s">
        <v>211</v>
      </c>
      <c r="C162" s="1217" t="s">
        <v>212</v>
      </c>
      <c r="D162" s="1016"/>
      <c r="E162" s="1016" t="s">
        <v>213</v>
      </c>
      <c r="F162" s="1016"/>
      <c r="G162" s="1016" t="s">
        <v>910</v>
      </c>
      <c r="H162" s="1125"/>
      <c r="I162" s="1698">
        <f>'[2]Datos REG y HIJOS'!$D$5</f>
        <v>40</v>
      </c>
      <c r="J162" s="915">
        <f>'[2]Datos REG y HIJOS'!$E$5</f>
        <v>0.9</v>
      </c>
      <c r="K162" s="614" t="s">
        <v>71</v>
      </c>
      <c r="L162" s="613" t="s">
        <v>190</v>
      </c>
      <c r="M162" s="598"/>
      <c r="N162" s="182" t="s">
        <v>30</v>
      </c>
      <c r="O162" s="183">
        <v>8</v>
      </c>
      <c r="P162" s="568" t="s">
        <v>187</v>
      </c>
    </row>
    <row r="163" spans="1:16" ht="39.950000000000003" customHeight="1" x14ac:dyDescent="0.2">
      <c r="A163" s="45"/>
      <c r="B163" s="1109"/>
      <c r="C163" s="1216" t="s">
        <v>215</v>
      </c>
      <c r="D163" s="1108"/>
      <c r="E163" s="1180" t="s">
        <v>216</v>
      </c>
      <c r="F163" s="1180"/>
      <c r="G163" s="1180" t="s">
        <v>79</v>
      </c>
      <c r="H163" s="1227"/>
      <c r="I163" s="1699"/>
      <c r="J163" s="1045"/>
      <c r="K163" s="614" t="s">
        <v>71</v>
      </c>
      <c r="L163" s="613" t="s">
        <v>190</v>
      </c>
      <c r="M163" s="598"/>
      <c r="O163" s="183">
        <v>8</v>
      </c>
      <c r="P163" s="568" t="s">
        <v>187</v>
      </c>
    </row>
    <row r="164" spans="1:16" ht="39.950000000000003" customHeight="1" x14ac:dyDescent="0.2">
      <c r="A164" s="45"/>
      <c r="B164" s="1109"/>
      <c r="C164" s="1218" t="s">
        <v>74</v>
      </c>
      <c r="D164" s="1180"/>
      <c r="E164" s="1180" t="s">
        <v>217</v>
      </c>
      <c r="F164" s="1180"/>
      <c r="G164" s="1022" t="s">
        <v>82</v>
      </c>
      <c r="H164" s="1028"/>
      <c r="I164" s="1699"/>
      <c r="J164" s="1045"/>
      <c r="K164" s="614" t="s">
        <v>71</v>
      </c>
      <c r="L164" s="613" t="s">
        <v>190</v>
      </c>
      <c r="M164" s="598"/>
      <c r="O164" s="183">
        <v>8</v>
      </c>
      <c r="P164" s="568" t="s">
        <v>187</v>
      </c>
    </row>
    <row r="165" spans="1:16" ht="39.950000000000003" customHeight="1" x14ac:dyDescent="0.2">
      <c r="A165" s="45"/>
      <c r="B165" s="1109"/>
      <c r="C165" s="1046" t="s">
        <v>80</v>
      </c>
      <c r="D165" s="1022"/>
      <c r="E165" s="1180" t="s">
        <v>72</v>
      </c>
      <c r="F165" s="1180"/>
      <c r="G165" s="1180" t="s">
        <v>75</v>
      </c>
      <c r="H165" s="1227"/>
      <c r="I165" s="1699"/>
      <c r="J165" s="1045"/>
      <c r="K165" s="614" t="s">
        <v>71</v>
      </c>
      <c r="L165" s="613" t="s">
        <v>190</v>
      </c>
      <c r="M165" s="598"/>
      <c r="O165" s="183">
        <v>8</v>
      </c>
      <c r="P165" s="568" t="s">
        <v>187</v>
      </c>
    </row>
    <row r="166" spans="1:16" ht="39.950000000000003" customHeight="1" x14ac:dyDescent="0.2">
      <c r="A166" s="45"/>
      <c r="B166" s="1109"/>
      <c r="C166" s="1218" t="s">
        <v>76</v>
      </c>
      <c r="D166" s="1180"/>
      <c r="E166" s="1022" t="s">
        <v>81</v>
      </c>
      <c r="F166" s="1022"/>
      <c r="G166" s="1180" t="s">
        <v>73</v>
      </c>
      <c r="H166" s="1227"/>
      <c r="I166" s="1699"/>
      <c r="J166" s="1045"/>
      <c r="K166" s="614" t="s">
        <v>71</v>
      </c>
      <c r="L166" s="613" t="s">
        <v>190</v>
      </c>
      <c r="M166" s="598"/>
      <c r="O166" s="183">
        <v>8</v>
      </c>
      <c r="P166" s="568" t="s">
        <v>187</v>
      </c>
    </row>
    <row r="167" spans="1:16" ht="39.950000000000003" customHeight="1" x14ac:dyDescent="0.2">
      <c r="A167" s="45"/>
      <c r="B167" s="1109"/>
      <c r="C167" s="1046" t="s">
        <v>39</v>
      </c>
      <c r="D167" s="1022"/>
      <c r="E167" s="1180" t="s">
        <v>77</v>
      </c>
      <c r="F167" s="1180"/>
      <c r="G167" s="1022" t="s">
        <v>218</v>
      </c>
      <c r="H167" s="1028"/>
      <c r="I167" s="1699"/>
      <c r="J167" s="1045"/>
      <c r="K167" s="614" t="s">
        <v>71</v>
      </c>
      <c r="L167" s="613" t="s">
        <v>190</v>
      </c>
      <c r="M167" s="598"/>
      <c r="O167" s="183">
        <v>8</v>
      </c>
      <c r="P167" s="568" t="s">
        <v>187</v>
      </c>
    </row>
    <row r="168" spans="1:16" ht="39.950000000000003" customHeight="1" x14ac:dyDescent="0.2">
      <c r="A168" s="45"/>
      <c r="B168" s="1048"/>
      <c r="C168" s="1116" t="s">
        <v>78</v>
      </c>
      <c r="D168" s="1034"/>
      <c r="E168" s="50"/>
      <c r="F168" s="50"/>
      <c r="G168" s="1034"/>
      <c r="H168" s="1035"/>
      <c r="I168" s="1700"/>
      <c r="J168" s="916"/>
      <c r="K168" s="614" t="s">
        <v>71</v>
      </c>
      <c r="L168" s="613" t="s">
        <v>190</v>
      </c>
      <c r="M168" s="598"/>
      <c r="O168" s="183">
        <v>8</v>
      </c>
      <c r="P168" s="568" t="s">
        <v>187</v>
      </c>
    </row>
    <row r="169" spans="1:16" ht="39.950000000000003" customHeight="1" x14ac:dyDescent="0.2">
      <c r="B169" s="1120" t="s">
        <v>219</v>
      </c>
      <c r="C169" s="1214" t="s">
        <v>572</v>
      </c>
      <c r="D169" s="1195"/>
      <c r="E169" s="1015" t="s">
        <v>378</v>
      </c>
      <c r="F169" s="1015"/>
      <c r="G169" s="1204" t="s">
        <v>342</v>
      </c>
      <c r="H169" s="1205"/>
      <c r="I169" s="1887">
        <f>'[2]Datos REG y HIJOS'!$D$6</f>
        <v>40</v>
      </c>
      <c r="J169" s="915">
        <f>'[2]Datos REG y HIJOS'!$E$6</f>
        <v>0.85</v>
      </c>
      <c r="K169" s="614" t="s">
        <v>85</v>
      </c>
      <c r="L169" s="613" t="s">
        <v>190</v>
      </c>
      <c r="M169" s="598"/>
      <c r="N169" s="182" t="s">
        <v>30</v>
      </c>
      <c r="O169" s="183">
        <v>8</v>
      </c>
      <c r="P169" s="568" t="s">
        <v>187</v>
      </c>
    </row>
    <row r="170" spans="1:16" ht="39.950000000000003" customHeight="1" x14ac:dyDescent="0.2">
      <c r="B170" s="1121"/>
      <c r="C170" s="1211" t="s">
        <v>86</v>
      </c>
      <c r="D170" s="1190"/>
      <c r="E170" s="1190" t="s">
        <v>574</v>
      </c>
      <c r="F170" s="1190"/>
      <c r="G170" s="1022" t="s">
        <v>402</v>
      </c>
      <c r="H170" s="1028"/>
      <c r="I170" s="1892"/>
      <c r="J170" s="1045"/>
      <c r="K170" s="614" t="s">
        <v>85</v>
      </c>
      <c r="L170" s="613" t="s">
        <v>190</v>
      </c>
      <c r="M170" s="598"/>
      <c r="O170" s="183">
        <v>8</v>
      </c>
      <c r="P170" s="568" t="s">
        <v>187</v>
      </c>
    </row>
    <row r="171" spans="1:16" ht="39.950000000000003" customHeight="1" x14ac:dyDescent="0.2">
      <c r="B171" s="1121"/>
      <c r="C171" s="1211" t="s">
        <v>576</v>
      </c>
      <c r="D171" s="1190"/>
      <c r="E171" s="1190" t="s">
        <v>577</v>
      </c>
      <c r="F171" s="1190"/>
      <c r="G171" s="1190" t="s">
        <v>624</v>
      </c>
      <c r="H171" s="1212"/>
      <c r="I171" s="1892"/>
      <c r="J171" s="1045"/>
      <c r="K171" s="614" t="s">
        <v>85</v>
      </c>
      <c r="L171" s="613" t="s">
        <v>190</v>
      </c>
      <c r="M171" s="598"/>
      <c r="O171" s="183">
        <v>8</v>
      </c>
      <c r="P171" s="568" t="s">
        <v>187</v>
      </c>
    </row>
    <row r="172" spans="1:16" ht="39.950000000000003" customHeight="1" x14ac:dyDescent="0.2">
      <c r="B172" s="1121"/>
      <c r="C172" s="1211" t="s">
        <v>579</v>
      </c>
      <c r="D172" s="1190"/>
      <c r="E172" s="1190" t="s">
        <v>578</v>
      </c>
      <c r="F172" s="1190"/>
      <c r="G172" s="1190" t="s">
        <v>580</v>
      </c>
      <c r="H172" s="1212"/>
      <c r="I172" s="1892"/>
      <c r="J172" s="1045"/>
      <c r="K172" s="614" t="s">
        <v>85</v>
      </c>
      <c r="L172" s="613" t="s">
        <v>190</v>
      </c>
      <c r="M172" s="598"/>
      <c r="O172" s="183">
        <v>9</v>
      </c>
      <c r="P172" s="568" t="s">
        <v>187</v>
      </c>
    </row>
    <row r="173" spans="1:16" ht="39.950000000000003" customHeight="1" x14ac:dyDescent="0.2">
      <c r="B173" s="1122"/>
      <c r="C173" s="1211" t="s">
        <v>581</v>
      </c>
      <c r="D173" s="1190"/>
      <c r="E173" s="1180" t="s">
        <v>573</v>
      </c>
      <c r="F173" s="1180"/>
      <c r="G173" s="1022"/>
      <c r="H173" s="1028"/>
      <c r="I173" s="1892"/>
      <c r="J173" s="1045"/>
      <c r="K173" s="614" t="s">
        <v>85</v>
      </c>
      <c r="L173" s="613" t="s">
        <v>190</v>
      </c>
      <c r="M173" s="598"/>
      <c r="O173" s="183">
        <v>8</v>
      </c>
      <c r="P173" s="568" t="s">
        <v>187</v>
      </c>
    </row>
    <row r="174" spans="1:16" ht="39.950000000000003" customHeight="1" x14ac:dyDescent="0.2">
      <c r="B174" s="1309" t="s">
        <v>220</v>
      </c>
      <c r="C174" s="1187" t="s">
        <v>88</v>
      </c>
      <c r="D174" s="1188"/>
      <c r="E174" s="1130" t="s">
        <v>89</v>
      </c>
      <c r="F174" s="1130"/>
      <c r="G174" s="1195" t="s">
        <v>90</v>
      </c>
      <c r="H174" s="1226"/>
      <c r="I174" s="1922">
        <f>'[2]Datos REG y HIJOS'!$D$7</f>
        <v>45</v>
      </c>
      <c r="J174" s="915">
        <f>'[2]Datos REG y HIJOS'!$E$7</f>
        <v>0.85</v>
      </c>
      <c r="K174" s="614" t="s">
        <v>87</v>
      </c>
      <c r="L174" s="613" t="s">
        <v>190</v>
      </c>
      <c r="M174" s="598"/>
      <c r="N174" s="182" t="s">
        <v>30</v>
      </c>
      <c r="O174" s="183">
        <v>8</v>
      </c>
      <c r="P174" s="568" t="s">
        <v>187</v>
      </c>
    </row>
    <row r="175" spans="1:16" ht="39.950000000000003" customHeight="1" x14ac:dyDescent="0.2">
      <c r="B175" s="1310"/>
      <c r="C175" s="1211" t="s">
        <v>92</v>
      </c>
      <c r="D175" s="1190"/>
      <c r="E175" s="969" t="s">
        <v>221</v>
      </c>
      <c r="F175" s="969"/>
      <c r="G175" s="969" t="s">
        <v>222</v>
      </c>
      <c r="H175" s="1193"/>
      <c r="I175" s="1923"/>
      <c r="J175" s="1045"/>
      <c r="K175" s="614" t="s">
        <v>87</v>
      </c>
      <c r="L175" s="613" t="s">
        <v>190</v>
      </c>
      <c r="M175" s="598"/>
      <c r="N175" s="537"/>
      <c r="O175" s="183">
        <v>8</v>
      </c>
      <c r="P175" s="568" t="s">
        <v>187</v>
      </c>
    </row>
    <row r="176" spans="1:16" ht="39.950000000000003" customHeight="1" x14ac:dyDescent="0.2">
      <c r="B176" s="1310"/>
      <c r="C176" s="1046" t="s">
        <v>223</v>
      </c>
      <c r="D176" s="1022"/>
      <c r="E176" s="1022" t="s">
        <v>224</v>
      </c>
      <c r="F176" s="1022"/>
      <c r="G176" s="957" t="s">
        <v>225</v>
      </c>
      <c r="H176" s="958"/>
      <c r="I176" s="1923"/>
      <c r="J176" s="1045"/>
      <c r="K176" s="614" t="s">
        <v>87</v>
      </c>
      <c r="L176" s="613" t="s">
        <v>190</v>
      </c>
      <c r="M176" s="598"/>
      <c r="N176" s="537"/>
      <c r="O176" s="183">
        <v>8</v>
      </c>
      <c r="P176" s="568" t="s">
        <v>187</v>
      </c>
    </row>
    <row r="177" spans="1:16" ht="39.950000000000003" customHeight="1" x14ac:dyDescent="0.2">
      <c r="B177" s="1310"/>
      <c r="C177" s="1046" t="s">
        <v>226</v>
      </c>
      <c r="D177" s="1022"/>
      <c r="E177" s="1022" t="s">
        <v>227</v>
      </c>
      <c r="F177" s="1022"/>
      <c r="G177" s="24" t="s">
        <v>94</v>
      </c>
      <c r="H177" s="123"/>
      <c r="I177" s="1923"/>
      <c r="J177" s="1045"/>
      <c r="K177" s="614" t="s">
        <v>87</v>
      </c>
      <c r="L177" s="613" t="s">
        <v>190</v>
      </c>
      <c r="M177" s="598"/>
      <c r="N177" s="537"/>
      <c r="O177" s="183">
        <v>8</v>
      </c>
      <c r="P177" s="568" t="s">
        <v>187</v>
      </c>
    </row>
    <row r="178" spans="1:16" ht="39.950000000000003" customHeight="1" x14ac:dyDescent="0.2">
      <c r="B178" s="1311"/>
      <c r="C178" s="1116" t="s">
        <v>95</v>
      </c>
      <c r="D178" s="1034"/>
      <c r="E178" s="90" t="s">
        <v>570</v>
      </c>
      <c r="F178" s="90"/>
      <c r="G178" s="50"/>
      <c r="H178" s="124"/>
      <c r="I178" s="1924"/>
      <c r="J178" s="916"/>
      <c r="K178" s="614" t="s">
        <v>87</v>
      </c>
      <c r="L178" s="613" t="s">
        <v>190</v>
      </c>
      <c r="M178" s="598"/>
      <c r="N178" s="537"/>
      <c r="O178" s="183">
        <v>8</v>
      </c>
      <c r="P178" s="568" t="s">
        <v>187</v>
      </c>
    </row>
    <row r="179" spans="1:16" ht="39.75" customHeight="1" x14ac:dyDescent="0.2">
      <c r="B179" s="1479" t="s">
        <v>619</v>
      </c>
      <c r="C179" s="1214" t="s">
        <v>134</v>
      </c>
      <c r="D179" s="1195"/>
      <c r="E179" s="1195" t="s">
        <v>568</v>
      </c>
      <c r="F179" s="1195"/>
      <c r="G179" s="1195" t="s">
        <v>569</v>
      </c>
      <c r="H179" s="1226"/>
      <c r="I179" s="1921">
        <f>'[2]Datos REG y HIJOS'!$D$8</f>
        <v>45</v>
      </c>
      <c r="J179" s="1225">
        <f>'[2]Datos REG y HIJOS'!$E$8</f>
        <v>0.85</v>
      </c>
      <c r="K179" s="614" t="s">
        <v>567</v>
      </c>
      <c r="L179" s="613" t="s">
        <v>190</v>
      </c>
      <c r="M179" s="598"/>
      <c r="N179" s="182" t="s">
        <v>30</v>
      </c>
      <c r="O179" s="183">
        <v>8</v>
      </c>
      <c r="P179" s="568" t="s">
        <v>187</v>
      </c>
    </row>
    <row r="180" spans="1:16" ht="39.75" customHeight="1" x14ac:dyDescent="0.2">
      <c r="B180" s="1479"/>
      <c r="C180" s="2073" t="s">
        <v>620</v>
      </c>
      <c r="D180" s="2074"/>
      <c r="E180" s="2074" t="s">
        <v>621</v>
      </c>
      <c r="F180" s="2074"/>
      <c r="G180" s="1034" t="s">
        <v>622</v>
      </c>
      <c r="H180" s="1035"/>
      <c r="I180" s="1921"/>
      <c r="J180" s="1225"/>
      <c r="K180" s="614" t="s">
        <v>567</v>
      </c>
      <c r="L180" s="613" t="s">
        <v>190</v>
      </c>
      <c r="M180" s="598"/>
      <c r="N180" s="615"/>
      <c r="O180" s="183">
        <v>8</v>
      </c>
      <c r="P180" s="568" t="s">
        <v>187</v>
      </c>
    </row>
    <row r="181" spans="1:16" s="66" customFormat="1" ht="39.950000000000003" customHeight="1" x14ac:dyDescent="0.2">
      <c r="A181" s="67"/>
      <c r="B181" s="1310" t="s">
        <v>625</v>
      </c>
      <c r="C181" s="1457" t="s">
        <v>585</v>
      </c>
      <c r="D181" s="1219"/>
      <c r="E181" s="1702" t="s">
        <v>587</v>
      </c>
      <c r="F181" s="1702"/>
      <c r="G181" s="1702" t="s">
        <v>588</v>
      </c>
      <c r="H181" s="1703"/>
      <c r="I181" s="1892">
        <f>'[2]Datos REG y HIJOS'!$D$10</f>
        <v>50</v>
      </c>
      <c r="J181" s="1045">
        <f>'[2]Datos REG y HIJOS'!$E$10</f>
        <v>0.85</v>
      </c>
      <c r="K181" s="614" t="s">
        <v>584</v>
      </c>
      <c r="L181" s="613" t="s">
        <v>190</v>
      </c>
      <c r="M181" s="67"/>
      <c r="O181" s="183">
        <v>8</v>
      </c>
      <c r="P181" s="568" t="s">
        <v>187</v>
      </c>
    </row>
    <row r="182" spans="1:16" s="66" customFormat="1" ht="30" customHeight="1" x14ac:dyDescent="0.2">
      <c r="A182" s="67"/>
      <c r="B182" s="1310"/>
      <c r="C182" s="1704" t="s">
        <v>586</v>
      </c>
      <c r="D182" s="1685"/>
      <c r="E182" s="82"/>
      <c r="F182" s="82"/>
      <c r="G182" s="1685"/>
      <c r="H182" s="1686"/>
      <c r="I182" s="1888"/>
      <c r="J182" s="916"/>
      <c r="K182" s="614" t="s">
        <v>584</v>
      </c>
      <c r="L182" s="613" t="s">
        <v>190</v>
      </c>
      <c r="M182" s="67"/>
      <c r="O182" s="183">
        <v>8</v>
      </c>
      <c r="P182" s="568" t="s">
        <v>187</v>
      </c>
    </row>
    <row r="183" spans="1:16" s="803" customFormat="1" ht="30" customHeight="1" x14ac:dyDescent="0.2">
      <c r="A183" s="67"/>
      <c r="B183" s="1236" t="s">
        <v>623</v>
      </c>
      <c r="C183" s="2033" t="s">
        <v>596</v>
      </c>
      <c r="D183" s="2032"/>
      <c r="E183" s="1702" t="s">
        <v>597</v>
      </c>
      <c r="F183" s="1702"/>
      <c r="G183" s="1919" t="s">
        <v>598</v>
      </c>
      <c r="H183" s="1920"/>
      <c r="I183" s="1397">
        <f>'[2]Datos REG y HIJOS'!$D$9</f>
        <v>40</v>
      </c>
      <c r="J183" s="915">
        <f>'[2]Datos REG y HIJOS'!$E$9</f>
        <v>0.85</v>
      </c>
      <c r="K183" s="614" t="s">
        <v>571</v>
      </c>
      <c r="L183" s="613" t="s">
        <v>190</v>
      </c>
      <c r="M183" s="802"/>
      <c r="N183" s="182" t="s">
        <v>30</v>
      </c>
      <c r="O183" s="183">
        <v>8</v>
      </c>
      <c r="P183" s="568" t="s">
        <v>187</v>
      </c>
    </row>
    <row r="184" spans="1:16" s="803" customFormat="1" ht="30" customHeight="1" x14ac:dyDescent="0.2">
      <c r="A184" s="67"/>
      <c r="B184" s="1238"/>
      <c r="C184" s="1399" t="s">
        <v>599</v>
      </c>
      <c r="D184" s="1400"/>
      <c r="E184" s="1400" t="s">
        <v>600</v>
      </c>
      <c r="F184" s="1400"/>
      <c r="G184" s="325"/>
      <c r="H184" s="326"/>
      <c r="I184" s="1398"/>
      <c r="J184" s="916"/>
      <c r="K184" s="614" t="s">
        <v>571</v>
      </c>
      <c r="L184" s="613" t="s">
        <v>190</v>
      </c>
      <c r="M184" s="802"/>
      <c r="N184" s="182"/>
      <c r="O184" s="183">
        <v>8</v>
      </c>
      <c r="P184" s="568" t="s">
        <v>187</v>
      </c>
    </row>
    <row r="185" spans="1:16" s="66" customFormat="1" ht="39.950000000000003" customHeight="1" x14ac:dyDescent="0.2">
      <c r="B185" s="1236" t="s">
        <v>626</v>
      </c>
      <c r="C185" s="1461" t="s">
        <v>592</v>
      </c>
      <c r="D185" s="1462"/>
      <c r="E185" s="1462" t="s">
        <v>176</v>
      </c>
      <c r="F185" s="1462"/>
      <c r="G185" s="1462" t="s">
        <v>593</v>
      </c>
      <c r="H185" s="1463"/>
      <c r="I185" s="2022">
        <f>'[2]Datos REG y HIJOS'!$D$11</f>
        <v>80</v>
      </c>
      <c r="J185" s="1449">
        <f>'[2]Datos REG y HIJOS'!$E$11</f>
        <v>0.75</v>
      </c>
      <c r="K185" s="614" t="s">
        <v>591</v>
      </c>
      <c r="L185" s="613" t="s">
        <v>190</v>
      </c>
      <c r="N185" s="182" t="s">
        <v>30</v>
      </c>
      <c r="O185" s="183">
        <v>8</v>
      </c>
      <c r="P185" s="568" t="s">
        <v>187</v>
      </c>
    </row>
    <row r="186" spans="1:16" s="66" customFormat="1" ht="39.950000000000003" customHeight="1" x14ac:dyDescent="0.2">
      <c r="B186" s="1238"/>
      <c r="C186" s="1453" t="s">
        <v>594</v>
      </c>
      <c r="D186" s="1213"/>
      <c r="E186" s="166"/>
      <c r="F186" s="166"/>
      <c r="G186" s="166"/>
      <c r="H186" s="442"/>
      <c r="I186" s="2023"/>
      <c r="J186" s="1451"/>
      <c r="K186" s="614" t="s">
        <v>591</v>
      </c>
      <c r="L186" s="613" t="s">
        <v>190</v>
      </c>
      <c r="N186"/>
      <c r="O186" s="183">
        <v>8</v>
      </c>
      <c r="P186" s="568" t="s">
        <v>187</v>
      </c>
    </row>
    <row r="187" spans="1:16" s="66" customFormat="1" ht="30" customHeight="1" x14ac:dyDescent="0.2">
      <c r="A187" s="595"/>
      <c r="B187" s="1236" t="s">
        <v>775</v>
      </c>
      <c r="C187" s="1461" t="s">
        <v>776</v>
      </c>
      <c r="D187" s="1462"/>
      <c r="E187" s="440"/>
      <c r="F187" s="440"/>
      <c r="G187" s="440"/>
      <c r="H187" s="441"/>
      <c r="I187" s="1918">
        <f>+'[2]Datos REG y HIJOS'!$D$12</f>
        <v>90</v>
      </c>
      <c r="J187" s="1538">
        <f>'[2]Datos REG y HIJOS'!$E$12</f>
        <v>0.7</v>
      </c>
      <c r="K187" s="614" t="s">
        <v>758</v>
      </c>
      <c r="L187" s="613" t="s">
        <v>190</v>
      </c>
      <c r="N187" s="182" t="s">
        <v>30</v>
      </c>
      <c r="O187" s="183">
        <v>8</v>
      </c>
      <c r="P187" s="568" t="s">
        <v>187</v>
      </c>
    </row>
    <row r="188" spans="1:16" s="66" customFormat="1" ht="30" customHeight="1" x14ac:dyDescent="0.2">
      <c r="A188" s="572" t="s">
        <v>69</v>
      </c>
      <c r="B188" s="1238"/>
      <c r="C188" s="1453" t="s">
        <v>765</v>
      </c>
      <c r="D188" s="1213"/>
      <c r="E188" s="1213"/>
      <c r="F188" s="1213"/>
      <c r="G188" s="1213"/>
      <c r="H188" s="1454"/>
      <c r="I188" s="1918"/>
      <c r="J188" s="1538"/>
      <c r="K188" s="614" t="s">
        <v>758</v>
      </c>
      <c r="L188" s="613" t="s">
        <v>190</v>
      </c>
      <c r="N188" s="67"/>
      <c r="O188" s="183">
        <v>8</v>
      </c>
      <c r="P188" s="568" t="s">
        <v>187</v>
      </c>
    </row>
    <row r="189" spans="1:16" s="66" customFormat="1" ht="39.950000000000003" customHeight="1" x14ac:dyDescent="0.2">
      <c r="A189" s="67"/>
      <c r="B189" s="327" t="s">
        <v>628</v>
      </c>
      <c r="C189" s="1252" t="s">
        <v>602</v>
      </c>
      <c r="D189" s="1252"/>
      <c r="E189" s="1252"/>
      <c r="F189" s="1252"/>
      <c r="G189" s="1252"/>
      <c r="H189" s="1252"/>
      <c r="I189" s="409">
        <f>'[2]Datos REG y HIJOS'!$D$13</f>
        <v>35</v>
      </c>
      <c r="J189" s="42">
        <f>'[2]Datos REG y HIJOS'!$E$13</f>
        <v>0.9</v>
      </c>
      <c r="K189" s="614" t="s">
        <v>601</v>
      </c>
      <c r="L189" s="613" t="s">
        <v>190</v>
      </c>
      <c r="M189" s="67"/>
      <c r="N189" s="182" t="s">
        <v>30</v>
      </c>
      <c r="O189" s="183">
        <v>8</v>
      </c>
      <c r="P189" s="568" t="s">
        <v>187</v>
      </c>
    </row>
    <row r="190" spans="1:16" s="66" customFormat="1" ht="39.950000000000003" customHeight="1" x14ac:dyDescent="0.2">
      <c r="A190" s="67"/>
      <c r="B190" s="327" t="s">
        <v>629</v>
      </c>
      <c r="C190" s="1252" t="s">
        <v>604</v>
      </c>
      <c r="D190" s="1252"/>
      <c r="E190" s="1252"/>
      <c r="F190" s="1252"/>
      <c r="G190" s="1252"/>
      <c r="H190" s="1252"/>
      <c r="I190" s="409">
        <f>'[2]Datos REG y HIJOS'!$D$14</f>
        <v>55</v>
      </c>
      <c r="J190" s="42">
        <f>'[2]Datos REG y HIJOS'!$E$14</f>
        <v>0.85</v>
      </c>
      <c r="K190" s="614" t="s">
        <v>603</v>
      </c>
      <c r="L190" s="613" t="s">
        <v>190</v>
      </c>
      <c r="M190" s="67"/>
      <c r="N190" s="182" t="s">
        <v>30</v>
      </c>
      <c r="O190" s="183">
        <v>8</v>
      </c>
      <c r="P190" s="568" t="s">
        <v>187</v>
      </c>
    </row>
    <row r="191" spans="1:16" ht="39.950000000000003" customHeight="1" x14ac:dyDescent="0.2">
      <c r="A191" s="45"/>
      <c r="B191" s="327" t="s">
        <v>778</v>
      </c>
      <c r="C191" s="1252" t="s">
        <v>770</v>
      </c>
      <c r="D191" s="1252"/>
      <c r="E191" s="1252"/>
      <c r="F191" s="1252"/>
      <c r="G191" s="1252"/>
      <c r="H191" s="1252"/>
      <c r="I191" s="580">
        <f>'[2]Datos REG y HIJOS'!$D$15</f>
        <v>115</v>
      </c>
      <c r="J191" s="353">
        <f>'[2]Datos REG y HIJOS'!$E$15</f>
        <v>0.65</v>
      </c>
      <c r="K191" s="614" t="s">
        <v>769</v>
      </c>
      <c r="L191" s="613" t="s">
        <v>190</v>
      </c>
      <c r="M191" s="66"/>
      <c r="N191" s="182" t="s">
        <v>30</v>
      </c>
      <c r="O191" s="183">
        <v>8</v>
      </c>
      <c r="P191" s="568" t="s">
        <v>187</v>
      </c>
    </row>
    <row r="192" spans="1:16" s="66" customFormat="1" ht="30" customHeight="1" x14ac:dyDescent="0.2">
      <c r="A192" s="572"/>
      <c r="B192" s="327" t="s">
        <v>777</v>
      </c>
      <c r="C192" s="1432" t="s">
        <v>768</v>
      </c>
      <c r="D192" s="1433"/>
      <c r="E192" s="432"/>
      <c r="F192" s="432"/>
      <c r="G192" s="432"/>
      <c r="H192" s="433"/>
      <c r="I192" s="580">
        <v>120</v>
      </c>
      <c r="J192" s="353">
        <v>0.6</v>
      </c>
      <c r="L192" s="661"/>
      <c r="N192" s="67"/>
      <c r="O192" s="67"/>
      <c r="P192" s="586"/>
    </row>
    <row r="193" spans="1:16" ht="19.5" customHeight="1" x14ac:dyDescent="0.2">
      <c r="B193" s="616"/>
      <c r="C193" s="617"/>
      <c r="D193" s="617"/>
      <c r="E193" s="617"/>
      <c r="F193" s="617"/>
      <c r="G193" s="617"/>
      <c r="H193" s="617"/>
      <c r="I193" s="618"/>
      <c r="J193" s="128"/>
      <c r="L193" s="594"/>
      <c r="O193" s="594"/>
    </row>
    <row r="194" spans="1:16" ht="30" customHeight="1" x14ac:dyDescent="0.2">
      <c r="B194" s="1662" t="s">
        <v>228</v>
      </c>
      <c r="C194" s="1663"/>
      <c r="D194" s="1663"/>
      <c r="E194" s="1663"/>
      <c r="F194" s="1663"/>
      <c r="G194" s="1663"/>
      <c r="H194" s="1664"/>
      <c r="I194" s="406" t="s">
        <v>229</v>
      </c>
      <c r="J194" s="35" t="s">
        <v>18</v>
      </c>
      <c r="K194" s="226" t="s">
        <v>230</v>
      </c>
      <c r="L194" s="183">
        <v>9</v>
      </c>
      <c r="N194" s="182" t="s">
        <v>30</v>
      </c>
      <c r="O194" s="183">
        <v>9</v>
      </c>
    </row>
    <row r="195" spans="1:16" ht="30" customHeight="1" x14ac:dyDescent="0.2">
      <c r="B195" s="1736" t="s">
        <v>822</v>
      </c>
      <c r="C195" s="1914"/>
      <c r="D195" s="1914"/>
      <c r="E195" s="1914"/>
      <c r="F195" s="1914"/>
      <c r="G195" s="1914"/>
      <c r="H195" s="1914"/>
      <c r="I195" s="1737"/>
      <c r="J195" s="1738"/>
      <c r="K195" s="226" t="s">
        <v>230</v>
      </c>
      <c r="L195" s="183">
        <v>9</v>
      </c>
      <c r="O195" s="183">
        <v>9</v>
      </c>
    </row>
    <row r="196" spans="1:16" ht="39.950000000000003" customHeight="1" x14ac:dyDescent="0.2">
      <c r="B196" s="1915" t="s">
        <v>26</v>
      </c>
      <c r="C196" s="1203" t="s">
        <v>217</v>
      </c>
      <c r="D196" s="1204"/>
      <c r="E196" s="1204" t="s">
        <v>231</v>
      </c>
      <c r="F196" s="1204"/>
      <c r="G196" s="1204" t="s">
        <v>226</v>
      </c>
      <c r="H196" s="1205"/>
      <c r="I196" s="1698" t="s">
        <v>232</v>
      </c>
      <c r="J196" s="915">
        <v>1</v>
      </c>
      <c r="K196" s="226" t="s">
        <v>230</v>
      </c>
      <c r="L196" s="183">
        <v>9</v>
      </c>
      <c r="O196" s="183">
        <v>9</v>
      </c>
    </row>
    <row r="197" spans="1:16" ht="30" customHeight="1" x14ac:dyDescent="0.2">
      <c r="B197" s="1916"/>
      <c r="C197" s="129" t="s">
        <v>196</v>
      </c>
      <c r="D197" s="47"/>
      <c r="E197" s="969" t="s">
        <v>233</v>
      </c>
      <c r="F197" s="969"/>
      <c r="G197" s="969" t="s">
        <v>234</v>
      </c>
      <c r="H197" s="1193"/>
      <c r="I197" s="1699"/>
      <c r="J197" s="1045"/>
      <c r="K197" s="226" t="s">
        <v>230</v>
      </c>
      <c r="L197" s="183">
        <v>9</v>
      </c>
      <c r="O197" s="183">
        <v>9</v>
      </c>
    </row>
    <row r="198" spans="1:16" ht="30" customHeight="1" x14ac:dyDescent="0.2">
      <c r="B198" s="1917"/>
      <c r="C198" s="130" t="s">
        <v>868</v>
      </c>
      <c r="D198" s="131"/>
      <c r="E198" s="132"/>
      <c r="F198" s="132"/>
      <c r="G198" s="132"/>
      <c r="H198" s="133"/>
      <c r="I198" s="1700"/>
      <c r="J198" s="916"/>
      <c r="K198" s="226" t="s">
        <v>230</v>
      </c>
      <c r="L198" s="183">
        <v>9</v>
      </c>
      <c r="O198" s="183">
        <v>9</v>
      </c>
    </row>
    <row r="199" spans="1:16" ht="85.5" customHeight="1" x14ac:dyDescent="0.2">
      <c r="B199" s="1345" t="s">
        <v>235</v>
      </c>
      <c r="C199" s="1346"/>
      <c r="D199" s="1346"/>
      <c r="E199" s="1346"/>
      <c r="F199" s="1346"/>
      <c r="G199" s="1346"/>
      <c r="H199" s="1346"/>
      <c r="I199" s="1346"/>
      <c r="J199" s="1347"/>
      <c r="K199" s="226" t="s">
        <v>230</v>
      </c>
      <c r="L199" s="183">
        <v>9</v>
      </c>
      <c r="O199" s="183">
        <v>9</v>
      </c>
    </row>
    <row r="200" spans="1:16" ht="20.100000000000001" customHeight="1" x14ac:dyDescent="0.2">
      <c r="B200" s="619"/>
      <c r="C200" s="619"/>
      <c r="D200" s="619"/>
      <c r="E200" s="619"/>
      <c r="F200" s="619"/>
      <c r="G200" s="619"/>
      <c r="H200" s="619"/>
      <c r="I200" s="839"/>
      <c r="J200" s="142"/>
      <c r="K200" s="66"/>
      <c r="L200" s="67"/>
      <c r="O200" s="67"/>
    </row>
    <row r="201" spans="1:16" ht="30" customHeight="1" x14ac:dyDescent="0.2">
      <c r="B201" s="1662" t="s">
        <v>237</v>
      </c>
      <c r="C201" s="1663"/>
      <c r="D201" s="1663"/>
      <c r="E201" s="1663"/>
      <c r="F201" s="1663"/>
      <c r="G201" s="1663"/>
      <c r="H201" s="1664"/>
      <c r="I201" s="406" t="s">
        <v>238</v>
      </c>
      <c r="J201" s="35" t="s">
        <v>18</v>
      </c>
      <c r="K201" s="66"/>
      <c r="L201" s="67"/>
      <c r="O201" s="67"/>
    </row>
    <row r="202" spans="1:16" ht="36.75" customHeight="1" x14ac:dyDescent="0.2">
      <c r="B202" s="620" t="s">
        <v>26</v>
      </c>
      <c r="C202" s="1169" t="s">
        <v>239</v>
      </c>
      <c r="D202" s="1170"/>
      <c r="E202" s="1170"/>
      <c r="F202" s="1170"/>
      <c r="G202" s="1170"/>
      <c r="H202" s="1171"/>
      <c r="I202" s="539">
        <v>170</v>
      </c>
      <c r="J202" s="75">
        <v>1</v>
      </c>
      <c r="K202" s="66"/>
      <c r="L202" s="67"/>
      <c r="O202" s="67"/>
    </row>
    <row r="203" spans="1:16" ht="20.100000000000001" customHeight="1" x14ac:dyDescent="0.2">
      <c r="B203" s="616"/>
      <c r="C203" s="561"/>
      <c r="D203" s="621"/>
      <c r="E203" s="621"/>
      <c r="F203" s="621"/>
      <c r="G203" s="621"/>
      <c r="H203" s="621"/>
      <c r="I203" s="593"/>
      <c r="J203" s="65"/>
    </row>
    <row r="204" spans="1:16" ht="30" customHeight="1" x14ac:dyDescent="0.2">
      <c r="A204" s="45"/>
      <c r="B204" s="1662" t="s">
        <v>240</v>
      </c>
      <c r="C204" s="1663"/>
      <c r="D204" s="1663"/>
      <c r="E204" s="1663"/>
      <c r="F204" s="1663"/>
      <c r="G204" s="1663"/>
      <c r="H204" s="1664"/>
      <c r="I204" s="406" t="s">
        <v>241</v>
      </c>
      <c r="J204" s="35" t="s">
        <v>18</v>
      </c>
      <c r="K204" s="226" t="s">
        <v>242</v>
      </c>
      <c r="L204" s="183">
        <v>10</v>
      </c>
      <c r="N204" s="182" t="s">
        <v>30</v>
      </c>
      <c r="O204" s="183">
        <v>10</v>
      </c>
      <c r="P204" s="568" t="s">
        <v>243</v>
      </c>
    </row>
    <row r="205" spans="1:16" ht="36" customHeight="1" x14ac:dyDescent="0.2">
      <c r="A205" s="45"/>
      <c r="B205" s="1913" t="s">
        <v>823</v>
      </c>
      <c r="C205" s="1913"/>
      <c r="D205" s="1913"/>
      <c r="E205" s="1913"/>
      <c r="F205" s="1913"/>
      <c r="G205" s="1913"/>
      <c r="H205" s="1913"/>
      <c r="I205" s="1913"/>
      <c r="J205" s="1913"/>
      <c r="O205" s="183">
        <v>10</v>
      </c>
      <c r="P205" s="568" t="s">
        <v>243</v>
      </c>
    </row>
    <row r="206" spans="1:16" ht="30" customHeight="1" x14ac:dyDescent="0.2">
      <c r="A206" s="45"/>
      <c r="B206" s="1818" t="s">
        <v>26</v>
      </c>
      <c r="C206" s="1203" t="s">
        <v>32</v>
      </c>
      <c r="D206" s="1204"/>
      <c r="E206" s="1188" t="s">
        <v>245</v>
      </c>
      <c r="F206" s="1188"/>
      <c r="G206" s="1204" t="s">
        <v>35</v>
      </c>
      <c r="H206" s="1205"/>
      <c r="I206" s="1698" t="str">
        <f>+'[2]Datos REG y HIJOS'!$F$3</f>
        <v>1 día de hab.</v>
      </c>
      <c r="J206" s="915">
        <f>+'[2]Datos REG y HIJOS'!$G$3</f>
        <v>0.9</v>
      </c>
      <c r="K206" s="570" t="s">
        <v>26</v>
      </c>
      <c r="L206" s="571" t="s">
        <v>246</v>
      </c>
      <c r="M206" s="598"/>
      <c r="O206" s="183">
        <v>10</v>
      </c>
      <c r="P206" s="568" t="s">
        <v>243</v>
      </c>
    </row>
    <row r="207" spans="1:16" ht="30" customHeight="1" x14ac:dyDescent="0.2">
      <c r="A207" s="45"/>
      <c r="B207" s="1793"/>
      <c r="C207" s="137" t="s">
        <v>29</v>
      </c>
      <c r="D207" s="134"/>
      <c r="E207" s="1180" t="s">
        <v>31</v>
      </c>
      <c r="F207" s="1180"/>
      <c r="G207" s="1192" t="s">
        <v>27</v>
      </c>
      <c r="H207" s="1215"/>
      <c r="I207" s="1699"/>
      <c r="J207" s="1045"/>
      <c r="K207" s="570" t="s">
        <v>26</v>
      </c>
      <c r="L207" s="571" t="s">
        <v>246</v>
      </c>
      <c r="M207" s="598"/>
      <c r="O207" s="183">
        <v>10</v>
      </c>
      <c r="P207" s="568" t="s">
        <v>243</v>
      </c>
    </row>
    <row r="208" spans="1:16" ht="30" customHeight="1" x14ac:dyDescent="0.2">
      <c r="A208" s="45"/>
      <c r="B208" s="1794"/>
      <c r="C208" s="1194" t="s">
        <v>38</v>
      </c>
      <c r="D208" s="1177"/>
      <c r="E208" s="1213"/>
      <c r="F208" s="1213"/>
      <c r="G208" s="862"/>
      <c r="H208" s="863"/>
      <c r="I208" s="1700"/>
      <c r="J208" s="916"/>
      <c r="K208" s="570" t="s">
        <v>26</v>
      </c>
      <c r="L208" s="571" t="s">
        <v>246</v>
      </c>
      <c r="M208" s="598"/>
      <c r="O208" s="183">
        <v>10</v>
      </c>
      <c r="P208" s="568" t="s">
        <v>243</v>
      </c>
    </row>
    <row r="209" spans="1:16" s="623" customFormat="1" ht="39.950000000000003" customHeight="1" x14ac:dyDescent="0.2">
      <c r="A209" s="622"/>
      <c r="B209" s="1783" t="s">
        <v>40</v>
      </c>
      <c r="C209" s="1895" t="s">
        <v>42</v>
      </c>
      <c r="D209" s="1896"/>
      <c r="E209" s="1896" t="s">
        <v>44</v>
      </c>
      <c r="F209" s="1896"/>
      <c r="G209" s="1896" t="s">
        <v>45</v>
      </c>
      <c r="H209" s="1900"/>
      <c r="I209" s="1819" t="str">
        <f>+'[2]Datos REG y HIJOS'!$F$4</f>
        <v>1 día de hab.</v>
      </c>
      <c r="J209" s="915">
        <f>+'[2]Datos REG y HIJOS'!$G$4</f>
        <v>0.9</v>
      </c>
      <c r="K209" s="570" t="s">
        <v>40</v>
      </c>
      <c r="L209" s="571" t="s">
        <v>246</v>
      </c>
      <c r="M209" s="598"/>
      <c r="N209" s="182" t="s">
        <v>30</v>
      </c>
      <c r="O209" s="183">
        <v>10</v>
      </c>
      <c r="P209" s="568" t="s">
        <v>243</v>
      </c>
    </row>
    <row r="210" spans="1:16" s="623" customFormat="1" ht="39.950000000000003" customHeight="1" x14ac:dyDescent="0.2">
      <c r="A210" s="622"/>
      <c r="B210" s="1784"/>
      <c r="C210" s="1893" t="s">
        <v>55</v>
      </c>
      <c r="D210" s="1841"/>
      <c r="E210" s="1841" t="s">
        <v>47</v>
      </c>
      <c r="F210" s="1841"/>
      <c r="G210" s="1702" t="s">
        <v>48</v>
      </c>
      <c r="H210" s="1703"/>
      <c r="I210" s="1826"/>
      <c r="J210" s="1045"/>
      <c r="K210" s="570" t="s">
        <v>40</v>
      </c>
      <c r="L210" s="571" t="s">
        <v>246</v>
      </c>
      <c r="M210" s="598"/>
      <c r="N210" s="67"/>
      <c r="O210" s="183">
        <v>10</v>
      </c>
      <c r="P210" s="568" t="s">
        <v>243</v>
      </c>
    </row>
    <row r="211" spans="1:16" s="623" customFormat="1" ht="39.950000000000003" customHeight="1" x14ac:dyDescent="0.2">
      <c r="A211" s="622"/>
      <c r="B211" s="1784"/>
      <c r="C211" s="1701" t="s">
        <v>46</v>
      </c>
      <c r="D211" s="1702"/>
      <c r="E211" s="1841" t="s">
        <v>247</v>
      </c>
      <c r="F211" s="1841"/>
      <c r="G211" s="1132" t="s">
        <v>64</v>
      </c>
      <c r="H211" s="1132"/>
      <c r="I211" s="1826"/>
      <c r="J211" s="1045"/>
      <c r="K211" s="570" t="s">
        <v>40</v>
      </c>
      <c r="L211" s="571" t="s">
        <v>246</v>
      </c>
      <c r="M211" s="598"/>
      <c r="N211" s="67"/>
      <c r="O211" s="183">
        <v>10</v>
      </c>
      <c r="P211" s="568" t="s">
        <v>243</v>
      </c>
    </row>
    <row r="212" spans="1:16" s="623" customFormat="1" ht="50.1" customHeight="1" x14ac:dyDescent="0.2">
      <c r="A212" s="622"/>
      <c r="B212" s="1784"/>
      <c r="C212" s="1701" t="s">
        <v>49</v>
      </c>
      <c r="D212" s="1702"/>
      <c r="E212" s="1841" t="s">
        <v>62</v>
      </c>
      <c r="F212" s="1841"/>
      <c r="G212" s="1841" t="s">
        <v>54</v>
      </c>
      <c r="H212" s="1894"/>
      <c r="I212" s="1826"/>
      <c r="J212" s="1045"/>
      <c r="K212" s="570" t="s">
        <v>40</v>
      </c>
      <c r="L212" s="571" t="s">
        <v>246</v>
      </c>
      <c r="M212" s="598"/>
      <c r="N212" s="67"/>
      <c r="O212" s="183">
        <v>10</v>
      </c>
      <c r="P212" s="568" t="s">
        <v>243</v>
      </c>
    </row>
    <row r="213" spans="1:16" s="623" customFormat="1" ht="39.950000000000003" customHeight="1" x14ac:dyDescent="0.2">
      <c r="A213" s="622"/>
      <c r="B213" s="1784"/>
      <c r="C213" s="1132" t="s">
        <v>68</v>
      </c>
      <c r="D213" s="1132"/>
      <c r="E213" s="1841" t="s">
        <v>56</v>
      </c>
      <c r="F213" s="1841"/>
      <c r="G213" s="1841" t="s">
        <v>58</v>
      </c>
      <c r="H213" s="1894"/>
      <c r="I213" s="1826"/>
      <c r="J213" s="1045"/>
      <c r="K213" s="570" t="s">
        <v>40</v>
      </c>
      <c r="L213" s="571" t="s">
        <v>246</v>
      </c>
      <c r="M213" s="598"/>
      <c r="N213" s="67"/>
      <c r="O213" s="183">
        <v>10</v>
      </c>
      <c r="P213" s="568" t="s">
        <v>243</v>
      </c>
    </row>
    <row r="214" spans="1:16" ht="39.950000000000003" customHeight="1" x14ac:dyDescent="0.2">
      <c r="A214" s="572" t="s">
        <v>69</v>
      </c>
      <c r="B214" s="1785"/>
      <c r="C214" s="1701" t="s">
        <v>249</v>
      </c>
      <c r="D214" s="1702"/>
      <c r="E214" s="1702"/>
      <c r="F214" s="1702"/>
      <c r="G214" s="1702"/>
      <c r="H214" s="1703"/>
      <c r="I214" s="1820"/>
      <c r="J214" s="916"/>
      <c r="K214" s="570" t="s">
        <v>40</v>
      </c>
      <c r="L214" s="571" t="s">
        <v>246</v>
      </c>
      <c r="M214" s="598"/>
      <c r="O214" s="183">
        <v>10</v>
      </c>
      <c r="P214" s="568" t="s">
        <v>243</v>
      </c>
    </row>
    <row r="215" spans="1:16" ht="33" customHeight="1" x14ac:dyDescent="0.2">
      <c r="A215" s="622"/>
      <c r="B215" s="1718" t="s">
        <v>71</v>
      </c>
      <c r="C215" s="1187" t="s">
        <v>72</v>
      </c>
      <c r="D215" s="1188"/>
      <c r="E215" s="1188" t="s">
        <v>74</v>
      </c>
      <c r="F215" s="1188"/>
      <c r="G215" s="1188" t="s">
        <v>75</v>
      </c>
      <c r="H215" s="1189"/>
      <c r="I215" s="1887" t="str">
        <f>+'[2]Datos REG y HIJOS'!$F$5</f>
        <v>1 día de hab.</v>
      </c>
      <c r="J215" s="915">
        <f>+'[2]Datos REG y HIJOS'!$G$5</f>
        <v>0.85</v>
      </c>
      <c r="K215" s="570" t="s">
        <v>71</v>
      </c>
      <c r="L215" s="571" t="s">
        <v>246</v>
      </c>
      <c r="M215" s="598"/>
      <c r="N215" s="182" t="s">
        <v>30</v>
      </c>
      <c r="O215" s="183">
        <v>10</v>
      </c>
      <c r="P215" s="568" t="s">
        <v>243</v>
      </c>
    </row>
    <row r="216" spans="1:16" ht="33" customHeight="1" x14ac:dyDescent="0.2">
      <c r="A216" s="622"/>
      <c r="B216" s="1891"/>
      <c r="C216" s="968" t="s">
        <v>81</v>
      </c>
      <c r="D216" s="969"/>
      <c r="E216" s="969" t="s">
        <v>82</v>
      </c>
      <c r="F216" s="969"/>
      <c r="G216" s="1180" t="s">
        <v>80</v>
      </c>
      <c r="H216" s="1227"/>
      <c r="I216" s="1892"/>
      <c r="J216" s="1045"/>
      <c r="K216" s="570" t="s">
        <v>71</v>
      </c>
      <c r="L216" s="571" t="s">
        <v>246</v>
      </c>
      <c r="M216" s="598"/>
      <c r="O216" s="183">
        <v>10</v>
      </c>
      <c r="P216" s="568" t="s">
        <v>243</v>
      </c>
    </row>
    <row r="217" spans="1:16" ht="33" customHeight="1" x14ac:dyDescent="0.2">
      <c r="A217" s="622"/>
      <c r="B217" s="1891"/>
      <c r="C217" s="1211" t="s">
        <v>77</v>
      </c>
      <c r="D217" s="1190"/>
      <c r="E217" s="1190" t="s">
        <v>76</v>
      </c>
      <c r="F217" s="1190"/>
      <c r="G217" s="24" t="s">
        <v>78</v>
      </c>
      <c r="H217" s="624"/>
      <c r="I217" s="1892"/>
      <c r="J217" s="1045"/>
      <c r="K217" s="570" t="s">
        <v>71</v>
      </c>
      <c r="L217" s="571" t="s">
        <v>246</v>
      </c>
      <c r="M217" s="598"/>
      <c r="O217" s="183">
        <v>10</v>
      </c>
      <c r="P217" s="568" t="s">
        <v>243</v>
      </c>
    </row>
    <row r="218" spans="1:16" ht="39.950000000000003" customHeight="1" x14ac:dyDescent="0.2">
      <c r="A218" s="622"/>
      <c r="B218" s="1718" t="s">
        <v>85</v>
      </c>
      <c r="C218" s="1214" t="s">
        <v>378</v>
      </c>
      <c r="D218" s="1195"/>
      <c r="E218" s="1195" t="s">
        <v>342</v>
      </c>
      <c r="F218" s="1195"/>
      <c r="G218" s="1195" t="s">
        <v>86</v>
      </c>
      <c r="H218" s="1226"/>
      <c r="I218" s="1887" t="str">
        <f>+'[2]Datos REG y HIJOS'!$F$6</f>
        <v>1 día de hab.</v>
      </c>
      <c r="J218" s="915">
        <f>+'[2]Datos REG y HIJOS'!$G$6</f>
        <v>0.85</v>
      </c>
      <c r="K218" s="570" t="s">
        <v>85</v>
      </c>
      <c r="L218" s="571" t="s">
        <v>246</v>
      </c>
      <c r="M218" s="598"/>
      <c r="N218" s="182" t="s">
        <v>30</v>
      </c>
      <c r="O218" s="183">
        <v>10</v>
      </c>
      <c r="P218" s="568" t="s">
        <v>243</v>
      </c>
    </row>
    <row r="219" spans="1:16" ht="39.950000000000003" customHeight="1" x14ac:dyDescent="0.2">
      <c r="A219" s="622"/>
      <c r="B219" s="1891"/>
      <c r="C219" s="1211" t="s">
        <v>574</v>
      </c>
      <c r="D219" s="1190"/>
      <c r="E219" s="1190" t="s">
        <v>580</v>
      </c>
      <c r="F219" s="1190"/>
      <c r="G219" s="1190" t="s">
        <v>576</v>
      </c>
      <c r="H219" s="1212"/>
      <c r="I219" s="1892"/>
      <c r="J219" s="1045"/>
      <c r="K219" s="570" t="s">
        <v>85</v>
      </c>
      <c r="L219" s="571" t="s">
        <v>246</v>
      </c>
      <c r="M219" s="598"/>
      <c r="O219" s="183">
        <v>10</v>
      </c>
      <c r="P219" s="568" t="s">
        <v>243</v>
      </c>
    </row>
    <row r="220" spans="1:16" ht="30" customHeight="1" x14ac:dyDescent="0.2">
      <c r="A220" s="622"/>
      <c r="B220" s="1891"/>
      <c r="C220" s="1211" t="s">
        <v>577</v>
      </c>
      <c r="D220" s="1190"/>
      <c r="E220" s="1190" t="s">
        <v>624</v>
      </c>
      <c r="F220" s="1190"/>
      <c r="G220" s="1190" t="s">
        <v>578</v>
      </c>
      <c r="H220" s="1212"/>
      <c r="I220" s="1892"/>
      <c r="J220" s="1045"/>
      <c r="K220" s="570" t="s">
        <v>85</v>
      </c>
      <c r="L220" s="571" t="s">
        <v>246</v>
      </c>
      <c r="M220" s="598"/>
      <c r="O220" s="183">
        <v>10</v>
      </c>
      <c r="P220" s="568" t="s">
        <v>243</v>
      </c>
    </row>
    <row r="221" spans="1:16" ht="30" customHeight="1" x14ac:dyDescent="0.2">
      <c r="A221" s="622"/>
      <c r="B221" s="1891"/>
      <c r="C221" s="1046" t="s">
        <v>402</v>
      </c>
      <c r="D221" s="1022"/>
      <c r="E221" s="1190" t="s">
        <v>581</v>
      </c>
      <c r="F221" s="1190"/>
      <c r="G221" s="1190" t="s">
        <v>579</v>
      </c>
      <c r="H221" s="1212"/>
      <c r="I221" s="1892"/>
      <c r="J221" s="1045"/>
      <c r="K221" s="570" t="s">
        <v>85</v>
      </c>
      <c r="L221" s="571" t="s">
        <v>246</v>
      </c>
      <c r="M221" s="598"/>
      <c r="O221" s="183">
        <v>10</v>
      </c>
      <c r="P221" s="568" t="s">
        <v>243</v>
      </c>
    </row>
    <row r="222" spans="1:16" ht="30" customHeight="1" x14ac:dyDescent="0.2">
      <c r="A222" s="622"/>
      <c r="B222" s="1719"/>
      <c r="C222" s="1116" t="s">
        <v>573</v>
      </c>
      <c r="D222" s="1034"/>
      <c r="E222" s="344"/>
      <c r="F222" s="344"/>
      <c r="G222" s="344"/>
      <c r="H222" s="345"/>
      <c r="I222" s="1888"/>
      <c r="J222" s="916"/>
      <c r="K222" s="570" t="s">
        <v>85</v>
      </c>
      <c r="L222" s="571" t="s">
        <v>246</v>
      </c>
      <c r="M222" s="598"/>
      <c r="O222" s="183">
        <v>10</v>
      </c>
      <c r="P222" s="568" t="s">
        <v>243</v>
      </c>
    </row>
    <row r="223" spans="1:16" ht="39.950000000000003" customHeight="1" x14ac:dyDescent="0.2">
      <c r="A223" s="622"/>
      <c r="B223" s="1783" t="s">
        <v>87</v>
      </c>
      <c r="C223" s="1701" t="s">
        <v>88</v>
      </c>
      <c r="D223" s="1702"/>
      <c r="E223" s="1702" t="s">
        <v>89</v>
      </c>
      <c r="F223" s="1702"/>
      <c r="G223" s="1702" t="s">
        <v>90</v>
      </c>
      <c r="H223" s="1703"/>
      <c r="I223" s="1698" t="str">
        <f>+'[2]Datos REG y HIJOS'!$F$7</f>
        <v>1 día de hab.</v>
      </c>
      <c r="J223" s="915">
        <f>+'[2]Datos REG y HIJOS'!$G$7</f>
        <v>0.85</v>
      </c>
      <c r="K223" s="570" t="s">
        <v>87</v>
      </c>
      <c r="L223" s="571" t="s">
        <v>246</v>
      </c>
      <c r="M223" s="598"/>
      <c r="N223" s="182" t="s">
        <v>30</v>
      </c>
      <c r="O223" s="183">
        <v>10</v>
      </c>
      <c r="P223" s="568" t="s">
        <v>243</v>
      </c>
    </row>
    <row r="224" spans="1:16" ht="39.950000000000003" customHeight="1" x14ac:dyDescent="0.2">
      <c r="A224" s="622"/>
      <c r="B224" s="1784"/>
      <c r="C224" s="1701" t="s">
        <v>93</v>
      </c>
      <c r="D224" s="1702"/>
      <c r="E224" s="1702" t="s">
        <v>92</v>
      </c>
      <c r="F224" s="1702"/>
      <c r="G224" s="1702" t="s">
        <v>39</v>
      </c>
      <c r="H224" s="1703"/>
      <c r="I224" s="1699"/>
      <c r="J224" s="1045"/>
      <c r="K224" s="570" t="s">
        <v>87</v>
      </c>
      <c r="L224" s="571" t="s">
        <v>246</v>
      </c>
      <c r="M224" s="598"/>
      <c r="N224" s="149"/>
      <c r="O224" s="183">
        <v>10</v>
      </c>
      <c r="P224" s="568" t="s">
        <v>243</v>
      </c>
    </row>
    <row r="225" spans="1:32" ht="39.950000000000003" customHeight="1" x14ac:dyDescent="0.2">
      <c r="A225" s="622"/>
      <c r="B225" s="1785"/>
      <c r="C225" s="1704" t="s">
        <v>96</v>
      </c>
      <c r="D225" s="1685"/>
      <c r="E225" s="649"/>
      <c r="F225" s="649"/>
      <c r="G225" s="649"/>
      <c r="H225" s="814"/>
      <c r="I225" s="1700"/>
      <c r="J225" s="916"/>
      <c r="K225" s="570" t="s">
        <v>87</v>
      </c>
      <c r="L225" s="571" t="s">
        <v>246</v>
      </c>
      <c r="M225" s="598"/>
      <c r="N225" s="149"/>
      <c r="O225" s="183">
        <v>10</v>
      </c>
      <c r="P225" s="568" t="s">
        <v>243</v>
      </c>
    </row>
    <row r="226" spans="1:32" s="630" customFormat="1" ht="39.950000000000003" customHeight="1" x14ac:dyDescent="0.2">
      <c r="A226" s="627"/>
      <c r="B226" s="765" t="s">
        <v>567</v>
      </c>
      <c r="C226" s="1881" t="s">
        <v>134</v>
      </c>
      <c r="D226" s="1882"/>
      <c r="E226" s="2030" t="s">
        <v>631</v>
      </c>
      <c r="F226" s="2030"/>
      <c r="G226" s="1882" t="s">
        <v>95</v>
      </c>
      <c r="H226" s="2031"/>
      <c r="I226" s="662" t="str">
        <f>+'[2]Datos REG y HIJOS'!$F$8</f>
        <v>1 día de hab.</v>
      </c>
      <c r="J226" s="42">
        <f>+'[2]Datos REG y HIJOS'!$G$8</f>
        <v>0.85</v>
      </c>
      <c r="K226" s="570" t="s">
        <v>567</v>
      </c>
      <c r="L226" s="571" t="s">
        <v>246</v>
      </c>
      <c r="M226" s="598"/>
      <c r="N226" s="182" t="s">
        <v>30</v>
      </c>
      <c r="O226" s="183">
        <v>10</v>
      </c>
      <c r="P226" s="568" t="s">
        <v>243</v>
      </c>
    </row>
    <row r="227" spans="1:32" s="66" customFormat="1" ht="30" customHeight="1" x14ac:dyDescent="0.2">
      <c r="A227" s="67"/>
      <c r="B227" s="1971" t="s">
        <v>584</v>
      </c>
      <c r="C227" s="1457" t="s">
        <v>585</v>
      </c>
      <c r="D227" s="1219"/>
      <c r="E227" s="1702" t="s">
        <v>138</v>
      </c>
      <c r="F227" s="1702"/>
      <c r="G227" s="1702" t="s">
        <v>586</v>
      </c>
      <c r="H227" s="1703"/>
      <c r="I227" s="1699" t="str">
        <f>+'[2]Datos REG y HIJOS'!$F$10</f>
        <v>1 día de hab.</v>
      </c>
      <c r="J227" s="1045">
        <f>+'[2]Datos REG y HIJOS'!$G$10</f>
        <v>0.8</v>
      </c>
      <c r="K227" s="570" t="s">
        <v>584</v>
      </c>
      <c r="L227" s="571" t="s">
        <v>246</v>
      </c>
      <c r="M227" s="67"/>
      <c r="O227" s="183">
        <v>10</v>
      </c>
      <c r="P227" s="568" t="s">
        <v>243</v>
      </c>
    </row>
    <row r="228" spans="1:32" s="66" customFormat="1" ht="30" customHeight="1" x14ac:dyDescent="0.2">
      <c r="A228" s="67"/>
      <c r="B228" s="1971"/>
      <c r="C228" s="1452" t="s">
        <v>587</v>
      </c>
      <c r="D228" s="1192"/>
      <c r="E228" s="1192"/>
      <c r="F228" s="1192"/>
      <c r="G228" s="1775"/>
      <c r="H228" s="1776"/>
      <c r="I228" s="1699"/>
      <c r="J228" s="1045"/>
      <c r="K228" s="570" t="s">
        <v>584</v>
      </c>
      <c r="L228" s="571" t="s">
        <v>246</v>
      </c>
      <c r="M228" s="67"/>
      <c r="O228" s="183">
        <v>10</v>
      </c>
      <c r="P228" s="568" t="s">
        <v>243</v>
      </c>
    </row>
    <row r="229" spans="1:32" s="66" customFormat="1" ht="39.950000000000003" customHeight="1" x14ac:dyDescent="0.2">
      <c r="A229" s="67"/>
      <c r="B229" s="631" t="s">
        <v>571</v>
      </c>
      <c r="C229" s="1458" t="s">
        <v>596</v>
      </c>
      <c r="D229" s="1459"/>
      <c r="E229" s="1781" t="s">
        <v>598</v>
      </c>
      <c r="F229" s="1781"/>
      <c r="G229" s="1459" t="s">
        <v>599</v>
      </c>
      <c r="H229" s="1460"/>
      <c r="I229" s="351" t="str">
        <f>'[2]Datos REG y HIJOS'!$F$9</f>
        <v>1 día de hab.</v>
      </c>
      <c r="J229" s="42">
        <f>'[2]Datos REG y HIJOS'!$G$9</f>
        <v>0.8</v>
      </c>
      <c r="K229" s="570" t="s">
        <v>571</v>
      </c>
      <c r="L229" s="571" t="s">
        <v>246</v>
      </c>
      <c r="M229" s="67"/>
      <c r="N229" s="182" t="s">
        <v>30</v>
      </c>
      <c r="O229" s="183">
        <v>10</v>
      </c>
      <c r="P229" s="568" t="s">
        <v>243</v>
      </c>
    </row>
    <row r="230" spans="1:32" s="66" customFormat="1" ht="39.950000000000003" customHeight="1" x14ac:dyDescent="0.2">
      <c r="B230" s="632" t="s">
        <v>591</v>
      </c>
      <c r="C230" s="1461" t="s">
        <v>592</v>
      </c>
      <c r="D230" s="1462"/>
      <c r="E230" s="1462" t="s">
        <v>176</v>
      </c>
      <c r="F230" s="1462"/>
      <c r="G230" s="1462" t="s">
        <v>593</v>
      </c>
      <c r="H230" s="1463"/>
      <c r="I230" s="633" t="str">
        <f>+'[2]Datos REG y HIJOS'!$F$11</f>
        <v>1 día de hab.</v>
      </c>
      <c r="J230" s="634">
        <f>+'[2]Datos REG y HIJOS'!$G$11</f>
        <v>0.75</v>
      </c>
      <c r="K230" s="570" t="s">
        <v>591</v>
      </c>
      <c r="L230" s="571" t="s">
        <v>246</v>
      </c>
      <c r="N230" s="182" t="s">
        <v>30</v>
      </c>
      <c r="O230" s="183">
        <v>10</v>
      </c>
      <c r="P230" s="568" t="s">
        <v>243</v>
      </c>
    </row>
    <row r="231" spans="1:32" s="66" customFormat="1" ht="30" customHeight="1" x14ac:dyDescent="0.2">
      <c r="A231" s="537"/>
      <c r="B231" s="1965" t="s">
        <v>758</v>
      </c>
      <c r="C231" s="2028" t="s">
        <v>759</v>
      </c>
      <c r="D231" s="1499"/>
      <c r="E231" s="1499" t="s">
        <v>779</v>
      </c>
      <c r="F231" s="1499"/>
      <c r="G231" s="1499" t="s">
        <v>762</v>
      </c>
      <c r="H231" s="2029"/>
      <c r="I231" s="1968" t="str">
        <f>+'[2]Datos REG y HIJOS'!$F$12</f>
        <v>1 día de hab.</v>
      </c>
      <c r="J231" s="1502">
        <f>+'[2]Datos REG y HIJOS'!$G$12</f>
        <v>0.7</v>
      </c>
      <c r="K231" s="570" t="s">
        <v>758</v>
      </c>
      <c r="L231" s="571" t="s">
        <v>246</v>
      </c>
      <c r="N231" s="182" t="s">
        <v>30</v>
      </c>
      <c r="O231" s="183">
        <v>10</v>
      </c>
      <c r="P231" s="568" t="s">
        <v>243</v>
      </c>
    </row>
    <row r="232" spans="1:32" s="66" customFormat="1" ht="30" customHeight="1" x14ac:dyDescent="0.2">
      <c r="A232" s="537"/>
      <c r="B232" s="1966"/>
      <c r="C232" s="1452" t="s">
        <v>215</v>
      </c>
      <c r="D232" s="1192"/>
      <c r="E232" s="1192"/>
      <c r="F232" s="1192"/>
      <c r="G232" s="621"/>
      <c r="H232" s="635"/>
      <c r="I232" s="1869"/>
      <c r="J232" s="1468"/>
      <c r="K232" s="570" t="s">
        <v>758</v>
      </c>
      <c r="L232" s="571" t="s">
        <v>246</v>
      </c>
      <c r="O232" s="183">
        <v>10</v>
      </c>
      <c r="P232" s="568" t="s">
        <v>243</v>
      </c>
    </row>
    <row r="233" spans="1:32" s="66" customFormat="1" ht="30" customHeight="1" x14ac:dyDescent="0.2">
      <c r="A233" s="572" t="s">
        <v>69</v>
      </c>
      <c r="B233" s="1966"/>
      <c r="C233" s="1452" t="s">
        <v>765</v>
      </c>
      <c r="D233" s="1192"/>
      <c r="E233" s="1192"/>
      <c r="F233" s="1192"/>
      <c r="G233" s="1192"/>
      <c r="H233" s="1215"/>
      <c r="I233" s="1869"/>
      <c r="J233" s="1468"/>
      <c r="K233" s="570" t="s">
        <v>758</v>
      </c>
      <c r="L233" s="571" t="s">
        <v>246</v>
      </c>
      <c r="O233" s="183">
        <v>10</v>
      </c>
      <c r="P233" s="568" t="s">
        <v>243</v>
      </c>
    </row>
    <row r="234" spans="1:32" s="66" customFormat="1" ht="30" customHeight="1" x14ac:dyDescent="0.2">
      <c r="A234" s="183" t="s">
        <v>97</v>
      </c>
      <c r="B234" s="1966"/>
      <c r="C234" s="1452" t="s">
        <v>98</v>
      </c>
      <c r="D234" s="1192"/>
      <c r="E234" s="1192"/>
      <c r="F234" s="1192"/>
      <c r="G234" s="1192"/>
      <c r="H234" s="1215"/>
      <c r="I234" s="1869"/>
      <c r="J234" s="1468"/>
      <c r="K234" s="570" t="s">
        <v>758</v>
      </c>
      <c r="L234" s="571" t="s">
        <v>246</v>
      </c>
      <c r="O234" s="183">
        <v>10</v>
      </c>
      <c r="P234" s="568" t="s">
        <v>243</v>
      </c>
      <c r="Q234" s="45"/>
      <c r="R234" s="45"/>
      <c r="S234" s="45"/>
      <c r="T234" s="45"/>
      <c r="U234" s="45"/>
      <c r="V234" s="45"/>
      <c r="W234" s="45"/>
      <c r="X234" s="45"/>
      <c r="Y234" s="45"/>
      <c r="Z234" s="45"/>
      <c r="AA234" s="45"/>
      <c r="AB234" s="45"/>
      <c r="AC234" s="45"/>
      <c r="AD234" s="45"/>
      <c r="AE234" s="45"/>
      <c r="AF234" s="45"/>
    </row>
    <row r="235" spans="1:32" s="66" customFormat="1" ht="30" customHeight="1" x14ac:dyDescent="0.2">
      <c r="A235" s="183" t="s">
        <v>97</v>
      </c>
      <c r="B235" s="2021"/>
      <c r="C235" s="1453" t="s">
        <v>766</v>
      </c>
      <c r="D235" s="1213"/>
      <c r="E235" s="1213"/>
      <c r="F235" s="1213"/>
      <c r="G235" s="1213"/>
      <c r="H235" s="1454"/>
      <c r="I235" s="1870"/>
      <c r="J235" s="1533"/>
      <c r="K235" s="570" t="s">
        <v>758</v>
      </c>
      <c r="L235" s="571" t="s">
        <v>246</v>
      </c>
      <c r="O235" s="183">
        <v>10</v>
      </c>
      <c r="P235" s="568" t="s">
        <v>243</v>
      </c>
      <c r="Q235" s="45"/>
      <c r="R235" s="45"/>
      <c r="S235" s="45"/>
      <c r="T235" s="45"/>
      <c r="U235" s="45"/>
      <c r="V235" s="45"/>
      <c r="W235" s="45"/>
      <c r="X235" s="45"/>
      <c r="Y235" s="45"/>
      <c r="Z235" s="45"/>
      <c r="AA235" s="45"/>
      <c r="AB235" s="45"/>
      <c r="AC235" s="45"/>
      <c r="AD235" s="45"/>
      <c r="AE235" s="45"/>
      <c r="AF235" s="45"/>
    </row>
    <row r="236" spans="1:32" s="66" customFormat="1" ht="39.950000000000003" customHeight="1" x14ac:dyDescent="0.2">
      <c r="A236" s="67"/>
      <c r="B236" s="541" t="s">
        <v>601</v>
      </c>
      <c r="C236" s="1861" t="s">
        <v>602</v>
      </c>
      <c r="D236" s="1861"/>
      <c r="E236" s="1861"/>
      <c r="F236" s="1861"/>
      <c r="G236" s="1861"/>
      <c r="H236" s="1861"/>
      <c r="I236" s="580" t="str">
        <f>+'[2]Datos REG y HIJOS'!$F$13</f>
        <v>1 día de hab.</v>
      </c>
      <c r="J236" s="353">
        <f>+'[2]Datos REG y HIJOS'!$G$13</f>
        <v>0.9</v>
      </c>
      <c r="K236" s="570" t="s">
        <v>601</v>
      </c>
      <c r="L236" s="571" t="s">
        <v>246</v>
      </c>
      <c r="M236" s="67"/>
      <c r="N236" s="182" t="s">
        <v>30</v>
      </c>
      <c r="O236" s="183">
        <v>10</v>
      </c>
      <c r="P236" s="568" t="s">
        <v>243</v>
      </c>
    </row>
    <row r="237" spans="1:32" s="66" customFormat="1" ht="39.950000000000003" customHeight="1" x14ac:dyDescent="0.2">
      <c r="A237" s="67"/>
      <c r="B237" s="541" t="s">
        <v>603</v>
      </c>
      <c r="C237" s="1252" t="s">
        <v>604</v>
      </c>
      <c r="D237" s="1252"/>
      <c r="E237" s="1252"/>
      <c r="F237" s="1252"/>
      <c r="G237" s="1252"/>
      <c r="H237" s="1252"/>
      <c r="I237" s="580" t="str">
        <f>+'[2]Datos REG y HIJOS'!$F$14</f>
        <v>1 día de hab.</v>
      </c>
      <c r="J237" s="353">
        <f>+'[2]Datos REG y HIJOS'!$G$14</f>
        <v>0.85</v>
      </c>
      <c r="K237" s="570" t="s">
        <v>603</v>
      </c>
      <c r="L237" s="571" t="s">
        <v>246</v>
      </c>
      <c r="M237" s="67"/>
      <c r="N237" s="182" t="s">
        <v>30</v>
      </c>
      <c r="O237" s="183">
        <v>10</v>
      </c>
      <c r="P237" s="568" t="s">
        <v>243</v>
      </c>
    </row>
    <row r="238" spans="1:32" ht="39.950000000000003" customHeight="1" x14ac:dyDescent="0.2">
      <c r="A238" s="45"/>
      <c r="B238" s="636" t="s">
        <v>769</v>
      </c>
      <c r="C238" s="1908" t="s">
        <v>770</v>
      </c>
      <c r="D238" s="1908"/>
      <c r="E238" s="1908"/>
      <c r="F238" s="1908"/>
      <c r="G238" s="1908"/>
      <c r="H238" s="1908"/>
      <c r="I238" s="633" t="str">
        <f>+'[2]Datos REG y HIJOS'!$F$15</f>
        <v>1 día de hab.</v>
      </c>
      <c r="J238" s="637">
        <f>+'[2]Datos REG y HIJOS'!$G$15</f>
        <v>0.6</v>
      </c>
      <c r="K238" s="570" t="s">
        <v>769</v>
      </c>
      <c r="L238" s="571" t="s">
        <v>246</v>
      </c>
      <c r="M238" s="66"/>
      <c r="N238" s="182" t="s">
        <v>30</v>
      </c>
      <c r="O238" s="183">
        <v>10</v>
      </c>
      <c r="P238" s="568" t="s">
        <v>243</v>
      </c>
    </row>
    <row r="239" spans="1:32" s="66" customFormat="1" ht="51" customHeight="1" x14ac:dyDescent="0.2">
      <c r="A239" s="183"/>
      <c r="B239" s="541" t="s">
        <v>767</v>
      </c>
      <c r="C239" s="1432" t="s">
        <v>768</v>
      </c>
      <c r="D239" s="1433"/>
      <c r="E239" s="432"/>
      <c r="F239" s="432"/>
      <c r="G239" s="432"/>
      <c r="H239" s="433"/>
      <c r="I239" s="580" t="s">
        <v>409</v>
      </c>
      <c r="J239" s="353">
        <v>0.6</v>
      </c>
      <c r="L239" s="661"/>
      <c r="O239" s="67"/>
      <c r="P239" s="586"/>
      <c r="Q239" s="45"/>
      <c r="R239" s="45"/>
      <c r="S239" s="45"/>
      <c r="T239" s="45"/>
      <c r="U239" s="45"/>
      <c r="V239" s="45"/>
      <c r="W239" s="45"/>
      <c r="X239" s="45"/>
      <c r="Y239" s="45"/>
      <c r="Z239" s="45"/>
      <c r="AA239" s="45"/>
      <c r="AB239" s="45"/>
      <c r="AC239" s="45"/>
      <c r="AD239" s="45"/>
      <c r="AE239" s="45"/>
      <c r="AF239" s="45"/>
    </row>
    <row r="240" spans="1:32" ht="20.100000000000001" customHeight="1" x14ac:dyDescent="0.2">
      <c r="A240" s="45"/>
      <c r="B240" s="638"/>
      <c r="C240" s="638"/>
      <c r="D240" s="638"/>
      <c r="E240" s="638"/>
      <c r="F240" s="638"/>
      <c r="G240" s="638"/>
      <c r="H240" s="638"/>
      <c r="I240" s="639"/>
      <c r="J240" s="640"/>
      <c r="L240" s="67"/>
      <c r="N240" s="149"/>
      <c r="O240" s="67"/>
    </row>
    <row r="241" spans="1:16" s="18" customFormat="1" ht="30" customHeight="1" x14ac:dyDescent="0.2">
      <c r="A241" s="23"/>
      <c r="B241" s="1223" t="s">
        <v>878</v>
      </c>
      <c r="C241" s="1223"/>
      <c r="D241" s="1223"/>
      <c r="E241" s="1223"/>
      <c r="F241" s="1223"/>
      <c r="G241" s="1223"/>
      <c r="H241" s="1223"/>
      <c r="I241" s="34" t="s">
        <v>17</v>
      </c>
      <c r="J241" s="254" t="s">
        <v>18</v>
      </c>
      <c r="K241" s="354" t="s">
        <v>634</v>
      </c>
      <c r="L241" s="354" t="s">
        <v>634</v>
      </c>
      <c r="M241" s="4"/>
      <c r="N241" s="46" t="s">
        <v>30</v>
      </c>
      <c r="O241" s="4"/>
    </row>
    <row r="242" spans="1:16" s="66" customFormat="1" ht="45" customHeight="1" x14ac:dyDescent="0.2">
      <c r="A242" s="67"/>
      <c r="B242" s="1395" t="s">
        <v>911</v>
      </c>
      <c r="C242" s="1395"/>
      <c r="D242" s="1395"/>
      <c r="E242" s="1395"/>
      <c r="F242" s="1395"/>
      <c r="G242" s="1395"/>
      <c r="H242" s="1395"/>
      <c r="I242" s="1395"/>
      <c r="J242" s="1395"/>
      <c r="K242" s="641" t="s">
        <v>634</v>
      </c>
      <c r="L242" s="641" t="s">
        <v>634</v>
      </c>
      <c r="M242" s="67"/>
      <c r="O242"/>
      <c r="P242"/>
    </row>
    <row r="243" spans="1:16" ht="30" customHeight="1" x14ac:dyDescent="0.2">
      <c r="A243" s="45"/>
      <c r="B243" s="979" t="s">
        <v>880</v>
      </c>
      <c r="C243" s="980"/>
      <c r="D243" s="980"/>
      <c r="E243" s="980"/>
      <c r="F243" s="980"/>
      <c r="G243" s="980"/>
      <c r="H243" s="980"/>
      <c r="I243" s="980"/>
      <c r="J243" s="981"/>
      <c r="K243" s="641" t="s">
        <v>634</v>
      </c>
      <c r="L243" s="641" t="s">
        <v>634</v>
      </c>
      <c r="M243" s="181"/>
      <c r="N243" s="149"/>
      <c r="O243"/>
      <c r="P243"/>
    </row>
    <row r="244" spans="1:16" s="18" customFormat="1" ht="56.25" customHeight="1" x14ac:dyDescent="0.2">
      <c r="A244" s="4"/>
      <c r="B244" s="96" t="s">
        <v>328</v>
      </c>
      <c r="C244" s="1065" t="s">
        <v>637</v>
      </c>
      <c r="D244" s="1065"/>
      <c r="E244" s="1065"/>
      <c r="F244" s="1065"/>
      <c r="G244" s="1065"/>
      <c r="H244" s="1065"/>
      <c r="I244" s="74">
        <v>0</v>
      </c>
      <c r="J244" s="97">
        <v>1</v>
      </c>
      <c r="K244" s="354" t="s">
        <v>634</v>
      </c>
      <c r="L244" s="354" t="s">
        <v>634</v>
      </c>
      <c r="M244" s="4"/>
      <c r="O244"/>
      <c r="P244"/>
    </row>
    <row r="245" spans="1:16" ht="30" customHeight="1" x14ac:dyDescent="0.2">
      <c r="A245" s="45"/>
      <c r="B245" s="979" t="s">
        <v>881</v>
      </c>
      <c r="C245" s="980"/>
      <c r="D245" s="980"/>
      <c r="E245" s="980"/>
      <c r="F245" s="980"/>
      <c r="G245" s="980"/>
      <c r="H245" s="980"/>
      <c r="I245" s="980"/>
      <c r="J245" s="981"/>
      <c r="K245" s="641" t="s">
        <v>634</v>
      </c>
      <c r="L245" s="641" t="s">
        <v>634</v>
      </c>
      <c r="M245" s="181"/>
      <c r="N245" s="149"/>
      <c r="O245"/>
      <c r="P245"/>
    </row>
    <row r="246" spans="1:16" s="66" customFormat="1" ht="56.25" customHeight="1" x14ac:dyDescent="0.2">
      <c r="A246" s="67"/>
      <c r="B246" s="471" t="s">
        <v>328</v>
      </c>
      <c r="C246" s="1065" t="s">
        <v>882</v>
      </c>
      <c r="D246" s="1065"/>
      <c r="E246" s="1065"/>
      <c r="F246" s="1065"/>
      <c r="G246" s="1065"/>
      <c r="H246" s="1065"/>
      <c r="I246" s="539">
        <v>0</v>
      </c>
      <c r="J246" s="75">
        <v>1</v>
      </c>
      <c r="K246" s="641" t="s">
        <v>634</v>
      </c>
      <c r="L246" s="641" t="s">
        <v>634</v>
      </c>
      <c r="M246" s="67"/>
      <c r="O246"/>
      <c r="P246"/>
    </row>
    <row r="247" spans="1:16" s="66" customFormat="1" ht="20.100000000000001" customHeight="1" x14ac:dyDescent="0.2">
      <c r="A247" s="67"/>
      <c r="B247" s="583"/>
      <c r="C247" s="642"/>
      <c r="D247" s="642"/>
      <c r="E247" s="642"/>
      <c r="F247" s="642"/>
      <c r="G247" s="642"/>
      <c r="H247" s="642"/>
      <c r="I247" s="585"/>
      <c r="J247" s="78"/>
      <c r="K247" s="623"/>
      <c r="L247" s="623"/>
      <c r="M247" s="67"/>
      <c r="O247" s="67"/>
    </row>
    <row r="248" spans="1:16" ht="30" customHeight="1" x14ac:dyDescent="0.2">
      <c r="A248" s="45"/>
      <c r="B248" s="1355" t="s">
        <v>250</v>
      </c>
      <c r="C248" s="1673"/>
      <c r="D248" s="1673"/>
      <c r="E248" s="1673"/>
      <c r="F248" s="1673"/>
      <c r="G248" s="1673"/>
      <c r="H248" s="1673"/>
      <c r="I248" s="643" t="s">
        <v>17</v>
      </c>
      <c r="J248" s="35" t="s">
        <v>251</v>
      </c>
      <c r="N248" s="182" t="s">
        <v>30</v>
      </c>
    </row>
    <row r="249" spans="1:16" ht="50.1" customHeight="1" x14ac:dyDescent="0.2">
      <c r="A249" s="45"/>
      <c r="B249" s="1777" t="s">
        <v>252</v>
      </c>
      <c r="C249" s="1283"/>
      <c r="D249" s="1283"/>
      <c r="E249" s="1283"/>
      <c r="F249" s="1283"/>
      <c r="G249" s="1283"/>
      <c r="H249" s="1283"/>
      <c r="I249" s="145" t="s">
        <v>253</v>
      </c>
      <c r="J249" s="146" t="s">
        <v>253</v>
      </c>
      <c r="L249" s="67"/>
      <c r="N249" s="149"/>
      <c r="O249" s="67"/>
    </row>
    <row r="250" spans="1:16" ht="20.100000000000001" customHeight="1" x14ac:dyDescent="0.2">
      <c r="A250" s="45"/>
      <c r="B250" s="644"/>
      <c r="C250" s="644"/>
      <c r="D250" s="644"/>
      <c r="E250" s="644"/>
      <c r="F250" s="644"/>
      <c r="G250" s="644"/>
      <c r="H250" s="644"/>
      <c r="I250" s="147"/>
      <c r="J250" s="128"/>
      <c r="L250" s="67"/>
      <c r="N250" s="149"/>
      <c r="O250" s="67"/>
    </row>
    <row r="251" spans="1:16" ht="30" customHeight="1" x14ac:dyDescent="0.2">
      <c r="A251" s="45"/>
      <c r="B251" s="1713" t="s">
        <v>254</v>
      </c>
      <c r="C251" s="1713"/>
      <c r="D251" s="1713"/>
      <c r="E251" s="1713"/>
      <c r="F251" s="1713"/>
      <c r="G251" s="1713"/>
      <c r="H251" s="1713"/>
      <c r="I251" s="406" t="s">
        <v>130</v>
      </c>
      <c r="J251" s="35" t="s">
        <v>18</v>
      </c>
      <c r="L251" s="67"/>
      <c r="N251" s="182" t="s">
        <v>30</v>
      </c>
      <c r="O251" s="67"/>
    </row>
    <row r="252" spans="1:16" ht="69.95" customHeight="1" x14ac:dyDescent="0.2">
      <c r="A252" s="45"/>
      <c r="B252" s="1906" t="s">
        <v>255</v>
      </c>
      <c r="C252" s="1763"/>
      <c r="D252" s="1763"/>
      <c r="E252" s="1763"/>
      <c r="F252" s="1763"/>
      <c r="G252" s="1763"/>
      <c r="H252" s="1764"/>
      <c r="I252" s="1907" t="s">
        <v>256</v>
      </c>
      <c r="J252" s="1225" t="s">
        <v>256</v>
      </c>
      <c r="L252" s="67"/>
      <c r="N252" s="149"/>
      <c r="O252" s="67"/>
    </row>
    <row r="253" spans="1:16" ht="45.75" customHeight="1" x14ac:dyDescent="0.2">
      <c r="A253" s="45"/>
      <c r="B253" s="1629"/>
      <c r="C253" s="1630"/>
      <c r="D253" s="1630"/>
      <c r="E253" s="1630"/>
      <c r="F253" s="1630"/>
      <c r="G253" s="1630"/>
      <c r="H253" s="1631"/>
      <c r="I253" s="1907"/>
      <c r="J253" s="1225"/>
      <c r="L253" s="67"/>
      <c r="N253" s="149"/>
      <c r="O253" s="67"/>
    </row>
    <row r="254" spans="1:16" ht="20.100000000000001" customHeight="1" x14ac:dyDescent="0.2">
      <c r="A254" s="45"/>
      <c r="B254" s="621"/>
      <c r="C254" s="150"/>
      <c r="D254" s="150"/>
      <c r="E254" s="150"/>
      <c r="F254" s="150"/>
      <c r="G254" s="150"/>
      <c r="H254" s="150"/>
      <c r="I254" s="147"/>
      <c r="J254" s="128"/>
      <c r="N254" s="149"/>
    </row>
    <row r="255" spans="1:16" ht="30" customHeight="1" x14ac:dyDescent="0.2">
      <c r="A255" s="45"/>
      <c r="B255" s="1662" t="s">
        <v>257</v>
      </c>
      <c r="C255" s="1663"/>
      <c r="D255" s="1663"/>
      <c r="E255" s="1663"/>
      <c r="F255" s="1663"/>
      <c r="G255" s="1663"/>
      <c r="H255" s="1664"/>
      <c r="I255" s="406" t="s">
        <v>17</v>
      </c>
      <c r="J255" s="35" t="s">
        <v>18</v>
      </c>
      <c r="K255" s="226" t="s">
        <v>258</v>
      </c>
      <c r="L255" s="183">
        <v>11</v>
      </c>
      <c r="M255" s="181"/>
      <c r="N255" s="182" t="s">
        <v>30</v>
      </c>
      <c r="O255" s="183">
        <v>11</v>
      </c>
      <c r="P255" s="568" t="s">
        <v>259</v>
      </c>
    </row>
    <row r="256" spans="1:16" s="18" customFormat="1" ht="30" customHeight="1" x14ac:dyDescent="0.2">
      <c r="A256" s="24"/>
      <c r="B256" s="979" t="s">
        <v>260</v>
      </c>
      <c r="C256" s="980"/>
      <c r="D256" s="980"/>
      <c r="E256" s="980"/>
      <c r="F256" s="980"/>
      <c r="G256" s="980"/>
      <c r="H256" s="980"/>
      <c r="I256" s="980"/>
      <c r="J256" s="981"/>
      <c r="O256" s="37">
        <v>11</v>
      </c>
      <c r="P256" s="38" t="s">
        <v>259</v>
      </c>
    </row>
    <row r="257" spans="1:16" ht="200.25" customHeight="1" x14ac:dyDescent="0.2">
      <c r="A257" s="39"/>
      <c r="B257" s="163" t="s">
        <v>22</v>
      </c>
      <c r="C257" s="1166" t="s">
        <v>912</v>
      </c>
      <c r="D257" s="1167"/>
      <c r="E257" s="1167"/>
      <c r="F257" s="1167"/>
      <c r="G257" s="1167"/>
      <c r="H257" s="1168"/>
      <c r="I257" s="164">
        <v>0</v>
      </c>
      <c r="J257" s="42">
        <v>1</v>
      </c>
      <c r="K257" s="570" t="s">
        <v>24</v>
      </c>
      <c r="L257" s="571" t="s">
        <v>262</v>
      </c>
      <c r="M257" s="67"/>
      <c r="N257" s="182" t="s">
        <v>30</v>
      </c>
      <c r="O257" s="183">
        <v>11</v>
      </c>
      <c r="P257" s="568" t="s">
        <v>259</v>
      </c>
    </row>
    <row r="258" spans="1:16" ht="39.950000000000003" customHeight="1" x14ac:dyDescent="0.2">
      <c r="A258" s="45"/>
      <c r="B258" s="1818" t="s">
        <v>26</v>
      </c>
      <c r="C258" s="1203" t="s">
        <v>32</v>
      </c>
      <c r="D258" s="1204"/>
      <c r="E258" s="1204" t="s">
        <v>245</v>
      </c>
      <c r="F258" s="1204"/>
      <c r="G258" s="1204" t="s">
        <v>35</v>
      </c>
      <c r="H258" s="1205"/>
      <c r="I258" s="1698">
        <f>+'[2]Datos REG y HIJOS'!$D$17</f>
        <v>0</v>
      </c>
      <c r="J258" s="915">
        <f>+'[2]Datos REG y HIJOS'!$E$17</f>
        <v>1</v>
      </c>
      <c r="K258" s="570" t="s">
        <v>26</v>
      </c>
      <c r="L258" s="571" t="s">
        <v>262</v>
      </c>
      <c r="M258" s="598"/>
      <c r="N258" s="182" t="s">
        <v>30</v>
      </c>
      <c r="O258" s="183">
        <v>11</v>
      </c>
      <c r="P258" s="568" t="s">
        <v>259</v>
      </c>
    </row>
    <row r="259" spans="1:16" ht="30" customHeight="1" x14ac:dyDescent="0.2">
      <c r="A259" s="45"/>
      <c r="B259" s="1793"/>
      <c r="C259" s="137" t="s">
        <v>29</v>
      </c>
      <c r="D259" s="134"/>
      <c r="E259" s="1180" t="s">
        <v>31</v>
      </c>
      <c r="F259" s="1180"/>
      <c r="G259" s="1192" t="s">
        <v>27</v>
      </c>
      <c r="H259" s="1215"/>
      <c r="I259" s="1699"/>
      <c r="J259" s="1045"/>
      <c r="K259" s="570" t="s">
        <v>26</v>
      </c>
      <c r="L259" s="571" t="s">
        <v>262</v>
      </c>
      <c r="M259" s="598"/>
      <c r="N259" s="149"/>
      <c r="O259" s="183">
        <v>11</v>
      </c>
      <c r="P259" s="568" t="s">
        <v>259</v>
      </c>
    </row>
    <row r="260" spans="1:16" ht="30" customHeight="1" x14ac:dyDescent="0.2">
      <c r="A260" s="45"/>
      <c r="B260" s="1794"/>
      <c r="C260" s="1194" t="s">
        <v>38</v>
      </c>
      <c r="D260" s="1177"/>
      <c r="E260" s="1213"/>
      <c r="F260" s="1213"/>
      <c r="G260" s="862"/>
      <c r="H260" s="863"/>
      <c r="I260" s="1700"/>
      <c r="J260" s="916"/>
      <c r="K260" s="570" t="s">
        <v>26</v>
      </c>
      <c r="L260" s="571" t="s">
        <v>262</v>
      </c>
      <c r="M260" s="598"/>
      <c r="N260" s="149"/>
      <c r="O260" s="183">
        <v>11</v>
      </c>
      <c r="P260" s="568" t="s">
        <v>259</v>
      </c>
    </row>
    <row r="261" spans="1:16" ht="39.950000000000003" customHeight="1" x14ac:dyDescent="0.2">
      <c r="A261" s="45"/>
      <c r="B261" s="1718" t="s">
        <v>40</v>
      </c>
      <c r="C261" s="1895" t="s">
        <v>42</v>
      </c>
      <c r="D261" s="1896"/>
      <c r="E261" s="1896" t="s">
        <v>45</v>
      </c>
      <c r="F261" s="1896"/>
      <c r="G261" s="1196" t="s">
        <v>56</v>
      </c>
      <c r="H261" s="1577"/>
      <c r="I261" s="1887">
        <f>+'[2]Datos REG y HIJOS'!$D$18</f>
        <v>0</v>
      </c>
      <c r="J261" s="915">
        <f>+'[2]Datos REG y HIJOS'!$E$18</f>
        <v>1</v>
      </c>
      <c r="K261" s="570" t="s">
        <v>40</v>
      </c>
      <c r="L261" s="571" t="s">
        <v>262</v>
      </c>
      <c r="M261" s="598"/>
      <c r="N261" s="182" t="s">
        <v>30</v>
      </c>
      <c r="O261" s="183">
        <v>11</v>
      </c>
      <c r="P261" s="568" t="s">
        <v>259</v>
      </c>
    </row>
    <row r="262" spans="1:16" ht="39.950000000000003" customHeight="1" x14ac:dyDescent="0.2">
      <c r="A262" s="45"/>
      <c r="B262" s="1891"/>
      <c r="C262" s="1701" t="s">
        <v>44</v>
      </c>
      <c r="D262" s="1702"/>
      <c r="E262" s="1702" t="s">
        <v>48</v>
      </c>
      <c r="F262" s="1702"/>
      <c r="G262" s="1702" t="s">
        <v>64</v>
      </c>
      <c r="H262" s="1703"/>
      <c r="I262" s="1892"/>
      <c r="J262" s="1045"/>
      <c r="K262" s="570" t="s">
        <v>40</v>
      </c>
      <c r="L262" s="571" t="s">
        <v>262</v>
      </c>
      <c r="M262" s="598"/>
      <c r="O262" s="183">
        <v>11</v>
      </c>
      <c r="P262" s="568" t="s">
        <v>259</v>
      </c>
    </row>
    <row r="263" spans="1:16" ht="42.75" customHeight="1" x14ac:dyDescent="0.2">
      <c r="A263" s="45"/>
      <c r="B263" s="1891"/>
      <c r="C263" s="1893" t="s">
        <v>47</v>
      </c>
      <c r="D263" s="1841"/>
      <c r="E263" s="1702" t="s">
        <v>58</v>
      </c>
      <c r="F263" s="1702"/>
      <c r="G263" s="1702" t="s">
        <v>49</v>
      </c>
      <c r="H263" s="1703"/>
      <c r="I263" s="1892"/>
      <c r="J263" s="1045"/>
      <c r="K263" s="570" t="s">
        <v>40</v>
      </c>
      <c r="L263" s="571" t="s">
        <v>262</v>
      </c>
      <c r="M263" s="598"/>
      <c r="O263" s="183">
        <v>11</v>
      </c>
      <c r="P263" s="568" t="s">
        <v>259</v>
      </c>
    </row>
    <row r="264" spans="1:16" ht="50.1" customHeight="1" x14ac:dyDescent="0.2">
      <c r="A264" s="45"/>
      <c r="B264" s="1891"/>
      <c r="C264" s="1701" t="s">
        <v>62</v>
      </c>
      <c r="D264" s="1702"/>
      <c r="E264" s="1191" t="s">
        <v>54</v>
      </c>
      <c r="F264" s="1191"/>
      <c r="G264" s="1132" t="s">
        <v>68</v>
      </c>
      <c r="H264" s="1134"/>
      <c r="I264" s="1892"/>
      <c r="J264" s="1045"/>
      <c r="K264" s="570" t="s">
        <v>40</v>
      </c>
      <c r="L264" s="571" t="s">
        <v>262</v>
      </c>
      <c r="M264" s="598"/>
      <c r="O264" s="183">
        <v>11</v>
      </c>
      <c r="P264" s="568" t="s">
        <v>259</v>
      </c>
    </row>
    <row r="265" spans="1:16" ht="39.950000000000003" customHeight="1" x14ac:dyDescent="0.2">
      <c r="A265" s="45"/>
      <c r="B265" s="1891"/>
      <c r="C265" s="1893" t="s">
        <v>63</v>
      </c>
      <c r="D265" s="1841"/>
      <c r="E265" s="1191" t="s">
        <v>57</v>
      </c>
      <c r="F265" s="1191"/>
      <c r="G265" s="1841" t="s">
        <v>55</v>
      </c>
      <c r="H265" s="1894"/>
      <c r="I265" s="1892"/>
      <c r="J265" s="1045"/>
      <c r="K265" s="570" t="s">
        <v>40</v>
      </c>
      <c r="L265" s="571" t="s">
        <v>262</v>
      </c>
      <c r="M265" s="598"/>
      <c r="O265" s="183">
        <v>11</v>
      </c>
      <c r="P265" s="568" t="s">
        <v>259</v>
      </c>
    </row>
    <row r="266" spans="1:16" ht="39.950000000000003" customHeight="1" x14ac:dyDescent="0.2">
      <c r="A266" s="572" t="s">
        <v>69</v>
      </c>
      <c r="B266" s="1719"/>
      <c r="C266" s="1704" t="s">
        <v>70</v>
      </c>
      <c r="D266" s="1685"/>
      <c r="E266" s="1685"/>
      <c r="F266" s="1685"/>
      <c r="G266" s="1685"/>
      <c r="H266" s="1686"/>
      <c r="I266" s="1888"/>
      <c r="J266" s="916"/>
      <c r="K266" s="570" t="s">
        <v>40</v>
      </c>
      <c r="L266" s="571" t="s">
        <v>262</v>
      </c>
      <c r="M266" s="598"/>
      <c r="O266" s="183">
        <v>11</v>
      </c>
      <c r="P266" s="568" t="s">
        <v>259</v>
      </c>
    </row>
    <row r="267" spans="1:16" ht="39.950000000000003" customHeight="1" x14ac:dyDescent="0.2">
      <c r="A267" s="45"/>
      <c r="B267" s="1783" t="s">
        <v>71</v>
      </c>
      <c r="C267" s="1187" t="s">
        <v>72</v>
      </c>
      <c r="D267" s="1188"/>
      <c r="E267" s="1188" t="s">
        <v>74</v>
      </c>
      <c r="F267" s="1188"/>
      <c r="G267" s="1188" t="s">
        <v>75</v>
      </c>
      <c r="H267" s="1189"/>
      <c r="I267" s="1887">
        <f>+'[2]Datos REG y HIJOS'!$D$19</f>
        <v>0</v>
      </c>
      <c r="J267" s="915">
        <f>+'[2]Datos REG y HIJOS'!$E$19</f>
        <v>0.95</v>
      </c>
      <c r="K267" s="570" t="s">
        <v>71</v>
      </c>
      <c r="L267" s="571" t="s">
        <v>262</v>
      </c>
      <c r="M267" s="598"/>
      <c r="N267" s="182" t="s">
        <v>30</v>
      </c>
      <c r="O267" s="183">
        <v>11</v>
      </c>
      <c r="P267" s="568" t="s">
        <v>259</v>
      </c>
    </row>
    <row r="268" spans="1:16" ht="39.950000000000003" customHeight="1" x14ac:dyDescent="0.2">
      <c r="A268" s="45"/>
      <c r="B268" s="1784"/>
      <c r="C268" s="1218" t="s">
        <v>78</v>
      </c>
      <c r="D268" s="1180"/>
      <c r="E268" s="1180" t="s">
        <v>80</v>
      </c>
      <c r="F268" s="1180"/>
      <c r="G268" s="969" t="s">
        <v>81</v>
      </c>
      <c r="H268" s="1193"/>
      <c r="I268" s="1892"/>
      <c r="J268" s="1045"/>
      <c r="K268" s="570" t="s">
        <v>71</v>
      </c>
      <c r="L268" s="571" t="s">
        <v>262</v>
      </c>
      <c r="M268" s="598"/>
      <c r="O268" s="183">
        <v>11</v>
      </c>
      <c r="P268" s="568" t="s">
        <v>259</v>
      </c>
    </row>
    <row r="269" spans="1:16" ht="39.950000000000003" customHeight="1" x14ac:dyDescent="0.2">
      <c r="A269" s="45"/>
      <c r="B269" s="1784"/>
      <c r="C269" s="968" t="s">
        <v>82</v>
      </c>
      <c r="D269" s="969"/>
      <c r="E269" s="1219" t="s">
        <v>77</v>
      </c>
      <c r="F269" s="1219"/>
      <c r="G269" s="1219" t="s">
        <v>76</v>
      </c>
      <c r="H269" s="1220"/>
      <c r="I269" s="1892"/>
      <c r="J269" s="1045"/>
      <c r="K269" s="570" t="s">
        <v>71</v>
      </c>
      <c r="L269" s="571" t="s">
        <v>262</v>
      </c>
      <c r="M269" s="598"/>
      <c r="O269" s="183">
        <v>11</v>
      </c>
      <c r="P269" s="568" t="s">
        <v>259</v>
      </c>
    </row>
    <row r="270" spans="1:16" ht="39.950000000000003" customHeight="1" x14ac:dyDescent="0.2">
      <c r="A270" s="45"/>
      <c r="B270" s="1718" t="s">
        <v>85</v>
      </c>
      <c r="C270" s="1895" t="s">
        <v>572</v>
      </c>
      <c r="D270" s="1896"/>
      <c r="E270" s="1896" t="s">
        <v>378</v>
      </c>
      <c r="F270" s="1896"/>
      <c r="G270" s="1896" t="s">
        <v>342</v>
      </c>
      <c r="H270" s="1900"/>
      <c r="I270" s="1887">
        <f>+'[2]Datos REG y HIJOS'!$D$20</f>
        <v>0</v>
      </c>
      <c r="J270" s="915">
        <f>+'[2]Datos REG y HIJOS'!$E$20</f>
        <v>0.95</v>
      </c>
      <c r="K270" s="570" t="s">
        <v>85</v>
      </c>
      <c r="L270" s="571" t="s">
        <v>262</v>
      </c>
      <c r="M270" s="598"/>
      <c r="N270" s="182" t="s">
        <v>30</v>
      </c>
      <c r="O270" s="183">
        <v>11</v>
      </c>
      <c r="P270" s="568" t="s">
        <v>259</v>
      </c>
    </row>
    <row r="271" spans="1:16" ht="39.950000000000003" customHeight="1" x14ac:dyDescent="0.2">
      <c r="A271" s="45"/>
      <c r="B271" s="1891"/>
      <c r="C271" s="1701" t="s">
        <v>86</v>
      </c>
      <c r="D271" s="1702"/>
      <c r="E271" s="1702" t="s">
        <v>574</v>
      </c>
      <c r="F271" s="1702"/>
      <c r="G271" s="1775" t="s">
        <v>402</v>
      </c>
      <c r="H271" s="1776"/>
      <c r="I271" s="1892"/>
      <c r="J271" s="1045"/>
      <c r="K271" s="570" t="s">
        <v>85</v>
      </c>
      <c r="L271" s="571" t="s">
        <v>262</v>
      </c>
      <c r="M271" s="598"/>
      <c r="O271" s="183">
        <v>11</v>
      </c>
      <c r="P271" s="568" t="s">
        <v>259</v>
      </c>
    </row>
    <row r="272" spans="1:16" ht="30" customHeight="1" x14ac:dyDescent="0.2">
      <c r="A272" s="45"/>
      <c r="B272" s="1891"/>
      <c r="C272" s="1701" t="s">
        <v>576</v>
      </c>
      <c r="D272" s="1702"/>
      <c r="E272" s="1702" t="s">
        <v>577</v>
      </c>
      <c r="F272" s="1702"/>
      <c r="G272" s="1702" t="s">
        <v>624</v>
      </c>
      <c r="H272" s="1703"/>
      <c r="I272" s="1892"/>
      <c r="J272" s="1045"/>
      <c r="K272" s="570" t="s">
        <v>85</v>
      </c>
      <c r="L272" s="571" t="s">
        <v>262</v>
      </c>
      <c r="M272" s="598"/>
      <c r="O272" s="183">
        <v>11</v>
      </c>
      <c r="P272" s="568" t="s">
        <v>259</v>
      </c>
    </row>
    <row r="273" spans="1:16" ht="30" customHeight="1" x14ac:dyDescent="0.2">
      <c r="A273" s="45"/>
      <c r="B273" s="1891"/>
      <c r="C273" s="1701" t="s">
        <v>578</v>
      </c>
      <c r="D273" s="1702"/>
      <c r="E273" s="1190" t="s">
        <v>580</v>
      </c>
      <c r="F273" s="1190"/>
      <c r="G273" s="1190" t="s">
        <v>581</v>
      </c>
      <c r="H273" s="1212"/>
      <c r="I273" s="1892"/>
      <c r="J273" s="1045"/>
      <c r="K273" s="570" t="s">
        <v>85</v>
      </c>
      <c r="L273" s="571" t="s">
        <v>262</v>
      </c>
      <c r="M273" s="598"/>
      <c r="O273" s="183">
        <v>11</v>
      </c>
      <c r="P273" s="568" t="s">
        <v>259</v>
      </c>
    </row>
    <row r="274" spans="1:16" ht="30" customHeight="1" x14ac:dyDescent="0.2">
      <c r="A274" s="45"/>
      <c r="B274" s="1891"/>
      <c r="C274" s="1701" t="s">
        <v>579</v>
      </c>
      <c r="D274" s="1702"/>
      <c r="E274" s="1190" t="s">
        <v>573</v>
      </c>
      <c r="F274" s="1190"/>
      <c r="G274" s="140"/>
      <c r="H274" s="516"/>
      <c r="I274" s="1892"/>
      <c r="J274" s="1045"/>
      <c r="K274" s="570"/>
      <c r="L274" s="571"/>
      <c r="M274" s="598"/>
      <c r="O274" s="183"/>
      <c r="P274" s="568"/>
    </row>
    <row r="275" spans="1:16" ht="39.950000000000003" customHeight="1" x14ac:dyDescent="0.2">
      <c r="A275" s="183" t="s">
        <v>97</v>
      </c>
      <c r="B275" s="1719"/>
      <c r="C275" s="1774" t="s">
        <v>903</v>
      </c>
      <c r="D275" s="1775"/>
      <c r="E275" s="1775"/>
      <c r="F275" s="1775"/>
      <c r="G275" s="1775"/>
      <c r="H275" s="1776"/>
      <c r="I275" s="1888"/>
      <c r="J275" s="916"/>
      <c r="K275" s="570" t="s">
        <v>85</v>
      </c>
      <c r="L275" s="571" t="s">
        <v>262</v>
      </c>
      <c r="M275" s="598"/>
      <c r="O275" s="183">
        <v>11</v>
      </c>
      <c r="P275" s="568" t="s">
        <v>259</v>
      </c>
    </row>
    <row r="276" spans="1:16" ht="39.950000000000003" customHeight="1" x14ac:dyDescent="0.2">
      <c r="A276" s="45"/>
      <c r="B276" s="1718" t="s">
        <v>87</v>
      </c>
      <c r="C276" s="1823" t="s">
        <v>88</v>
      </c>
      <c r="D276" s="1824"/>
      <c r="E276" s="1824" t="s">
        <v>89</v>
      </c>
      <c r="F276" s="1824"/>
      <c r="G276" s="1824" t="s">
        <v>90</v>
      </c>
      <c r="H276" s="1825"/>
      <c r="I276" s="1887">
        <f>+'[2]Datos REG y HIJOS'!$D$21</f>
        <v>0</v>
      </c>
      <c r="J276" s="915">
        <f>+'[2]Datos REG y HIJOS'!$E$21</f>
        <v>0.95</v>
      </c>
      <c r="K276" s="570" t="s">
        <v>87</v>
      </c>
      <c r="L276" s="571" t="s">
        <v>262</v>
      </c>
      <c r="M276" s="598"/>
      <c r="N276" s="182" t="s">
        <v>30</v>
      </c>
      <c r="O276" s="183">
        <v>11</v>
      </c>
      <c r="P276" s="568" t="s">
        <v>259</v>
      </c>
    </row>
    <row r="277" spans="1:16" ht="39.950000000000003" customHeight="1" x14ac:dyDescent="0.2">
      <c r="A277" s="45"/>
      <c r="B277" s="1891"/>
      <c r="C277" s="1904" t="s">
        <v>92</v>
      </c>
      <c r="D277" s="1816"/>
      <c r="E277" s="1775" t="s">
        <v>93</v>
      </c>
      <c r="F277" s="1775"/>
      <c r="G277" s="1775" t="s">
        <v>94</v>
      </c>
      <c r="H277" s="1776"/>
      <c r="I277" s="1892"/>
      <c r="J277" s="1045"/>
      <c r="K277" s="570" t="s">
        <v>87</v>
      </c>
      <c r="L277" s="571" t="s">
        <v>262</v>
      </c>
      <c r="M277" s="598"/>
      <c r="O277" s="183">
        <v>11</v>
      </c>
      <c r="P277" s="568" t="s">
        <v>259</v>
      </c>
    </row>
    <row r="278" spans="1:16" ht="39.950000000000003" customHeight="1" x14ac:dyDescent="0.2">
      <c r="A278" s="45"/>
      <c r="B278" s="1891"/>
      <c r="C278" s="645" t="s">
        <v>39</v>
      </c>
      <c r="D278" s="623"/>
      <c r="E278" s="644"/>
      <c r="F278" s="644"/>
      <c r="G278" s="644"/>
      <c r="H278" s="646"/>
      <c r="I278" s="1892"/>
      <c r="J278" s="1045"/>
      <c r="K278" s="570" t="s">
        <v>87</v>
      </c>
      <c r="L278" s="571" t="s">
        <v>262</v>
      </c>
      <c r="M278" s="598"/>
      <c r="O278" s="183">
        <v>11</v>
      </c>
      <c r="P278" s="568" t="s">
        <v>259</v>
      </c>
    </row>
    <row r="279" spans="1:16" ht="39.950000000000003" customHeight="1" x14ac:dyDescent="0.2">
      <c r="A279" s="45"/>
      <c r="B279" s="1891"/>
      <c r="C279" s="1218" t="s">
        <v>98</v>
      </c>
      <c r="D279" s="1180"/>
      <c r="E279" s="1180"/>
      <c r="F279" s="1180"/>
      <c r="G279" s="1180"/>
      <c r="H279" s="1227"/>
      <c r="I279" s="1892"/>
      <c r="J279" s="1045"/>
      <c r="K279" s="570" t="s">
        <v>87</v>
      </c>
      <c r="L279" s="571" t="s">
        <v>262</v>
      </c>
      <c r="M279" s="598"/>
      <c r="O279" s="183">
        <v>11</v>
      </c>
      <c r="P279" s="568" t="s">
        <v>259</v>
      </c>
    </row>
    <row r="280" spans="1:16" ht="39.950000000000003" customHeight="1" x14ac:dyDescent="0.2">
      <c r="A280" s="45"/>
      <c r="B280" s="1719"/>
      <c r="C280" s="1181" t="s">
        <v>263</v>
      </c>
      <c r="D280" s="1182"/>
      <c r="E280" s="1182"/>
      <c r="F280" s="1182"/>
      <c r="G280" s="1182"/>
      <c r="H280" s="1183"/>
      <c r="I280" s="1888"/>
      <c r="J280" s="916"/>
      <c r="K280" s="570" t="s">
        <v>87</v>
      </c>
      <c r="L280" s="571" t="s">
        <v>262</v>
      </c>
      <c r="M280" s="598"/>
      <c r="O280" s="183">
        <v>11</v>
      </c>
      <c r="P280" s="568" t="s">
        <v>259</v>
      </c>
    </row>
    <row r="281" spans="1:16" ht="39.950000000000003" customHeight="1" x14ac:dyDescent="0.2">
      <c r="A281" s="45"/>
      <c r="B281" s="538" t="s">
        <v>567</v>
      </c>
      <c r="C281" s="1902" t="s">
        <v>134</v>
      </c>
      <c r="D281" s="1903"/>
      <c r="E281" s="1283" t="s">
        <v>95</v>
      </c>
      <c r="F281" s="1283"/>
      <c r="G281" s="1283" t="s">
        <v>631</v>
      </c>
      <c r="H281" s="1813"/>
      <c r="I281" s="409">
        <f>+'[2]Datos REG y HIJOS'!$D$22</f>
        <v>0</v>
      </c>
      <c r="J281" s="42">
        <f>+'[2]Datos REG y HIJOS'!$E$22</f>
        <v>0.95</v>
      </c>
      <c r="K281" s="570" t="s">
        <v>567</v>
      </c>
      <c r="L281" s="571" t="s">
        <v>262</v>
      </c>
      <c r="M281" s="598"/>
      <c r="N281" s="182" t="s">
        <v>30</v>
      </c>
      <c r="O281" s="183">
        <v>11</v>
      </c>
      <c r="P281" s="568" t="s">
        <v>259</v>
      </c>
    </row>
    <row r="282" spans="1:16" s="66" customFormat="1" ht="39.950000000000003" customHeight="1" x14ac:dyDescent="0.2">
      <c r="A282" s="67"/>
      <c r="B282" s="1164" t="s">
        <v>584</v>
      </c>
      <c r="C282" s="1476" t="s">
        <v>585</v>
      </c>
      <c r="D282" s="1477"/>
      <c r="E282" s="1477" t="s">
        <v>138</v>
      </c>
      <c r="F282" s="1477"/>
      <c r="G282" s="1477" t="s">
        <v>586</v>
      </c>
      <c r="H282" s="2027"/>
      <c r="I282" s="1874">
        <f>+'[2]Datos REG y HIJOS'!$D$24</f>
        <v>0</v>
      </c>
      <c r="J282" s="1156">
        <f>+'[2]Datos REG y HIJOS'!$E$24</f>
        <v>0.9</v>
      </c>
      <c r="K282" s="570" t="s">
        <v>584</v>
      </c>
      <c r="L282" s="571" t="s">
        <v>262</v>
      </c>
      <c r="M282" s="67"/>
      <c r="O282" s="183">
        <v>11</v>
      </c>
      <c r="P282" s="568" t="s">
        <v>259</v>
      </c>
    </row>
    <row r="283" spans="1:16" s="66" customFormat="1" ht="30" customHeight="1" x14ac:dyDescent="0.2">
      <c r="A283" s="67"/>
      <c r="B283" s="1165"/>
      <c r="C283" s="1901" t="s">
        <v>587</v>
      </c>
      <c r="D283" s="1876"/>
      <c r="E283" s="1610"/>
      <c r="F283" s="1610"/>
      <c r="G283" s="1750"/>
      <c r="H283" s="1751"/>
      <c r="I283" s="1875"/>
      <c r="J283" s="1158"/>
      <c r="K283" s="570" t="s">
        <v>584</v>
      </c>
      <c r="L283" s="571" t="s">
        <v>262</v>
      </c>
      <c r="M283" s="67"/>
      <c r="O283" s="183">
        <v>11</v>
      </c>
      <c r="P283" s="568" t="s">
        <v>259</v>
      </c>
    </row>
    <row r="284" spans="1:16" s="66" customFormat="1" ht="30" customHeight="1" x14ac:dyDescent="0.2">
      <c r="A284" s="67"/>
      <c r="B284" s="631" t="s">
        <v>571</v>
      </c>
      <c r="C284" s="1458" t="s">
        <v>596</v>
      </c>
      <c r="D284" s="1459"/>
      <c r="E284" s="1781" t="s">
        <v>598</v>
      </c>
      <c r="F284" s="1781"/>
      <c r="G284" s="1459" t="s">
        <v>599</v>
      </c>
      <c r="H284" s="1460"/>
      <c r="I284" s="351">
        <f>'[2]Datos REG y HIJOS'!$D$23</f>
        <v>0</v>
      </c>
      <c r="J284" s="42">
        <f>'[2]Datos REG y HIJOS'!$E$23</f>
        <v>0.9</v>
      </c>
      <c r="K284" s="570" t="s">
        <v>571</v>
      </c>
      <c r="L284" s="571" t="s">
        <v>262</v>
      </c>
      <c r="M284" s="67"/>
      <c r="N284" s="182" t="s">
        <v>30</v>
      </c>
      <c r="O284" s="183">
        <v>11</v>
      </c>
      <c r="P284" s="568" t="s">
        <v>259</v>
      </c>
    </row>
    <row r="285" spans="1:16" s="66" customFormat="1" ht="30" customHeight="1" x14ac:dyDescent="0.2">
      <c r="A285" s="67"/>
      <c r="B285" s="1865" t="s">
        <v>591</v>
      </c>
      <c r="C285" s="1461" t="s">
        <v>592</v>
      </c>
      <c r="D285" s="1462"/>
      <c r="E285" s="1462" t="s">
        <v>176</v>
      </c>
      <c r="F285" s="1462"/>
      <c r="G285" s="1462" t="s">
        <v>593</v>
      </c>
      <c r="H285" s="1463"/>
      <c r="I285" s="1868" t="str">
        <f>+'[2]Datos REG y HIJOS'!$D$25</f>
        <v>1 día de hab.</v>
      </c>
      <c r="J285" s="1449">
        <f>+'[2]Datos REG y HIJOS'!$E$25</f>
        <v>0.8</v>
      </c>
      <c r="K285" s="570" t="s">
        <v>591</v>
      </c>
      <c r="L285" s="571" t="s">
        <v>262</v>
      </c>
      <c r="N285" s="182" t="s">
        <v>30</v>
      </c>
      <c r="O285" s="183">
        <v>11</v>
      </c>
      <c r="P285" s="568" t="s">
        <v>259</v>
      </c>
    </row>
    <row r="286" spans="1:16" s="66" customFormat="1" ht="30" customHeight="1" x14ac:dyDescent="0.2">
      <c r="A286" s="67"/>
      <c r="B286" s="1867"/>
      <c r="C286" s="1453" t="s">
        <v>594</v>
      </c>
      <c r="D286" s="1213"/>
      <c r="E286" s="166"/>
      <c r="F286" s="166"/>
      <c r="G286" s="166"/>
      <c r="H286" s="442"/>
      <c r="I286" s="1870"/>
      <c r="J286" s="1451"/>
      <c r="K286" s="570" t="s">
        <v>591</v>
      </c>
      <c r="L286" s="571" t="s">
        <v>262</v>
      </c>
      <c r="N286" s="182" t="s">
        <v>30</v>
      </c>
      <c r="O286" s="183">
        <v>11</v>
      </c>
      <c r="P286" s="568" t="s">
        <v>259</v>
      </c>
    </row>
    <row r="287" spans="1:16" ht="30" customHeight="1" x14ac:dyDescent="0.2">
      <c r="A287" s="45"/>
      <c r="B287" s="1966" t="s">
        <v>758</v>
      </c>
      <c r="C287" s="1904" t="s">
        <v>759</v>
      </c>
      <c r="D287" s="1816"/>
      <c r="E287" s="1192" t="s">
        <v>779</v>
      </c>
      <c r="F287" s="1192"/>
      <c r="G287" s="1192" t="s">
        <v>762</v>
      </c>
      <c r="H287" s="1215"/>
      <c r="I287" s="1869" t="str">
        <f>+'[2]Datos REG y HIJOS'!$D$26</f>
        <v>1 día de hab.</v>
      </c>
      <c r="J287" s="1450">
        <f>+'[2]Datos REG y HIJOS'!$E$26</f>
        <v>0.8</v>
      </c>
      <c r="K287" s="570" t="s">
        <v>758</v>
      </c>
      <c r="L287" s="571" t="s">
        <v>262</v>
      </c>
      <c r="M287" s="66"/>
      <c r="N287" s="182" t="s">
        <v>30</v>
      </c>
      <c r="O287" s="183">
        <v>11</v>
      </c>
      <c r="P287" s="568" t="s">
        <v>259</v>
      </c>
    </row>
    <row r="288" spans="1:16" ht="30" customHeight="1" x14ac:dyDescent="0.2">
      <c r="A288" s="45"/>
      <c r="B288" s="1966"/>
      <c r="C288" s="1452" t="s">
        <v>215</v>
      </c>
      <c r="D288" s="1192"/>
      <c r="E288" s="346"/>
      <c r="F288" s="346"/>
      <c r="G288" s="346"/>
      <c r="H288" s="347"/>
      <c r="I288" s="1869"/>
      <c r="J288" s="1450"/>
      <c r="K288" s="570" t="s">
        <v>758</v>
      </c>
      <c r="L288" s="571" t="s">
        <v>262</v>
      </c>
      <c r="M288" s="66"/>
      <c r="O288" s="183">
        <v>11</v>
      </c>
      <c r="P288" s="568" t="s">
        <v>259</v>
      </c>
    </row>
    <row r="289" spans="1:16" ht="30" customHeight="1" x14ac:dyDescent="0.2">
      <c r="A289" s="650" t="s">
        <v>69</v>
      </c>
      <c r="B289" s="2021"/>
      <c r="C289" s="1453" t="s">
        <v>765</v>
      </c>
      <c r="D289" s="1213"/>
      <c r="E289" s="1213"/>
      <c r="F289" s="1213"/>
      <c r="G289" s="1213"/>
      <c r="H289" s="1213"/>
      <c r="I289" s="1870"/>
      <c r="J289" s="1451"/>
      <c r="K289" s="651" t="s">
        <v>758</v>
      </c>
      <c r="L289" s="652" t="s">
        <v>262</v>
      </c>
      <c r="M289" s="45"/>
      <c r="N289" s="149"/>
      <c r="O289" s="653">
        <v>11</v>
      </c>
      <c r="P289" s="654" t="s">
        <v>259</v>
      </c>
    </row>
    <row r="290" spans="1:16" s="66" customFormat="1" ht="39.950000000000003" customHeight="1" x14ac:dyDescent="0.2">
      <c r="A290" s="67"/>
      <c r="B290" s="163" t="s">
        <v>601</v>
      </c>
      <c r="C290" s="1805" t="s">
        <v>602</v>
      </c>
      <c r="D290" s="1805"/>
      <c r="E290" s="1805"/>
      <c r="F290" s="1805"/>
      <c r="G290" s="1805"/>
      <c r="H290" s="1805"/>
      <c r="I290" s="164">
        <f>+'[2]Datos REG y HIJOS'!$D$27</f>
        <v>0</v>
      </c>
      <c r="J290" s="199">
        <f>+'[2]Datos REG y HIJOS'!$E$27</f>
        <v>1</v>
      </c>
      <c r="K290" s="570" t="s">
        <v>601</v>
      </c>
      <c r="L290" s="571" t="s">
        <v>262</v>
      </c>
      <c r="M290" s="67"/>
      <c r="N290" s="182" t="s">
        <v>30</v>
      </c>
      <c r="O290" s="183">
        <v>11</v>
      </c>
      <c r="P290" s="568" t="s">
        <v>259</v>
      </c>
    </row>
    <row r="291" spans="1:16" s="66" customFormat="1" ht="39.950000000000003" customHeight="1" x14ac:dyDescent="0.2">
      <c r="A291" s="67"/>
      <c r="B291" s="163" t="s">
        <v>603</v>
      </c>
      <c r="C291" s="1805" t="s">
        <v>604</v>
      </c>
      <c r="D291" s="1805"/>
      <c r="E291" s="1805"/>
      <c r="F291" s="1805"/>
      <c r="G291" s="1805"/>
      <c r="H291" s="1805"/>
      <c r="I291" s="164">
        <f>+'[2]Datos REG y HIJOS'!$D$28</f>
        <v>0</v>
      </c>
      <c r="J291" s="199">
        <f>+'[2]Datos REG y HIJOS'!$E$28</f>
        <v>0.95</v>
      </c>
      <c r="K291" s="570" t="s">
        <v>603</v>
      </c>
      <c r="L291" s="571" t="s">
        <v>262</v>
      </c>
      <c r="M291" s="67"/>
      <c r="N291" s="182" t="s">
        <v>30</v>
      </c>
      <c r="O291" s="183">
        <v>11</v>
      </c>
      <c r="P291" s="568" t="s">
        <v>259</v>
      </c>
    </row>
    <row r="292" spans="1:16" ht="39.950000000000003" customHeight="1" x14ac:dyDescent="0.2">
      <c r="A292" s="45"/>
      <c r="B292" s="655" t="s">
        <v>769</v>
      </c>
      <c r="C292" s="1252" t="s">
        <v>770</v>
      </c>
      <c r="D292" s="1252"/>
      <c r="E292" s="1252"/>
      <c r="F292" s="1252"/>
      <c r="G292" s="1252"/>
      <c r="H292" s="1252"/>
      <c r="I292" s="656" t="str">
        <f>+'[2]Datos REG y HIJOS'!$D$29</f>
        <v>1 día de hab.</v>
      </c>
      <c r="J292" s="444">
        <f>+'[2]Datos REG y HIJOS'!$E$29</f>
        <v>0.7</v>
      </c>
      <c r="K292" s="570" t="s">
        <v>769</v>
      </c>
      <c r="L292" s="571" t="s">
        <v>262</v>
      </c>
      <c r="M292" s="66"/>
      <c r="N292" s="182" t="s">
        <v>30</v>
      </c>
      <c r="O292" s="183">
        <v>11</v>
      </c>
      <c r="P292" s="568" t="s">
        <v>259</v>
      </c>
    </row>
    <row r="293" spans="1:16" ht="30" customHeight="1" x14ac:dyDescent="0.2">
      <c r="A293" s="572"/>
      <c r="B293" s="541" t="s">
        <v>767</v>
      </c>
      <c r="C293" s="1432" t="s">
        <v>768</v>
      </c>
      <c r="D293" s="1433"/>
      <c r="E293" s="432"/>
      <c r="F293" s="432"/>
      <c r="G293" s="432"/>
      <c r="H293" s="433"/>
      <c r="I293" s="580">
        <v>0</v>
      </c>
      <c r="J293" s="353">
        <v>0.6</v>
      </c>
      <c r="K293" s="66"/>
      <c r="L293" s="661"/>
      <c r="M293" s="66"/>
      <c r="O293" s="67"/>
      <c r="P293" s="586"/>
    </row>
    <row r="294" spans="1:16" ht="30" customHeight="1" x14ac:dyDescent="0.2">
      <c r="B294" s="1897" t="s">
        <v>264</v>
      </c>
      <c r="C294" s="1897"/>
      <c r="D294" s="1897"/>
      <c r="E294" s="1897"/>
      <c r="F294" s="1897"/>
      <c r="G294" s="1897"/>
      <c r="H294" s="1897"/>
      <c r="I294" s="1897"/>
      <c r="J294" s="1897"/>
      <c r="N294" s="182" t="s">
        <v>30</v>
      </c>
      <c r="O294" s="183">
        <v>11</v>
      </c>
      <c r="P294" s="657" t="s">
        <v>265</v>
      </c>
    </row>
    <row r="295" spans="1:16" ht="39.950000000000003" customHeight="1" x14ac:dyDescent="0.2">
      <c r="B295" s="1818" t="s">
        <v>26</v>
      </c>
      <c r="C295" s="1203" t="s">
        <v>32</v>
      </c>
      <c r="D295" s="1204"/>
      <c r="E295" s="1204" t="s">
        <v>170</v>
      </c>
      <c r="F295" s="1204"/>
      <c r="G295" s="1204" t="s">
        <v>35</v>
      </c>
      <c r="H295" s="1205"/>
      <c r="I295" s="1698" t="str">
        <f>+'[2]Datos REG y HIJOS'!$F$17</f>
        <v>1 día de hab.</v>
      </c>
      <c r="J295" s="915">
        <f>+'[2]Datos REG y HIJOS'!$G$17</f>
        <v>0.9</v>
      </c>
      <c r="K295" s="570" t="s">
        <v>26</v>
      </c>
      <c r="L295" s="571" t="s">
        <v>266</v>
      </c>
      <c r="M295" s="598"/>
      <c r="O295" s="183">
        <v>11</v>
      </c>
      <c r="P295" s="657" t="s">
        <v>265</v>
      </c>
    </row>
    <row r="296" spans="1:16" ht="30" customHeight="1" x14ac:dyDescent="0.2">
      <c r="B296" s="1793"/>
      <c r="C296" s="137" t="s">
        <v>29</v>
      </c>
      <c r="D296" s="134"/>
      <c r="E296" s="1180" t="s">
        <v>31</v>
      </c>
      <c r="F296" s="1180"/>
      <c r="G296" s="1192" t="s">
        <v>27</v>
      </c>
      <c r="H296" s="1215"/>
      <c r="I296" s="1699"/>
      <c r="J296" s="1045"/>
      <c r="K296" s="570" t="s">
        <v>26</v>
      </c>
      <c r="L296" s="571" t="s">
        <v>266</v>
      </c>
      <c r="M296" s="598"/>
      <c r="O296" s="183">
        <v>11</v>
      </c>
      <c r="P296" s="657" t="s">
        <v>265</v>
      </c>
    </row>
    <row r="297" spans="1:16" ht="30" customHeight="1" x14ac:dyDescent="0.2">
      <c r="B297" s="1794"/>
      <c r="C297" s="1194" t="s">
        <v>38</v>
      </c>
      <c r="D297" s="1177"/>
      <c r="E297" s="1213"/>
      <c r="F297" s="1213"/>
      <c r="G297" s="862"/>
      <c r="H297" s="863"/>
      <c r="I297" s="1700"/>
      <c r="J297" s="916"/>
      <c r="K297" s="570" t="s">
        <v>26</v>
      </c>
      <c r="L297" s="571" t="s">
        <v>266</v>
      </c>
      <c r="M297" s="598"/>
      <c r="O297" s="183">
        <v>11</v>
      </c>
      <c r="P297" s="657" t="s">
        <v>265</v>
      </c>
    </row>
    <row r="298" spans="1:16" ht="39.950000000000003" customHeight="1" x14ac:dyDescent="0.2">
      <c r="B298" s="1783" t="s">
        <v>40</v>
      </c>
      <c r="C298" s="1895" t="s">
        <v>42</v>
      </c>
      <c r="D298" s="1896"/>
      <c r="E298" s="1896" t="s">
        <v>45</v>
      </c>
      <c r="F298" s="1896"/>
      <c r="G298" s="1696" t="s">
        <v>56</v>
      </c>
      <c r="H298" s="1697"/>
      <c r="I298" s="1698" t="str">
        <f>+'[2]Datos REG y HIJOS'!$F$18</f>
        <v>1 día de hab.</v>
      </c>
      <c r="J298" s="915">
        <f>+'[2]Datos REG y HIJOS'!$G$18</f>
        <v>0.9</v>
      </c>
      <c r="K298" s="570" t="s">
        <v>40</v>
      </c>
      <c r="L298" s="571" t="s">
        <v>266</v>
      </c>
      <c r="M298" s="598"/>
      <c r="N298" s="182" t="s">
        <v>30</v>
      </c>
      <c r="O298" s="183">
        <v>11</v>
      </c>
      <c r="P298" s="657" t="s">
        <v>265</v>
      </c>
    </row>
    <row r="299" spans="1:16" ht="39.950000000000003" customHeight="1" x14ac:dyDescent="0.2">
      <c r="B299" s="1784"/>
      <c r="C299" s="1701" t="s">
        <v>44</v>
      </c>
      <c r="D299" s="1702"/>
      <c r="E299" s="1702" t="s">
        <v>48</v>
      </c>
      <c r="F299" s="1702"/>
      <c r="G299" s="1702" t="s">
        <v>46</v>
      </c>
      <c r="H299" s="1703"/>
      <c r="I299" s="1699"/>
      <c r="J299" s="1045"/>
      <c r="K299" s="570" t="s">
        <v>40</v>
      </c>
      <c r="L299" s="571" t="s">
        <v>266</v>
      </c>
      <c r="M299" s="598"/>
      <c r="O299" s="183">
        <v>11</v>
      </c>
      <c r="P299" s="657" t="s">
        <v>265</v>
      </c>
    </row>
    <row r="300" spans="1:16" ht="30" customHeight="1" x14ac:dyDescent="0.2">
      <c r="B300" s="1784"/>
      <c r="C300" s="1893" t="s">
        <v>47</v>
      </c>
      <c r="D300" s="1841"/>
      <c r="E300" s="1702" t="s">
        <v>267</v>
      </c>
      <c r="F300" s="1702"/>
      <c r="G300" s="1702" t="s">
        <v>49</v>
      </c>
      <c r="H300" s="1703"/>
      <c r="I300" s="1699"/>
      <c r="J300" s="1045"/>
      <c r="K300" s="570" t="s">
        <v>40</v>
      </c>
      <c r="L300" s="571" t="s">
        <v>266</v>
      </c>
      <c r="M300" s="598"/>
      <c r="O300" s="183">
        <v>11</v>
      </c>
      <c r="P300" s="657" t="s">
        <v>265</v>
      </c>
    </row>
    <row r="301" spans="1:16" ht="50.1" customHeight="1" x14ac:dyDescent="0.2">
      <c r="B301" s="1784"/>
      <c r="C301" s="1893" t="s">
        <v>62</v>
      </c>
      <c r="D301" s="1841"/>
      <c r="E301" s="1841" t="s">
        <v>54</v>
      </c>
      <c r="F301" s="1841"/>
      <c r="G301" s="1841" t="s">
        <v>68</v>
      </c>
      <c r="H301" s="1894"/>
      <c r="I301" s="1699"/>
      <c r="J301" s="1045"/>
      <c r="K301" s="570" t="s">
        <v>40</v>
      </c>
      <c r="L301" s="571" t="s">
        <v>266</v>
      </c>
      <c r="M301" s="598"/>
      <c r="O301" s="183">
        <v>11</v>
      </c>
      <c r="P301" s="657" t="s">
        <v>265</v>
      </c>
    </row>
    <row r="302" spans="1:16" ht="39.950000000000003" customHeight="1" x14ac:dyDescent="0.2">
      <c r="B302" s="1784"/>
      <c r="C302" s="1132" t="s">
        <v>64</v>
      </c>
      <c r="D302" s="1132"/>
      <c r="E302" s="1841" t="s">
        <v>58</v>
      </c>
      <c r="F302" s="1841"/>
      <c r="G302" s="1841" t="s">
        <v>55</v>
      </c>
      <c r="H302" s="1894"/>
      <c r="I302" s="1699"/>
      <c r="J302" s="1045"/>
      <c r="K302" s="570" t="s">
        <v>40</v>
      </c>
      <c r="L302" s="571" t="s">
        <v>266</v>
      </c>
      <c r="M302" s="598"/>
      <c r="O302" s="183">
        <v>11</v>
      </c>
      <c r="P302" s="657" t="s">
        <v>265</v>
      </c>
    </row>
    <row r="303" spans="1:16" ht="39.950000000000003" customHeight="1" x14ac:dyDescent="0.2">
      <c r="A303" s="572" t="s">
        <v>69</v>
      </c>
      <c r="B303" s="1785"/>
      <c r="C303" s="1704" t="s">
        <v>70</v>
      </c>
      <c r="D303" s="1685"/>
      <c r="E303" s="1685"/>
      <c r="F303" s="1685"/>
      <c r="G303" s="1685"/>
      <c r="H303" s="1686"/>
      <c r="I303" s="1700"/>
      <c r="J303" s="916"/>
      <c r="K303" s="570" t="s">
        <v>40</v>
      </c>
      <c r="L303" s="571" t="s">
        <v>266</v>
      </c>
      <c r="M303" s="598"/>
      <c r="O303" s="183">
        <v>11</v>
      </c>
      <c r="P303" s="657" t="s">
        <v>265</v>
      </c>
    </row>
    <row r="304" spans="1:16" ht="39.950000000000003" customHeight="1" x14ac:dyDescent="0.2">
      <c r="B304" s="1718" t="s">
        <v>71</v>
      </c>
      <c r="C304" s="1187" t="s">
        <v>72</v>
      </c>
      <c r="D304" s="1188"/>
      <c r="E304" s="1188" t="s">
        <v>74</v>
      </c>
      <c r="F304" s="1188"/>
      <c r="G304" s="1188" t="s">
        <v>80</v>
      </c>
      <c r="H304" s="1189"/>
      <c r="I304" s="1887" t="str">
        <f>+'[2]Datos REG y HIJOS'!$F$19</f>
        <v>1 día de hab.</v>
      </c>
      <c r="J304" s="915">
        <f>+'[2]Datos REG y HIJOS'!$G$19</f>
        <v>0.85</v>
      </c>
      <c r="K304" s="570" t="s">
        <v>71</v>
      </c>
      <c r="L304" s="571" t="s">
        <v>266</v>
      </c>
      <c r="M304" s="598"/>
      <c r="N304" s="182" t="s">
        <v>30</v>
      </c>
      <c r="O304" s="183">
        <v>11</v>
      </c>
      <c r="P304" s="657" t="s">
        <v>265</v>
      </c>
    </row>
    <row r="305" spans="1:16" ht="39.950000000000003" customHeight="1" x14ac:dyDescent="0.2">
      <c r="B305" s="1891"/>
      <c r="C305" s="158" t="s">
        <v>75</v>
      </c>
      <c r="D305" s="24"/>
      <c r="E305" s="969" t="s">
        <v>81</v>
      </c>
      <c r="F305" s="969"/>
      <c r="G305" s="969" t="s">
        <v>82</v>
      </c>
      <c r="H305" s="1193"/>
      <c r="I305" s="1892"/>
      <c r="J305" s="1045"/>
      <c r="K305" s="570" t="s">
        <v>71</v>
      </c>
      <c r="L305" s="571" t="s">
        <v>266</v>
      </c>
      <c r="M305" s="598"/>
      <c r="O305" s="183">
        <v>11</v>
      </c>
      <c r="P305" s="657" t="s">
        <v>265</v>
      </c>
    </row>
    <row r="306" spans="1:16" ht="39.950000000000003" customHeight="1" x14ac:dyDescent="0.2">
      <c r="B306" s="1719"/>
      <c r="C306" s="1144" t="s">
        <v>77</v>
      </c>
      <c r="D306" s="1145"/>
      <c r="E306" s="1145" t="s">
        <v>76</v>
      </c>
      <c r="F306" s="1145"/>
      <c r="G306" s="969" t="s">
        <v>78</v>
      </c>
      <c r="H306" s="1193"/>
      <c r="I306" s="1888"/>
      <c r="J306" s="916"/>
      <c r="K306" s="570" t="s">
        <v>71</v>
      </c>
      <c r="L306" s="571" t="s">
        <v>266</v>
      </c>
      <c r="M306" s="598"/>
      <c r="O306" s="183">
        <v>11</v>
      </c>
      <c r="P306" s="657" t="s">
        <v>265</v>
      </c>
    </row>
    <row r="307" spans="1:16" ht="39.950000000000003" customHeight="1" x14ac:dyDescent="0.2">
      <c r="B307" s="1718" t="s">
        <v>85</v>
      </c>
      <c r="C307" s="1895" t="s">
        <v>378</v>
      </c>
      <c r="D307" s="1896"/>
      <c r="E307" s="1896" t="s">
        <v>342</v>
      </c>
      <c r="F307" s="1896"/>
      <c r="G307" s="1896" t="s">
        <v>86</v>
      </c>
      <c r="H307" s="1900"/>
      <c r="I307" s="1887" t="str">
        <f>+'[2]Datos REG y HIJOS'!$F$20</f>
        <v>1 día de hab.</v>
      </c>
      <c r="J307" s="915">
        <f>+'[2]Datos REG y HIJOS'!$G$20</f>
        <v>0.85</v>
      </c>
      <c r="K307" s="570" t="s">
        <v>85</v>
      </c>
      <c r="L307" s="571" t="s">
        <v>266</v>
      </c>
      <c r="M307" s="598"/>
      <c r="N307" s="182" t="s">
        <v>30</v>
      </c>
      <c r="O307" s="183">
        <v>11</v>
      </c>
      <c r="P307" s="657" t="s">
        <v>265</v>
      </c>
    </row>
    <row r="308" spans="1:16" ht="39.950000000000003" customHeight="1" x14ac:dyDescent="0.2">
      <c r="B308" s="1891"/>
      <c r="C308" s="1701" t="s">
        <v>574</v>
      </c>
      <c r="D308" s="1702"/>
      <c r="E308" s="1748" t="s">
        <v>402</v>
      </c>
      <c r="F308" s="1748"/>
      <c r="G308" s="1702" t="s">
        <v>576</v>
      </c>
      <c r="H308" s="1703"/>
      <c r="I308" s="1892"/>
      <c r="J308" s="1045"/>
      <c r="K308" s="570" t="s">
        <v>85</v>
      </c>
      <c r="L308" s="571" t="s">
        <v>266</v>
      </c>
      <c r="M308" s="598"/>
      <c r="N308" s="677"/>
      <c r="O308" s="183">
        <v>11</v>
      </c>
      <c r="P308" s="657" t="s">
        <v>265</v>
      </c>
    </row>
    <row r="309" spans="1:16" ht="30" customHeight="1" x14ac:dyDescent="0.2">
      <c r="B309" s="1891"/>
      <c r="C309" s="1701" t="s">
        <v>577</v>
      </c>
      <c r="D309" s="1702"/>
      <c r="E309" s="1702" t="s">
        <v>624</v>
      </c>
      <c r="F309" s="1702"/>
      <c r="G309" s="1702" t="s">
        <v>578</v>
      </c>
      <c r="H309" s="1703"/>
      <c r="I309" s="1892"/>
      <c r="J309" s="1045"/>
      <c r="K309" s="570" t="s">
        <v>85</v>
      </c>
      <c r="L309" s="571" t="s">
        <v>266</v>
      </c>
      <c r="M309" s="598"/>
      <c r="O309" s="183">
        <v>11</v>
      </c>
      <c r="P309" s="657" t="s">
        <v>265</v>
      </c>
    </row>
    <row r="310" spans="1:16" ht="30" customHeight="1" x14ac:dyDescent="0.2">
      <c r="B310" s="1891"/>
      <c r="C310" s="1211" t="s">
        <v>580</v>
      </c>
      <c r="D310" s="1190"/>
      <c r="E310" s="1190" t="s">
        <v>581</v>
      </c>
      <c r="F310" s="1190"/>
      <c r="G310" s="1702" t="s">
        <v>579</v>
      </c>
      <c r="H310" s="1703"/>
      <c r="I310" s="1892"/>
      <c r="J310" s="1045"/>
      <c r="K310" s="570" t="s">
        <v>85</v>
      </c>
      <c r="L310" s="571" t="s">
        <v>266</v>
      </c>
      <c r="M310" s="598"/>
      <c r="O310" s="183">
        <v>11</v>
      </c>
      <c r="P310" s="657" t="s">
        <v>265</v>
      </c>
    </row>
    <row r="311" spans="1:16" ht="30" customHeight="1" x14ac:dyDescent="0.2">
      <c r="B311" s="1719"/>
      <c r="C311" s="1206" t="s">
        <v>573</v>
      </c>
      <c r="D311" s="1207"/>
      <c r="E311" s="344"/>
      <c r="F311" s="344"/>
      <c r="G311" s="625"/>
      <c r="H311" s="626"/>
      <c r="I311" s="1888"/>
      <c r="J311" s="916"/>
      <c r="K311" s="570" t="s">
        <v>85</v>
      </c>
      <c r="L311" s="571" t="s">
        <v>266</v>
      </c>
      <c r="M311" s="598"/>
      <c r="O311" s="183">
        <v>11</v>
      </c>
      <c r="P311" s="657" t="s">
        <v>265</v>
      </c>
    </row>
    <row r="312" spans="1:16" ht="39.950000000000003" customHeight="1" x14ac:dyDescent="0.2">
      <c r="B312" s="1718" t="s">
        <v>87</v>
      </c>
      <c r="C312" s="1701" t="s">
        <v>88</v>
      </c>
      <c r="D312" s="1702"/>
      <c r="E312" s="1702" t="s">
        <v>89</v>
      </c>
      <c r="F312" s="1702"/>
      <c r="G312" s="1702" t="s">
        <v>90</v>
      </c>
      <c r="H312" s="1703"/>
      <c r="I312" s="1887" t="str">
        <f>+'[2]Datos REG y HIJOS'!$F$21</f>
        <v>1 día de hab.</v>
      </c>
      <c r="J312" s="915">
        <f>+'[2]Datos REG y HIJOS'!$G$21</f>
        <v>0.85</v>
      </c>
      <c r="K312" s="570" t="s">
        <v>87</v>
      </c>
      <c r="L312" s="571" t="s">
        <v>266</v>
      </c>
      <c r="M312" s="598"/>
      <c r="N312" s="182" t="s">
        <v>30</v>
      </c>
      <c r="O312" s="183">
        <v>11</v>
      </c>
      <c r="P312" s="657" t="s">
        <v>265</v>
      </c>
    </row>
    <row r="313" spans="1:16" ht="30" customHeight="1" x14ac:dyDescent="0.2">
      <c r="B313" s="1719"/>
      <c r="C313" s="1704" t="s">
        <v>92</v>
      </c>
      <c r="D313" s="1685"/>
      <c r="E313" s="1685" t="s">
        <v>93</v>
      </c>
      <c r="F313" s="1685"/>
      <c r="G313" s="1889" t="s">
        <v>39</v>
      </c>
      <c r="H313" s="1890"/>
      <c r="I313" s="1888"/>
      <c r="J313" s="916"/>
      <c r="K313" s="570" t="s">
        <v>87</v>
      </c>
      <c r="L313" s="571" t="s">
        <v>266</v>
      </c>
      <c r="M313" s="598"/>
      <c r="O313" s="183">
        <v>11</v>
      </c>
      <c r="P313" s="657" t="s">
        <v>265</v>
      </c>
    </row>
    <row r="314" spans="1:16" ht="30" customHeight="1" x14ac:dyDescent="0.2">
      <c r="B314" s="538" t="s">
        <v>567</v>
      </c>
      <c r="C314" s="1881" t="s">
        <v>134</v>
      </c>
      <c r="D314" s="1882"/>
      <c r="E314" s="1882" t="s">
        <v>95</v>
      </c>
      <c r="F314" s="1882"/>
      <c r="G314" s="658" t="s">
        <v>631</v>
      </c>
      <c r="H314" s="659"/>
      <c r="I314" s="409" t="str">
        <f>+'[2]Datos REG y HIJOS'!$F$22</f>
        <v>1 día de hab.</v>
      </c>
      <c r="J314" s="42">
        <f>+'[2]Datos REG y HIJOS'!$G$22</f>
        <v>0.8</v>
      </c>
      <c r="K314" s="570" t="s">
        <v>567</v>
      </c>
      <c r="L314" s="571" t="s">
        <v>266</v>
      </c>
      <c r="M314" s="598"/>
      <c r="N314" s="182" t="s">
        <v>30</v>
      </c>
      <c r="O314" s="183">
        <v>11</v>
      </c>
      <c r="P314" s="657" t="s">
        <v>265</v>
      </c>
    </row>
    <row r="315" spans="1:16" s="66" customFormat="1" ht="30" customHeight="1" x14ac:dyDescent="0.2">
      <c r="A315" s="67"/>
      <c r="B315" s="1883" t="s">
        <v>584</v>
      </c>
      <c r="C315" s="1457" t="s">
        <v>585</v>
      </c>
      <c r="D315" s="1219"/>
      <c r="E315" s="1885" t="s">
        <v>138</v>
      </c>
      <c r="F315" s="1885"/>
      <c r="G315" s="1885" t="s">
        <v>586</v>
      </c>
      <c r="H315" s="1886"/>
      <c r="I315" s="1874" t="str">
        <f>+'[2]Datos REG y HIJOS'!$F$24</f>
        <v>1 día de hab.</v>
      </c>
      <c r="J315" s="1156">
        <f>+'[2]Datos REG y HIJOS'!$G$24</f>
        <v>0.75</v>
      </c>
      <c r="K315" s="570" t="s">
        <v>584</v>
      </c>
      <c r="L315" s="571" t="s">
        <v>266</v>
      </c>
      <c r="M315" s="67"/>
      <c r="O315" s="183">
        <v>11</v>
      </c>
      <c r="P315" s="657" t="s">
        <v>265</v>
      </c>
    </row>
    <row r="316" spans="1:16" s="66" customFormat="1" ht="30" customHeight="1" x14ac:dyDescent="0.2">
      <c r="A316" s="67"/>
      <c r="B316" s="2072"/>
      <c r="C316" s="1457" t="s">
        <v>587</v>
      </c>
      <c r="D316" s="1219"/>
      <c r="E316" s="1219"/>
      <c r="F316" s="1219"/>
      <c r="G316" s="1842"/>
      <c r="H316" s="1843"/>
      <c r="I316" s="2024"/>
      <c r="J316" s="1157"/>
      <c r="K316" s="570" t="s">
        <v>584</v>
      </c>
      <c r="L316" s="571" t="s">
        <v>266</v>
      </c>
      <c r="M316" s="67"/>
      <c r="O316" s="183">
        <v>11</v>
      </c>
      <c r="P316" s="657" t="s">
        <v>265</v>
      </c>
    </row>
    <row r="317" spans="1:16" s="66" customFormat="1" ht="30" customHeight="1" x14ac:dyDescent="0.2">
      <c r="A317" s="67"/>
      <c r="B317" s="631" t="s">
        <v>571</v>
      </c>
      <c r="C317" s="1458" t="s">
        <v>596</v>
      </c>
      <c r="D317" s="1459"/>
      <c r="E317" s="1781" t="s">
        <v>598</v>
      </c>
      <c r="F317" s="1781"/>
      <c r="G317" s="1459" t="s">
        <v>599</v>
      </c>
      <c r="H317" s="1460"/>
      <c r="I317" s="351" t="str">
        <f>'[2]Datos REG y HIJOS'!$F$23</f>
        <v>1 día de hab.</v>
      </c>
      <c r="J317" s="42">
        <f>'[2]Datos REG y HIJOS'!$G$23</f>
        <v>0.8</v>
      </c>
      <c r="K317" s="570" t="s">
        <v>571</v>
      </c>
      <c r="L317" s="571" t="s">
        <v>266</v>
      </c>
      <c r="M317" s="67"/>
      <c r="N317" s="182" t="s">
        <v>30</v>
      </c>
      <c r="O317" s="183">
        <v>11</v>
      </c>
      <c r="P317" s="657" t="s">
        <v>265</v>
      </c>
    </row>
    <row r="318" spans="1:16" s="66" customFormat="1" ht="39.950000000000003" customHeight="1" x14ac:dyDescent="0.2">
      <c r="A318" s="67"/>
      <c r="B318" s="1979" t="s">
        <v>591</v>
      </c>
      <c r="C318" s="1410" t="s">
        <v>592</v>
      </c>
      <c r="D318" s="1411"/>
      <c r="E318" s="1809" t="s">
        <v>176</v>
      </c>
      <c r="F318" s="1809"/>
      <c r="G318" s="1411" t="s">
        <v>593</v>
      </c>
      <c r="H318" s="2026"/>
      <c r="I318" s="2022" t="str">
        <f>+'[2]Datos REG y HIJOS'!$F$25</f>
        <v>1 día de hab.</v>
      </c>
      <c r="J318" s="1449">
        <f>+'[2]Datos REG y HIJOS'!$G$25</f>
        <v>0.7</v>
      </c>
      <c r="K318" s="570" t="s">
        <v>591</v>
      </c>
      <c r="L318" s="571" t="s">
        <v>266</v>
      </c>
      <c r="N318" s="182" t="s">
        <v>30</v>
      </c>
      <c r="O318" s="183">
        <v>11</v>
      </c>
      <c r="P318" s="657" t="s">
        <v>265</v>
      </c>
    </row>
    <row r="319" spans="1:16" s="66" customFormat="1" ht="39.950000000000003" customHeight="1" x14ac:dyDescent="0.2">
      <c r="A319" s="67"/>
      <c r="B319" s="1980"/>
      <c r="C319" s="2033" t="s">
        <v>594</v>
      </c>
      <c r="D319" s="2032"/>
      <c r="E319" s="785"/>
      <c r="F319" s="785"/>
      <c r="G319" s="840"/>
      <c r="H319" s="841"/>
      <c r="I319" s="2071"/>
      <c r="J319" s="1450"/>
      <c r="K319" s="570" t="s">
        <v>591</v>
      </c>
      <c r="L319" s="571" t="s">
        <v>266</v>
      </c>
      <c r="O319" s="183">
        <v>11</v>
      </c>
      <c r="P319" s="657" t="s">
        <v>265</v>
      </c>
    </row>
    <row r="320" spans="1:16" s="66" customFormat="1" ht="30" customHeight="1" x14ac:dyDescent="0.2">
      <c r="A320" s="67"/>
      <c r="B320" s="1980"/>
      <c r="C320" s="364" t="s">
        <v>98</v>
      </c>
      <c r="D320" s="346"/>
      <c r="E320" s="346"/>
      <c r="F320" s="346"/>
      <c r="G320" s="346"/>
      <c r="H320" s="347"/>
      <c r="I320" s="2071"/>
      <c r="J320" s="1450"/>
      <c r="K320" s="570" t="s">
        <v>591</v>
      </c>
      <c r="L320" s="571" t="s">
        <v>266</v>
      </c>
      <c r="O320" s="183">
        <v>11</v>
      </c>
      <c r="P320" s="657" t="s">
        <v>265</v>
      </c>
    </row>
    <row r="321" spans="1:32" s="66" customFormat="1" ht="30" customHeight="1" x14ac:dyDescent="0.2">
      <c r="B321" s="1992"/>
      <c r="C321" s="1453" t="s">
        <v>643</v>
      </c>
      <c r="D321" s="1213"/>
      <c r="E321" s="1213"/>
      <c r="F321" s="1213"/>
      <c r="G321" s="1213"/>
      <c r="H321" s="1454"/>
      <c r="I321" s="2023"/>
      <c r="J321" s="1451"/>
      <c r="K321" s="570" t="s">
        <v>591</v>
      </c>
      <c r="L321" s="571" t="s">
        <v>266</v>
      </c>
      <c r="O321" s="183">
        <v>11</v>
      </c>
      <c r="P321" s="657" t="s">
        <v>265</v>
      </c>
      <c r="Q321" s="45"/>
      <c r="R321" s="45"/>
      <c r="S321" s="45"/>
      <c r="T321" s="45"/>
      <c r="U321" s="45"/>
      <c r="V321" s="45"/>
      <c r="W321" s="45"/>
      <c r="X321" s="45"/>
      <c r="Y321" s="45"/>
      <c r="Z321" s="45"/>
      <c r="AA321" s="45"/>
      <c r="AB321" s="45"/>
      <c r="AC321" s="45"/>
      <c r="AD321" s="45"/>
      <c r="AE321" s="45"/>
      <c r="AF321" s="45"/>
    </row>
    <row r="322" spans="1:32" s="66" customFormat="1" ht="30" customHeight="1" x14ac:dyDescent="0.2">
      <c r="A322" s="595"/>
      <c r="B322" s="1865" t="s">
        <v>758</v>
      </c>
      <c r="C322" s="1461" t="s">
        <v>759</v>
      </c>
      <c r="D322" s="1462"/>
      <c r="E322" s="1462" t="s">
        <v>776</v>
      </c>
      <c r="F322" s="1462"/>
      <c r="G322" s="1462" t="s">
        <v>762</v>
      </c>
      <c r="H322" s="1463"/>
      <c r="I322" s="1868" t="str">
        <f>+'[2]Datos REG y HIJOS'!$F$26</f>
        <v>1 día de hab.</v>
      </c>
      <c r="J322" s="1449">
        <f>+'[2]Datos REG y HIJOS'!$G$26</f>
        <v>0.7</v>
      </c>
      <c r="K322" s="570" t="s">
        <v>758</v>
      </c>
      <c r="L322" s="571" t="s">
        <v>266</v>
      </c>
      <c r="N322" s="182" t="s">
        <v>30</v>
      </c>
      <c r="O322" s="183">
        <v>11</v>
      </c>
      <c r="P322" s="657" t="s">
        <v>265</v>
      </c>
      <c r="Q322" s="45"/>
      <c r="R322" s="45"/>
      <c r="S322" s="45"/>
      <c r="T322" s="45"/>
      <c r="U322" s="45"/>
      <c r="V322" s="45"/>
      <c r="W322" s="45"/>
      <c r="X322" s="45"/>
      <c r="Y322" s="45"/>
      <c r="Z322" s="45"/>
      <c r="AA322" s="45"/>
      <c r="AB322" s="45"/>
      <c r="AC322" s="45"/>
      <c r="AD322" s="45"/>
      <c r="AE322" s="45"/>
      <c r="AF322" s="45"/>
    </row>
    <row r="323" spans="1:32" s="66" customFormat="1" ht="30" customHeight="1" x14ac:dyDescent="0.2">
      <c r="A323" s="595"/>
      <c r="B323" s="1866"/>
      <c r="C323" s="1452" t="s">
        <v>215</v>
      </c>
      <c r="D323" s="1192"/>
      <c r="E323" s="621"/>
      <c r="F323" s="621"/>
      <c r="G323" s="346"/>
      <c r="H323" s="347"/>
      <c r="I323" s="1869"/>
      <c r="J323" s="1450"/>
      <c r="K323" s="570" t="s">
        <v>758</v>
      </c>
      <c r="L323" s="571" t="s">
        <v>266</v>
      </c>
      <c r="N323" s="67"/>
      <c r="O323" s="183">
        <v>11</v>
      </c>
      <c r="P323" s="657" t="s">
        <v>265</v>
      </c>
      <c r="Q323" s="45"/>
      <c r="R323" s="45"/>
      <c r="S323" s="45"/>
      <c r="T323" s="45"/>
      <c r="U323" s="45"/>
      <c r="V323" s="45"/>
      <c r="W323" s="45"/>
      <c r="X323" s="45"/>
      <c r="Y323" s="45"/>
      <c r="Z323" s="45"/>
      <c r="AA323" s="45"/>
      <c r="AB323" s="45"/>
      <c r="AC323" s="45"/>
      <c r="AD323" s="45"/>
      <c r="AE323" s="45"/>
      <c r="AF323" s="45"/>
    </row>
    <row r="324" spans="1:32" s="66" customFormat="1" ht="30" customHeight="1" x14ac:dyDescent="0.2">
      <c r="A324" s="572" t="s">
        <v>69</v>
      </c>
      <c r="B324" s="1867"/>
      <c r="C324" s="1453" t="s">
        <v>765</v>
      </c>
      <c r="D324" s="1213"/>
      <c r="E324" s="1213"/>
      <c r="F324" s="1213"/>
      <c r="G324" s="1213"/>
      <c r="H324" s="1454"/>
      <c r="I324" s="1870"/>
      <c r="J324" s="1451"/>
      <c r="K324" s="570" t="s">
        <v>758</v>
      </c>
      <c r="L324" s="571" t="s">
        <v>266</v>
      </c>
      <c r="N324" s="67"/>
      <c r="O324" s="183">
        <v>11</v>
      </c>
      <c r="P324" s="657" t="s">
        <v>265</v>
      </c>
      <c r="Q324" s="45"/>
      <c r="R324" s="45"/>
      <c r="S324" s="45"/>
      <c r="T324" s="45"/>
      <c r="U324" s="45"/>
      <c r="V324" s="45"/>
      <c r="W324" s="45"/>
      <c r="X324" s="45"/>
      <c r="Y324" s="45"/>
      <c r="Z324" s="45"/>
      <c r="AA324" s="45"/>
      <c r="AB324" s="45"/>
      <c r="AC324" s="45"/>
      <c r="AD324" s="45"/>
      <c r="AE324" s="45"/>
      <c r="AF324" s="45"/>
    </row>
    <row r="325" spans="1:32" s="66" customFormat="1" ht="39.950000000000003" customHeight="1" x14ac:dyDescent="0.2">
      <c r="A325" s="67"/>
      <c r="B325" s="541" t="s">
        <v>601</v>
      </c>
      <c r="C325" s="1861" t="s">
        <v>602</v>
      </c>
      <c r="D325" s="1861"/>
      <c r="E325" s="1861"/>
      <c r="F325" s="1861"/>
      <c r="G325" s="1861"/>
      <c r="H325" s="1861"/>
      <c r="I325" s="580" t="str">
        <f>+'[2]Datos REG y HIJOS'!$F$27</f>
        <v>1 día de hab.</v>
      </c>
      <c r="J325" s="353">
        <f>+'[2]Datos REG y HIJOS'!$G$27</f>
        <v>0.9</v>
      </c>
      <c r="K325" s="570" t="s">
        <v>601</v>
      </c>
      <c r="L325" s="571" t="s">
        <v>266</v>
      </c>
      <c r="M325" s="67"/>
      <c r="N325" s="182" t="s">
        <v>30</v>
      </c>
      <c r="O325" s="183">
        <v>11</v>
      </c>
      <c r="P325" s="657" t="s">
        <v>265</v>
      </c>
    </row>
    <row r="326" spans="1:32" s="66" customFormat="1" ht="39.950000000000003" customHeight="1" x14ac:dyDescent="0.2">
      <c r="A326" s="67"/>
      <c r="B326" s="541" t="s">
        <v>603</v>
      </c>
      <c r="C326" s="1252" t="s">
        <v>604</v>
      </c>
      <c r="D326" s="1252"/>
      <c r="E326" s="1252"/>
      <c r="F326" s="1252"/>
      <c r="G326" s="1252"/>
      <c r="H326" s="1252"/>
      <c r="I326" s="580" t="str">
        <f>+'[2]Datos REG y HIJOS'!$F$28</f>
        <v>1 día de hab.</v>
      </c>
      <c r="J326" s="353">
        <f>+'[2]Datos REG y HIJOS'!$G$28</f>
        <v>0.8</v>
      </c>
      <c r="K326" s="570" t="s">
        <v>603</v>
      </c>
      <c r="L326" s="571" t="s">
        <v>266</v>
      </c>
      <c r="M326" s="149"/>
      <c r="N326" s="182" t="s">
        <v>30</v>
      </c>
      <c r="O326" s="183">
        <v>11</v>
      </c>
      <c r="P326" s="657" t="s">
        <v>265</v>
      </c>
    </row>
    <row r="327" spans="1:32" s="66" customFormat="1" ht="39.950000000000003" customHeight="1" x14ac:dyDescent="0.2">
      <c r="B327" s="541" t="s">
        <v>769</v>
      </c>
      <c r="C327" s="1252" t="s">
        <v>770</v>
      </c>
      <c r="D327" s="1252"/>
      <c r="E327" s="1252"/>
      <c r="F327" s="1252"/>
      <c r="G327" s="1252"/>
      <c r="H327" s="1252"/>
      <c r="I327" s="580" t="str">
        <f>+'[2]Datos REG y HIJOS'!$F$29</f>
        <v>1 día de hab.</v>
      </c>
      <c r="J327" s="353">
        <f>+'[2]Datos REG y HIJOS'!$G$29</f>
        <v>0.65</v>
      </c>
      <c r="K327" s="570" t="s">
        <v>769</v>
      </c>
      <c r="L327" s="571" t="s">
        <v>266</v>
      </c>
      <c r="N327" s="182" t="s">
        <v>30</v>
      </c>
      <c r="O327" s="183">
        <v>11</v>
      </c>
      <c r="P327" s="657" t="s">
        <v>265</v>
      </c>
      <c r="Q327" s="45"/>
      <c r="R327" s="45"/>
      <c r="S327" s="45"/>
      <c r="T327" s="45"/>
      <c r="U327" s="45"/>
      <c r="V327" s="45"/>
      <c r="W327" s="45"/>
      <c r="X327" s="45"/>
      <c r="Y327" s="45"/>
      <c r="Z327" s="45"/>
      <c r="AA327" s="45"/>
      <c r="AB327" s="45"/>
      <c r="AC327" s="45"/>
      <c r="AD327" s="45"/>
      <c r="AE327" s="45"/>
      <c r="AF327" s="45"/>
    </row>
    <row r="328" spans="1:32" s="66" customFormat="1" ht="51.75" customHeight="1" x14ac:dyDescent="0.2">
      <c r="A328" s="572"/>
      <c r="B328" s="541" t="s">
        <v>767</v>
      </c>
      <c r="C328" s="1432" t="s">
        <v>768</v>
      </c>
      <c r="D328" s="1433"/>
      <c r="E328" s="432"/>
      <c r="F328" s="432"/>
      <c r="G328" s="432"/>
      <c r="H328" s="433"/>
      <c r="I328" s="580" t="s">
        <v>409</v>
      </c>
      <c r="J328" s="353">
        <v>0.6</v>
      </c>
      <c r="L328" s="661"/>
      <c r="N328" s="67"/>
      <c r="O328" s="67"/>
      <c r="P328" s="586"/>
      <c r="Q328" s="45"/>
      <c r="R328" s="45"/>
      <c r="S328" s="45"/>
      <c r="T328" s="45"/>
      <c r="U328" s="45"/>
      <c r="V328" s="45"/>
      <c r="W328" s="45"/>
      <c r="X328" s="45"/>
      <c r="Y328" s="45"/>
      <c r="Z328" s="45"/>
      <c r="AA328" s="45"/>
      <c r="AB328" s="45"/>
      <c r="AC328" s="45"/>
      <c r="AD328" s="45"/>
      <c r="AE328" s="45"/>
      <c r="AF328" s="45"/>
    </row>
    <row r="329" spans="1:32" s="66" customFormat="1" ht="20.100000000000001" customHeight="1" x14ac:dyDescent="0.2">
      <c r="A329" s="572"/>
      <c r="B329" s="616"/>
      <c r="C329" s="346"/>
      <c r="D329" s="346"/>
      <c r="E329" s="346"/>
      <c r="F329" s="346"/>
      <c r="G329" s="346"/>
      <c r="H329" s="346"/>
      <c r="I329" s="660"/>
      <c r="J329" s="142"/>
      <c r="L329" s="661"/>
      <c r="N329" s="67"/>
      <c r="O329" s="67"/>
      <c r="P329" s="586"/>
      <c r="Q329" s="45"/>
      <c r="R329" s="45"/>
      <c r="S329" s="45"/>
      <c r="T329" s="45"/>
      <c r="U329" s="45"/>
      <c r="V329" s="45"/>
      <c r="W329" s="45"/>
      <c r="X329" s="45"/>
      <c r="Y329" s="45"/>
      <c r="Z329" s="45"/>
      <c r="AA329" s="45"/>
      <c r="AB329" s="45"/>
      <c r="AC329" s="45"/>
      <c r="AD329" s="45"/>
      <c r="AE329" s="45"/>
      <c r="AF329" s="45"/>
    </row>
    <row r="330" spans="1:32" s="24" customFormat="1" ht="30" customHeight="1" x14ac:dyDescent="0.2">
      <c r="B330" s="904" t="s">
        <v>268</v>
      </c>
      <c r="C330" s="905"/>
      <c r="D330" s="905"/>
      <c r="E330" s="905"/>
      <c r="F330" s="905"/>
      <c r="G330" s="905"/>
      <c r="H330" s="906"/>
      <c r="I330" s="34" t="s">
        <v>17</v>
      </c>
      <c r="J330" s="35" t="s">
        <v>18</v>
      </c>
      <c r="K330" s="18"/>
      <c r="L330" s="4"/>
      <c r="M330" s="22"/>
      <c r="N330" s="46" t="s">
        <v>30</v>
      </c>
      <c r="O330" s="4"/>
      <c r="P330" s="59"/>
    </row>
    <row r="331" spans="1:32" s="24" customFormat="1" ht="30" customHeight="1" x14ac:dyDescent="0.2">
      <c r="A331" s="18"/>
      <c r="B331" s="949" t="s">
        <v>269</v>
      </c>
      <c r="C331" s="950"/>
      <c r="D331" s="950"/>
      <c r="E331" s="950"/>
      <c r="F331" s="950"/>
      <c r="G331" s="950"/>
      <c r="H331" s="950"/>
      <c r="I331" s="950"/>
      <c r="J331" s="951"/>
      <c r="K331" s="18"/>
      <c r="L331" s="4"/>
      <c r="M331" s="3"/>
      <c r="N331" s="4"/>
      <c r="O331" s="4"/>
      <c r="P331" s="59"/>
    </row>
    <row r="332" spans="1:32" s="24" customFormat="1" ht="55.5" customHeight="1" x14ac:dyDescent="0.2">
      <c r="A332" s="18"/>
      <c r="B332" s="1169" t="s">
        <v>270</v>
      </c>
      <c r="C332" s="1170"/>
      <c r="D332" s="1170"/>
      <c r="E332" s="1170"/>
      <c r="F332" s="1170"/>
      <c r="G332" s="1170"/>
      <c r="H332" s="1170"/>
      <c r="I332" s="1170"/>
      <c r="J332" s="1171"/>
      <c r="K332" s="18"/>
      <c r="L332" s="58"/>
      <c r="M332" s="79"/>
      <c r="N332" s="4"/>
      <c r="O332" s="4"/>
      <c r="P332" s="59"/>
    </row>
    <row r="333" spans="1:32" s="24" customFormat="1" ht="49.5" customHeight="1" x14ac:dyDescent="0.2">
      <c r="A333" s="18"/>
      <c r="B333" s="163" t="s">
        <v>22</v>
      </c>
      <c r="C333" s="1166" t="s">
        <v>883</v>
      </c>
      <c r="D333" s="1167"/>
      <c r="E333" s="1167"/>
      <c r="F333" s="1167"/>
      <c r="G333" s="1167"/>
      <c r="H333" s="1168"/>
      <c r="I333" s="164">
        <v>0</v>
      </c>
      <c r="J333" s="165">
        <v>1</v>
      </c>
      <c r="K333" s="18"/>
      <c r="L333" s="58"/>
      <c r="M333" s="79"/>
      <c r="N333" s="4"/>
      <c r="O333" s="4"/>
      <c r="P333" s="59"/>
    </row>
    <row r="334" spans="1:32" s="24" customFormat="1" ht="30" customHeight="1" x14ac:dyDescent="0.2">
      <c r="A334" s="18"/>
      <c r="B334" s="1200" t="s">
        <v>26</v>
      </c>
      <c r="C334" s="1203" t="s">
        <v>32</v>
      </c>
      <c r="D334" s="1204"/>
      <c r="E334" s="1204" t="s">
        <v>34</v>
      </c>
      <c r="F334" s="1204"/>
      <c r="G334" s="1204" t="s">
        <v>29</v>
      </c>
      <c r="H334" s="1205"/>
      <c r="I334" s="1042">
        <v>0</v>
      </c>
      <c r="J334" s="1175">
        <v>1</v>
      </c>
      <c r="K334" s="18"/>
      <c r="L334" s="58"/>
      <c r="M334" s="79"/>
      <c r="N334" s="46" t="s">
        <v>30</v>
      </c>
      <c r="O334" s="4"/>
      <c r="P334" s="59"/>
    </row>
    <row r="335" spans="1:32" s="24" customFormat="1" ht="30" customHeight="1" x14ac:dyDescent="0.2">
      <c r="A335" s="18"/>
      <c r="B335" s="1201"/>
      <c r="C335" s="968" t="s">
        <v>273</v>
      </c>
      <c r="D335" s="969"/>
      <c r="E335" s="1192" t="s">
        <v>31</v>
      </c>
      <c r="F335" s="1192"/>
      <c r="G335" s="969" t="s">
        <v>27</v>
      </c>
      <c r="H335" s="1193"/>
      <c r="I335" s="1043"/>
      <c r="J335" s="1179"/>
      <c r="K335" s="18"/>
      <c r="L335" s="58"/>
      <c r="M335" s="79"/>
      <c r="N335" s="4"/>
      <c r="O335" s="4"/>
      <c r="P335" s="59"/>
    </row>
    <row r="336" spans="1:32" s="24" customFormat="1" ht="30" customHeight="1" x14ac:dyDescent="0.2">
      <c r="A336" s="18"/>
      <c r="B336" s="1202"/>
      <c r="C336" s="1194"/>
      <c r="D336" s="1177"/>
      <c r="E336" s="166"/>
      <c r="F336" s="166"/>
      <c r="G336" s="132"/>
      <c r="H336" s="133"/>
      <c r="I336" s="1044"/>
      <c r="J336" s="1176"/>
      <c r="K336" s="18"/>
      <c r="L336" s="58"/>
      <c r="M336" s="79"/>
      <c r="N336" s="4"/>
      <c r="O336" s="4"/>
      <c r="P336" s="59"/>
    </row>
    <row r="337" spans="1:16" s="24" customFormat="1" ht="35.1" customHeight="1" x14ac:dyDescent="0.2">
      <c r="A337" s="18"/>
      <c r="B337" s="1047" t="s">
        <v>40</v>
      </c>
      <c r="C337" s="1195" t="s">
        <v>42</v>
      </c>
      <c r="D337" s="1195"/>
      <c r="E337" s="1195" t="s">
        <v>41</v>
      </c>
      <c r="F337" s="1195"/>
      <c r="G337" s="1196" t="s">
        <v>274</v>
      </c>
      <c r="H337" s="1196"/>
      <c r="I337" s="1110">
        <v>0</v>
      </c>
      <c r="J337" s="1175">
        <v>1</v>
      </c>
      <c r="K337" s="18"/>
      <c r="L337" s="58"/>
      <c r="M337" s="79"/>
      <c r="N337" s="46" t="s">
        <v>30</v>
      </c>
      <c r="O337" s="4"/>
      <c r="P337" s="59"/>
    </row>
    <row r="338" spans="1:16" s="24" customFormat="1" ht="35.1" customHeight="1" x14ac:dyDescent="0.2">
      <c r="A338" s="18"/>
      <c r="B338" s="1109"/>
      <c r="C338" s="1190" t="s">
        <v>275</v>
      </c>
      <c r="D338" s="1190"/>
      <c r="E338" s="1191" t="s">
        <v>276</v>
      </c>
      <c r="F338" s="1191"/>
      <c r="G338" s="1190" t="s">
        <v>277</v>
      </c>
      <c r="H338" s="1190"/>
      <c r="I338" s="1111"/>
      <c r="J338" s="1179"/>
      <c r="K338" s="18"/>
      <c r="L338" s="58"/>
      <c r="M338" s="79"/>
      <c r="N338" s="4"/>
      <c r="O338" s="4"/>
      <c r="P338" s="59"/>
    </row>
    <row r="339" spans="1:16" s="24" customFormat="1" ht="35.1" customHeight="1" x14ac:dyDescent="0.2">
      <c r="A339" s="18"/>
      <c r="B339" s="1109"/>
      <c r="C339" s="1190" t="s">
        <v>278</v>
      </c>
      <c r="D339" s="1190"/>
      <c r="E339" s="1190" t="s">
        <v>279</v>
      </c>
      <c r="F339" s="1190"/>
      <c r="G339" s="1190" t="s">
        <v>280</v>
      </c>
      <c r="H339" s="1190"/>
      <c r="I339" s="1111"/>
      <c r="J339" s="1179"/>
      <c r="K339" s="18"/>
      <c r="L339" s="58"/>
      <c r="M339" s="79"/>
      <c r="N339" s="4"/>
      <c r="O339" s="4"/>
      <c r="P339" s="59"/>
    </row>
    <row r="340" spans="1:16" s="24" customFormat="1" ht="35.1" customHeight="1" x14ac:dyDescent="0.2">
      <c r="A340" s="18"/>
      <c r="B340" s="1109"/>
      <c r="C340" s="1190" t="s">
        <v>281</v>
      </c>
      <c r="D340" s="1190"/>
      <c r="E340" s="1190" t="s">
        <v>282</v>
      </c>
      <c r="F340" s="1190"/>
      <c r="G340" s="1190" t="s">
        <v>283</v>
      </c>
      <c r="H340" s="1190"/>
      <c r="I340" s="1111"/>
      <c r="J340" s="1179"/>
      <c r="K340" s="18"/>
      <c r="L340" s="58"/>
      <c r="M340" s="79"/>
      <c r="N340" s="4"/>
      <c r="O340" s="4"/>
      <c r="P340" s="59"/>
    </row>
    <row r="341" spans="1:16" s="24" customFormat="1" ht="35.1" customHeight="1" x14ac:dyDescent="0.2">
      <c r="A341" s="18"/>
      <c r="B341" s="1109"/>
      <c r="C341" s="1191" t="s">
        <v>284</v>
      </c>
      <c r="D341" s="1191"/>
      <c r="E341" s="1191" t="s">
        <v>285</v>
      </c>
      <c r="F341" s="1191"/>
      <c r="G341" s="1191" t="s">
        <v>286</v>
      </c>
      <c r="H341" s="1191"/>
      <c r="I341" s="1111"/>
      <c r="J341" s="1179"/>
      <c r="K341" s="18"/>
      <c r="L341" s="58"/>
      <c r="M341" s="79"/>
      <c r="N341" s="4"/>
      <c r="O341" s="4"/>
      <c r="P341" s="59"/>
    </row>
    <row r="342" spans="1:16" s="24" customFormat="1" ht="35.1" customHeight="1" x14ac:dyDescent="0.2">
      <c r="A342" s="18"/>
      <c r="B342" s="1109"/>
      <c r="C342" s="1191" t="s">
        <v>287</v>
      </c>
      <c r="D342" s="1191"/>
      <c r="E342" s="1190" t="s">
        <v>288</v>
      </c>
      <c r="F342" s="1190"/>
      <c r="G342" s="1190" t="s">
        <v>43</v>
      </c>
      <c r="H342" s="1190"/>
      <c r="I342" s="1111"/>
      <c r="J342" s="1179"/>
      <c r="K342" s="18"/>
      <c r="L342" s="58"/>
      <c r="M342" s="79"/>
      <c r="N342" s="4"/>
      <c r="O342" s="4"/>
      <c r="P342" s="59"/>
    </row>
    <row r="343" spans="1:16" s="24" customFormat="1" ht="35.1" customHeight="1" x14ac:dyDescent="0.2">
      <c r="A343" s="18"/>
      <c r="B343" s="1109"/>
      <c r="C343" s="1190" t="s">
        <v>289</v>
      </c>
      <c r="D343" s="1190"/>
      <c r="E343" s="1191" t="s">
        <v>290</v>
      </c>
      <c r="F343" s="1191"/>
      <c r="G343" s="1191" t="s">
        <v>291</v>
      </c>
      <c r="H343" s="1191"/>
      <c r="I343" s="1111"/>
      <c r="J343" s="1179"/>
      <c r="K343" s="18"/>
      <c r="L343" s="58"/>
      <c r="M343" s="79"/>
      <c r="N343" s="4"/>
      <c r="O343" s="4"/>
      <c r="P343" s="59"/>
    </row>
    <row r="344" spans="1:16" s="24" customFormat="1" ht="35.1" customHeight="1" x14ac:dyDescent="0.2">
      <c r="A344" s="18"/>
      <c r="B344" s="1109"/>
      <c r="C344" s="1190" t="s">
        <v>292</v>
      </c>
      <c r="D344" s="1190"/>
      <c r="E344" s="1191" t="s">
        <v>293</v>
      </c>
      <c r="F344" s="1191"/>
      <c r="G344" s="1190" t="s">
        <v>294</v>
      </c>
      <c r="H344" s="1190"/>
      <c r="I344" s="1111"/>
      <c r="J344" s="1179"/>
      <c r="K344" s="18"/>
      <c r="L344" s="58"/>
      <c r="M344" s="79"/>
      <c r="N344" s="4"/>
      <c r="O344" s="4"/>
      <c r="P344" s="59"/>
    </row>
    <row r="345" spans="1:16" s="24" customFormat="1" ht="35.1" customHeight="1" x14ac:dyDescent="0.2">
      <c r="A345" s="18"/>
      <c r="B345" s="1109"/>
      <c r="C345" s="1190" t="s">
        <v>295</v>
      </c>
      <c r="D345" s="1190"/>
      <c r="E345" s="1190" t="s">
        <v>296</v>
      </c>
      <c r="F345" s="1190"/>
      <c r="G345" s="1132"/>
      <c r="H345" s="1134"/>
      <c r="I345" s="1111"/>
      <c r="J345" s="1179"/>
      <c r="K345" s="18"/>
      <c r="L345" s="58"/>
      <c r="M345" s="79"/>
      <c r="N345" s="4"/>
      <c r="O345" s="4"/>
      <c r="P345" s="59"/>
    </row>
    <row r="346" spans="1:16" s="24" customFormat="1" ht="39.950000000000003" customHeight="1" x14ac:dyDescent="0.2">
      <c r="A346" s="18"/>
      <c r="B346" s="1048"/>
      <c r="C346" s="1198" t="s">
        <v>297</v>
      </c>
      <c r="D346" s="1198"/>
      <c r="E346" s="1198"/>
      <c r="F346" s="1198"/>
      <c r="G346" s="1198"/>
      <c r="H346" s="1198"/>
      <c r="I346" s="1112"/>
      <c r="J346" s="1176"/>
      <c r="K346" s="18"/>
      <c r="L346" s="58"/>
      <c r="M346" s="79"/>
      <c r="N346" s="4"/>
      <c r="O346" s="4"/>
      <c r="P346" s="59"/>
    </row>
    <row r="347" spans="1:16" s="24" customFormat="1" ht="30" customHeight="1" x14ac:dyDescent="0.2">
      <c r="A347" s="18"/>
      <c r="B347" s="1004" t="s">
        <v>71</v>
      </c>
      <c r="C347" s="1187" t="s">
        <v>72</v>
      </c>
      <c r="D347" s="1188"/>
      <c r="E347" s="1188" t="s">
        <v>74</v>
      </c>
      <c r="F347" s="1188"/>
      <c r="G347" s="1188" t="s">
        <v>75</v>
      </c>
      <c r="H347" s="1189"/>
      <c r="I347" s="1110">
        <v>0</v>
      </c>
      <c r="J347" s="1175">
        <v>1</v>
      </c>
      <c r="K347" s="18"/>
      <c r="L347" s="58"/>
      <c r="M347" s="79"/>
      <c r="N347" s="46" t="s">
        <v>30</v>
      </c>
      <c r="O347" s="4"/>
      <c r="P347" s="59"/>
    </row>
    <row r="348" spans="1:16" s="24" customFormat="1" ht="30" customHeight="1" x14ac:dyDescent="0.2">
      <c r="A348" s="18"/>
      <c r="B348" s="1039"/>
      <c r="C348" s="1046" t="s">
        <v>82</v>
      </c>
      <c r="D348" s="1022"/>
      <c r="E348" s="1180" t="s">
        <v>80</v>
      </c>
      <c r="F348" s="1180"/>
      <c r="G348" s="1022" t="s">
        <v>81</v>
      </c>
      <c r="H348" s="1028"/>
      <c r="I348" s="1111"/>
      <c r="J348" s="1179"/>
      <c r="K348" s="18"/>
      <c r="L348" s="58"/>
      <c r="M348" s="79"/>
      <c r="N348" s="4"/>
      <c r="O348" s="4"/>
      <c r="P348" s="59"/>
    </row>
    <row r="349" spans="1:16" s="24" customFormat="1" ht="30" customHeight="1" x14ac:dyDescent="0.2">
      <c r="A349" s="18"/>
      <c r="B349" s="1005"/>
      <c r="C349" s="1181" t="s">
        <v>79</v>
      </c>
      <c r="D349" s="1182"/>
      <c r="E349" s="1182" t="s">
        <v>78</v>
      </c>
      <c r="F349" s="1182"/>
      <c r="G349" s="1182"/>
      <c r="H349" s="1183"/>
      <c r="I349" s="1112"/>
      <c r="J349" s="1176"/>
      <c r="K349" s="18"/>
      <c r="L349" s="58"/>
      <c r="M349" s="79"/>
      <c r="N349" s="4"/>
      <c r="O349" s="4"/>
      <c r="P349" s="59"/>
    </row>
    <row r="350" spans="1:16" s="24" customFormat="1" ht="39.950000000000003" customHeight="1" x14ac:dyDescent="0.2">
      <c r="A350" s="18"/>
      <c r="B350" s="1047" t="s">
        <v>85</v>
      </c>
      <c r="C350" s="1190" t="s">
        <v>342</v>
      </c>
      <c r="D350" s="1190"/>
      <c r="E350" s="1190" t="s">
        <v>378</v>
      </c>
      <c r="F350" s="1190"/>
      <c r="G350" s="1195" t="s">
        <v>572</v>
      </c>
      <c r="H350" s="1195"/>
      <c r="I350" s="1110">
        <v>0</v>
      </c>
      <c r="J350" s="1175">
        <v>1</v>
      </c>
      <c r="K350" s="18"/>
      <c r="L350" s="58"/>
      <c r="M350" s="79"/>
      <c r="N350" s="46" t="s">
        <v>30</v>
      </c>
      <c r="O350" s="4"/>
      <c r="P350" s="59"/>
    </row>
    <row r="351" spans="1:16" s="24" customFormat="1" ht="39.950000000000003" customHeight="1" x14ac:dyDescent="0.2">
      <c r="A351" s="18"/>
      <c r="B351" s="1109"/>
      <c r="C351" s="1191" t="s">
        <v>402</v>
      </c>
      <c r="D351" s="1191"/>
      <c r="E351" s="1191" t="s">
        <v>381</v>
      </c>
      <c r="F351" s="1191"/>
      <c r="G351" s="1191" t="s">
        <v>644</v>
      </c>
      <c r="H351" s="1191"/>
      <c r="I351" s="1111"/>
      <c r="J351" s="1179"/>
      <c r="K351" s="18"/>
      <c r="L351" s="58"/>
      <c r="M351" s="79"/>
      <c r="N351" s="4"/>
      <c r="O351" s="4"/>
      <c r="P351" s="59"/>
    </row>
    <row r="352" spans="1:16" s="24" customFormat="1" ht="39.950000000000003" customHeight="1" x14ac:dyDescent="0.2">
      <c r="A352" s="18"/>
      <c r="B352" s="1109"/>
      <c r="C352" s="1445" t="s">
        <v>573</v>
      </c>
      <c r="D352" s="1191"/>
      <c r="E352" s="365"/>
      <c r="F352" s="365"/>
      <c r="G352" s="365"/>
      <c r="H352" s="365"/>
      <c r="I352" s="1111"/>
      <c r="J352" s="1179"/>
      <c r="K352" s="18"/>
      <c r="L352" s="58"/>
      <c r="M352" s="79"/>
      <c r="N352" s="4"/>
      <c r="O352" s="4"/>
      <c r="P352" s="59"/>
    </row>
    <row r="353" spans="1:32" s="24" customFormat="1" ht="52.5" customHeight="1" x14ac:dyDescent="0.2">
      <c r="A353" s="18"/>
      <c r="B353" s="1048"/>
      <c r="C353" s="1197" t="s">
        <v>645</v>
      </c>
      <c r="D353" s="1198"/>
      <c r="E353" s="1198"/>
      <c r="F353" s="1198"/>
      <c r="G353" s="1198"/>
      <c r="H353" s="1199"/>
      <c r="I353" s="1112"/>
      <c r="J353" s="1176"/>
      <c r="K353" s="18"/>
      <c r="L353" s="58"/>
      <c r="M353" s="79"/>
      <c r="N353" s="4"/>
      <c r="O353" s="4"/>
      <c r="P353" s="59"/>
    </row>
    <row r="354" spans="1:32" s="24" customFormat="1" ht="39.950000000000003" customHeight="1" x14ac:dyDescent="0.2">
      <c r="A354" s="18"/>
      <c r="B354" s="1004" t="s">
        <v>87</v>
      </c>
      <c r="C354" s="1014" t="s">
        <v>92</v>
      </c>
      <c r="D354" s="1015"/>
      <c r="E354" s="1016" t="s">
        <v>89</v>
      </c>
      <c r="F354" s="1016"/>
      <c r="G354" s="1016" t="s">
        <v>90</v>
      </c>
      <c r="H354" s="1125"/>
      <c r="I354" s="1110">
        <v>0</v>
      </c>
      <c r="J354" s="1175">
        <v>1</v>
      </c>
      <c r="K354" s="18"/>
      <c r="L354" s="58"/>
      <c r="M354" s="79"/>
      <c r="N354" s="4"/>
      <c r="O354" s="4"/>
      <c r="P354" s="59"/>
    </row>
    <row r="355" spans="1:32" s="24" customFormat="1" ht="39.950000000000003" customHeight="1" x14ac:dyDescent="0.2">
      <c r="A355" s="18"/>
      <c r="B355" s="1005"/>
      <c r="C355" s="1116" t="s">
        <v>88</v>
      </c>
      <c r="D355" s="1034"/>
      <c r="E355" s="1177" t="s">
        <v>94</v>
      </c>
      <c r="F355" s="1177"/>
      <c r="G355" s="1177" t="s">
        <v>39</v>
      </c>
      <c r="H355" s="1178"/>
      <c r="I355" s="1112"/>
      <c r="J355" s="1176"/>
      <c r="K355" s="18"/>
      <c r="L355" s="58"/>
      <c r="M355" s="79"/>
      <c r="N355" s="4"/>
      <c r="O355" s="4"/>
      <c r="P355" s="59"/>
    </row>
    <row r="356" spans="1:32" s="24" customFormat="1" ht="39.950000000000003" customHeight="1" x14ac:dyDescent="0.2">
      <c r="A356" s="18"/>
      <c r="B356" s="60" t="s">
        <v>567</v>
      </c>
      <c r="C356" s="1194" t="s">
        <v>134</v>
      </c>
      <c r="D356" s="1177"/>
      <c r="E356" s="1034" t="s">
        <v>95</v>
      </c>
      <c r="F356" s="1034"/>
      <c r="G356" s="1034" t="s">
        <v>631</v>
      </c>
      <c r="H356" s="1034"/>
      <c r="I356" s="61">
        <v>0</v>
      </c>
      <c r="J356" s="348">
        <v>1</v>
      </c>
      <c r="K356" s="18"/>
      <c r="L356" s="58"/>
      <c r="M356" s="79"/>
      <c r="N356" s="46" t="s">
        <v>30</v>
      </c>
      <c r="O356" s="4"/>
      <c r="P356" s="59"/>
    </row>
    <row r="357" spans="1:32" s="24" customFormat="1" ht="39.950000000000003" customHeight="1" x14ac:dyDescent="0.2">
      <c r="A357" s="18"/>
      <c r="B357" s="366" t="s">
        <v>584</v>
      </c>
      <c r="C357" s="1434" t="s">
        <v>587</v>
      </c>
      <c r="D357" s="1435"/>
      <c r="E357" s="1435" t="s">
        <v>138</v>
      </c>
      <c r="F357" s="1435"/>
      <c r="G357" s="1435" t="s">
        <v>586</v>
      </c>
      <c r="H357" s="1436"/>
      <c r="I357" s="367">
        <v>0</v>
      </c>
      <c r="J357" s="368">
        <v>1</v>
      </c>
      <c r="K357" s="18"/>
      <c r="L357" s="58"/>
      <c r="M357" s="79"/>
      <c r="N357" s="46" t="s">
        <v>30</v>
      </c>
      <c r="O357" s="4"/>
      <c r="P357" s="59"/>
    </row>
    <row r="358" spans="1:32" s="24" customFormat="1" ht="30" customHeight="1" x14ac:dyDescent="0.2">
      <c r="A358" s="18"/>
      <c r="B358" s="1437" t="s">
        <v>571</v>
      </c>
      <c r="C358" s="1440" t="s">
        <v>596</v>
      </c>
      <c r="D358" s="1441"/>
      <c r="E358" s="1442" t="s">
        <v>646</v>
      </c>
      <c r="F358" s="1442"/>
      <c r="G358" s="1443" t="s">
        <v>598</v>
      </c>
      <c r="H358" s="1444"/>
      <c r="I358" s="1422">
        <v>0</v>
      </c>
      <c r="J358" s="1425">
        <v>1</v>
      </c>
      <c r="K358" s="18"/>
      <c r="L358" s="58"/>
      <c r="M358" s="79"/>
      <c r="N358" s="46" t="s">
        <v>30</v>
      </c>
      <c r="O358" s="4"/>
      <c r="P358" s="59"/>
    </row>
    <row r="359" spans="1:32" s="24" customFormat="1" ht="30" customHeight="1" x14ac:dyDescent="0.2">
      <c r="A359" s="18"/>
      <c r="B359" s="1438"/>
      <c r="C359" s="1428" t="s">
        <v>647</v>
      </c>
      <c r="D359" s="1192"/>
      <c r="E359" s="369"/>
      <c r="F359" s="369"/>
      <c r="G359" s="370"/>
      <c r="H359" s="371"/>
      <c r="I359" s="1423"/>
      <c r="J359" s="1426"/>
      <c r="K359" s="18"/>
      <c r="L359" s="58"/>
      <c r="M359" s="79"/>
      <c r="N359" s="4"/>
      <c r="O359" s="4"/>
      <c r="P359" s="59"/>
    </row>
    <row r="360" spans="1:32" s="18" customFormat="1" ht="39.950000000000003" customHeight="1" x14ac:dyDescent="0.2">
      <c r="A360" s="4"/>
      <c r="B360" s="1439"/>
      <c r="C360" s="1429" t="s">
        <v>648</v>
      </c>
      <c r="D360" s="1430"/>
      <c r="E360" s="1430"/>
      <c r="F360" s="1430"/>
      <c r="G360" s="1430"/>
      <c r="H360" s="1431"/>
      <c r="I360" s="1424"/>
      <c r="J360" s="1427"/>
      <c r="K360"/>
      <c r="L360"/>
      <c r="M360"/>
      <c r="N360"/>
      <c r="O360" s="4"/>
      <c r="P360"/>
      <c r="Q360"/>
    </row>
    <row r="361" spans="1:32" s="18" customFormat="1" ht="30" customHeight="1" x14ac:dyDescent="0.2">
      <c r="A361" s="49"/>
      <c r="B361" s="372" t="s">
        <v>591</v>
      </c>
      <c r="C361" s="1432" t="s">
        <v>592</v>
      </c>
      <c r="D361" s="1433"/>
      <c r="E361" s="868" t="s">
        <v>176</v>
      </c>
      <c r="F361" s="868"/>
      <c r="G361" s="1209" t="s">
        <v>593</v>
      </c>
      <c r="H361" s="1210"/>
      <c r="I361" s="373">
        <v>0</v>
      </c>
      <c r="J361" s="363">
        <v>1</v>
      </c>
      <c r="L361" s="58"/>
      <c r="N361" s="46" t="s">
        <v>30</v>
      </c>
      <c r="O361" s="4"/>
      <c r="P361" s="59"/>
      <c r="Q361" s="24"/>
      <c r="R361" s="24"/>
      <c r="S361" s="24"/>
      <c r="T361" s="24"/>
      <c r="U361" s="24"/>
      <c r="V361" s="24"/>
      <c r="W361" s="24"/>
      <c r="X361" s="24"/>
      <c r="Y361" s="24"/>
      <c r="Z361" s="24"/>
      <c r="AA361" s="24"/>
      <c r="AB361" s="24"/>
      <c r="AC361" s="24"/>
      <c r="AD361" s="24"/>
      <c r="AE361" s="24"/>
      <c r="AF361" s="24"/>
    </row>
    <row r="362" spans="1:32" s="18" customFormat="1" ht="30" customHeight="1" x14ac:dyDescent="0.2">
      <c r="A362" s="49"/>
      <c r="B362" s="1309" t="s">
        <v>758</v>
      </c>
      <c r="C362" s="1461" t="s">
        <v>759</v>
      </c>
      <c r="D362" s="1462"/>
      <c r="E362" s="1462" t="s">
        <v>779</v>
      </c>
      <c r="F362" s="1462"/>
      <c r="G362" s="1462" t="s">
        <v>762</v>
      </c>
      <c r="H362" s="1463"/>
      <c r="I362" s="1446">
        <v>75</v>
      </c>
      <c r="J362" s="1530">
        <v>0.7</v>
      </c>
      <c r="L362" s="58"/>
      <c r="N362" s="46" t="s">
        <v>30</v>
      </c>
      <c r="O362" s="4"/>
      <c r="P362" s="59"/>
      <c r="Q362" s="24"/>
      <c r="R362" s="24"/>
      <c r="S362" s="24"/>
      <c r="T362" s="24"/>
      <c r="U362" s="24"/>
      <c r="V362" s="24"/>
      <c r="W362" s="24"/>
      <c r="X362" s="24"/>
      <c r="Y362" s="24"/>
      <c r="Z362" s="24"/>
      <c r="AA362" s="24"/>
      <c r="AB362" s="24"/>
      <c r="AC362" s="24"/>
      <c r="AD362" s="24"/>
      <c r="AE362" s="24"/>
      <c r="AF362" s="24"/>
    </row>
    <row r="363" spans="1:32" s="18" customFormat="1" ht="30" customHeight="1" x14ac:dyDescent="0.2">
      <c r="A363" s="49"/>
      <c r="B363" s="1310"/>
      <c r="C363" s="1452" t="s">
        <v>606</v>
      </c>
      <c r="D363" s="1192"/>
      <c r="E363" s="1192" t="s">
        <v>780</v>
      </c>
      <c r="F363" s="1192"/>
      <c r="G363" s="1192"/>
      <c r="H363" s="1215"/>
      <c r="I363" s="1448"/>
      <c r="J363" s="2070"/>
      <c r="L363" s="58"/>
      <c r="N363" s="4"/>
      <c r="O363" s="4"/>
      <c r="P363" s="59"/>
      <c r="Q363" s="24"/>
      <c r="R363" s="24"/>
      <c r="S363" s="24"/>
      <c r="T363" s="24"/>
      <c r="U363" s="24"/>
      <c r="V363" s="24"/>
      <c r="W363" s="24"/>
      <c r="X363" s="24"/>
      <c r="Y363" s="24"/>
      <c r="Z363" s="24"/>
      <c r="AA363" s="24"/>
      <c r="AB363" s="24"/>
      <c r="AC363" s="24"/>
      <c r="AD363" s="24"/>
      <c r="AE363" s="24"/>
      <c r="AF363" s="24"/>
    </row>
    <row r="364" spans="1:32" s="18" customFormat="1" ht="30" customHeight="1" x14ac:dyDescent="0.2">
      <c r="A364" s="49"/>
      <c r="B364" s="445" t="s">
        <v>767</v>
      </c>
      <c r="C364" s="1525" t="s">
        <v>768</v>
      </c>
      <c r="D364" s="1526"/>
      <c r="E364" s="1526"/>
      <c r="F364" s="1526"/>
      <c r="G364" s="1526"/>
      <c r="H364" s="1527"/>
      <c r="I364" s="446">
        <v>85</v>
      </c>
      <c r="J364" s="447">
        <v>0.6</v>
      </c>
      <c r="L364" s="58"/>
      <c r="N364" s="46" t="s">
        <v>30</v>
      </c>
      <c r="O364" s="4"/>
      <c r="P364" s="59"/>
      <c r="Q364" s="24"/>
      <c r="R364" s="24"/>
      <c r="S364" s="24"/>
      <c r="T364" s="24"/>
      <c r="U364" s="24"/>
      <c r="V364" s="24"/>
      <c r="W364" s="24"/>
      <c r="X364" s="24"/>
      <c r="Y364" s="24"/>
      <c r="Z364" s="24"/>
      <c r="AA364" s="24"/>
      <c r="AB364" s="24"/>
      <c r="AC364" s="24"/>
      <c r="AD364" s="24"/>
      <c r="AE364" s="24"/>
      <c r="AF364" s="24"/>
    </row>
    <row r="365" spans="1:32" s="24" customFormat="1" ht="30" customHeight="1" x14ac:dyDescent="0.2">
      <c r="A365" s="18"/>
      <c r="B365" s="1756" t="s">
        <v>298</v>
      </c>
      <c r="C365" s="1758"/>
      <c r="D365" s="1758"/>
      <c r="E365" s="1758"/>
      <c r="F365" s="1758"/>
      <c r="G365" s="1758"/>
      <c r="H365" s="1758"/>
      <c r="I365" s="1758"/>
      <c r="J365" s="1759"/>
      <c r="K365" s="18"/>
      <c r="L365" s="58"/>
      <c r="M365" s="3"/>
      <c r="N365" s="4"/>
      <c r="O365" s="4"/>
      <c r="P365" s="18"/>
    </row>
    <row r="366" spans="1:32" s="24" customFormat="1" ht="30" customHeight="1" x14ac:dyDescent="0.2">
      <c r="A366" s="18"/>
      <c r="B366" s="1169" t="s">
        <v>299</v>
      </c>
      <c r="C366" s="1170"/>
      <c r="D366" s="1170"/>
      <c r="E366" s="1170"/>
      <c r="F366" s="1170"/>
      <c r="G366" s="1170"/>
      <c r="H366" s="1170"/>
      <c r="I366" s="1170"/>
      <c r="J366" s="1171"/>
      <c r="K366" s="18"/>
      <c r="L366" s="58"/>
      <c r="M366" s="3"/>
      <c r="N366" s="4"/>
      <c r="O366" s="4"/>
      <c r="P366" s="18"/>
    </row>
    <row r="367" spans="1:32" s="24" customFormat="1" ht="78.75" customHeight="1" x14ac:dyDescent="0.2">
      <c r="A367" s="18"/>
      <c r="B367" s="1164" t="s">
        <v>300</v>
      </c>
      <c r="C367" s="1166" t="s">
        <v>301</v>
      </c>
      <c r="D367" s="1167"/>
      <c r="E367" s="1167"/>
      <c r="F367" s="1167"/>
      <c r="G367" s="1167"/>
      <c r="H367" s="1168"/>
      <c r="I367" s="168">
        <v>0</v>
      </c>
      <c r="J367" s="165">
        <v>1</v>
      </c>
      <c r="K367" s="18"/>
      <c r="L367" s="58"/>
      <c r="M367" s="3"/>
      <c r="N367" s="4"/>
      <c r="O367" s="4"/>
      <c r="P367" s="18"/>
    </row>
    <row r="368" spans="1:32" s="24" customFormat="1" ht="91.5" customHeight="1" x14ac:dyDescent="0.2">
      <c r="A368" s="18"/>
      <c r="B368" s="1165"/>
      <c r="C368" s="1166" t="s">
        <v>913</v>
      </c>
      <c r="D368" s="1167"/>
      <c r="E368" s="1167"/>
      <c r="F368" s="1167"/>
      <c r="G368" s="1167"/>
      <c r="H368" s="1168"/>
      <c r="I368" s="168">
        <v>0</v>
      </c>
      <c r="J368" s="165">
        <v>1</v>
      </c>
      <c r="K368" s="18"/>
      <c r="L368" s="58"/>
      <c r="M368" s="3"/>
      <c r="N368" s="4"/>
      <c r="O368" s="4"/>
      <c r="P368" s="18"/>
    </row>
    <row r="369" spans="1:25" s="24" customFormat="1" ht="30" customHeight="1" x14ac:dyDescent="0.2">
      <c r="A369" s="18"/>
      <c r="B369" s="1166" t="s">
        <v>303</v>
      </c>
      <c r="C369" s="1167"/>
      <c r="D369" s="1167"/>
      <c r="E369" s="1167"/>
      <c r="F369" s="1167"/>
      <c r="G369" s="1167"/>
      <c r="H369" s="1167"/>
      <c r="I369" s="1167"/>
      <c r="J369" s="1168"/>
      <c r="K369" s="18"/>
      <c r="L369" s="58"/>
      <c r="M369" s="3"/>
      <c r="N369" s="4"/>
      <c r="O369" s="4"/>
      <c r="P369" s="18"/>
    </row>
    <row r="370" spans="1:25" s="172" customFormat="1" ht="20.100000000000001" customHeight="1" x14ac:dyDescent="0.2">
      <c r="A370" s="169"/>
      <c r="B370" s="1161" t="s">
        <v>304</v>
      </c>
      <c r="C370" s="1162"/>
      <c r="D370" s="1162"/>
      <c r="E370" s="1162"/>
      <c r="F370" s="1162"/>
      <c r="G370" s="1162"/>
      <c r="H370" s="1162"/>
      <c r="I370" s="1162"/>
      <c r="J370" s="1163"/>
      <c r="K370" s="169"/>
      <c r="L370" s="170"/>
      <c r="M370" s="6"/>
      <c r="N370" s="171"/>
      <c r="O370" s="4"/>
      <c r="P370" s="169"/>
    </row>
    <row r="371" spans="1:25" s="24" customFormat="1" ht="39.950000000000003" customHeight="1" x14ac:dyDescent="0.2">
      <c r="A371" s="18"/>
      <c r="B371" s="1164" t="s">
        <v>305</v>
      </c>
      <c r="C371" s="1166" t="s">
        <v>306</v>
      </c>
      <c r="D371" s="1167"/>
      <c r="E371" s="1167" t="s">
        <v>307</v>
      </c>
      <c r="F371" s="1167"/>
      <c r="H371" s="173"/>
      <c r="I371" s="173"/>
      <c r="J371" s="174"/>
      <c r="K371" s="18"/>
      <c r="L371" s="58"/>
      <c r="M371" s="3"/>
      <c r="N371" s="4"/>
      <c r="O371" s="4"/>
      <c r="P371" s="18"/>
    </row>
    <row r="372" spans="1:25" s="24" customFormat="1" ht="39.950000000000003" customHeight="1" x14ac:dyDescent="0.2">
      <c r="A372" s="18"/>
      <c r="B372" s="1165"/>
      <c r="C372" s="1166" t="s">
        <v>308</v>
      </c>
      <c r="D372" s="1167"/>
      <c r="E372" s="1167"/>
      <c r="F372" s="1167"/>
      <c r="G372" s="1167"/>
      <c r="H372" s="1167"/>
      <c r="I372" s="1167"/>
      <c r="J372" s="1168"/>
      <c r="K372" s="18"/>
      <c r="L372" s="58"/>
      <c r="M372" s="3"/>
      <c r="N372" s="4"/>
      <c r="O372" s="4"/>
      <c r="P372" s="18"/>
    </row>
    <row r="373" spans="1:25" ht="20.100000000000001" customHeight="1" x14ac:dyDescent="0.2">
      <c r="B373" s="642"/>
      <c r="C373" s="786"/>
      <c r="D373" s="787"/>
      <c r="E373" s="787"/>
      <c r="F373" s="787"/>
      <c r="G373" s="787"/>
      <c r="H373" s="787"/>
      <c r="I373" s="788"/>
      <c r="J373" s="488"/>
    </row>
    <row r="374" spans="1:25" ht="30" customHeight="1" x14ac:dyDescent="0.2">
      <c r="A374" s="45"/>
      <c r="B374" s="1713" t="s">
        <v>309</v>
      </c>
      <c r="C374" s="1713"/>
      <c r="D374" s="1713"/>
      <c r="E374" s="1713"/>
      <c r="F374" s="1713"/>
      <c r="G374" s="1713"/>
      <c r="H374" s="1713"/>
      <c r="I374" s="406" t="s">
        <v>17</v>
      </c>
      <c r="J374" s="35" t="s">
        <v>18</v>
      </c>
      <c r="K374" s="226" t="s">
        <v>310</v>
      </c>
      <c r="L374" s="183">
        <v>12</v>
      </c>
      <c r="N374" s="182" t="s">
        <v>30</v>
      </c>
      <c r="O374" s="183">
        <v>12</v>
      </c>
    </row>
    <row r="375" spans="1:25" ht="180.75" customHeight="1" x14ac:dyDescent="0.2">
      <c r="A375" s="45"/>
      <c r="B375" s="1169" t="s">
        <v>311</v>
      </c>
      <c r="C375" s="1170"/>
      <c r="D375" s="1170"/>
      <c r="E375" s="1170"/>
      <c r="F375" s="1170"/>
      <c r="G375" s="1170"/>
      <c r="H375" s="1170"/>
      <c r="I375" s="1170"/>
      <c r="J375" s="1171"/>
      <c r="K375" s="226" t="s">
        <v>310</v>
      </c>
      <c r="L375" s="183">
        <v>12</v>
      </c>
      <c r="M375" s="181"/>
      <c r="O375" s="183">
        <v>12</v>
      </c>
    </row>
    <row r="376" spans="1:25" ht="65.25" customHeight="1" x14ac:dyDescent="0.2">
      <c r="A376" s="45"/>
      <c r="B376" s="471" t="s">
        <v>312</v>
      </c>
      <c r="C376" s="1169" t="s">
        <v>313</v>
      </c>
      <c r="D376" s="1170"/>
      <c r="E376" s="1170"/>
      <c r="F376" s="1170"/>
      <c r="G376" s="1170"/>
      <c r="H376" s="1171"/>
      <c r="I376" s="539">
        <v>0</v>
      </c>
      <c r="J376" s="75">
        <v>1</v>
      </c>
      <c r="K376" s="226" t="s">
        <v>310</v>
      </c>
      <c r="L376" s="183">
        <v>12</v>
      </c>
      <c r="N376" s="182" t="s">
        <v>30</v>
      </c>
      <c r="O376" s="183">
        <v>12</v>
      </c>
    </row>
    <row r="377" spans="1:25" ht="394.5" customHeight="1" x14ac:dyDescent="0.2">
      <c r="A377" s="45"/>
      <c r="B377" s="538" t="s">
        <v>314</v>
      </c>
      <c r="C377" s="1635" t="s">
        <v>315</v>
      </c>
      <c r="D377" s="1636"/>
      <c r="E377" s="1636"/>
      <c r="F377" s="1636"/>
      <c r="G377" s="1636"/>
      <c r="H377" s="1637"/>
      <c r="I377" s="662">
        <v>0</v>
      </c>
      <c r="J377" s="42">
        <v>1</v>
      </c>
      <c r="K377" s="663" t="s">
        <v>310</v>
      </c>
      <c r="L377" s="183">
        <v>12</v>
      </c>
      <c r="N377" s="182" t="s">
        <v>30</v>
      </c>
      <c r="O377" s="183">
        <v>12</v>
      </c>
    </row>
    <row r="378" spans="1:25" ht="93" customHeight="1" x14ac:dyDescent="0.2">
      <c r="A378" s="45"/>
      <c r="B378" s="538" t="s">
        <v>316</v>
      </c>
      <c r="C378" s="1635" t="s">
        <v>914</v>
      </c>
      <c r="D378" s="1636"/>
      <c r="E378" s="1636"/>
      <c r="F378" s="1636"/>
      <c r="G378" s="1636"/>
      <c r="H378" s="1637"/>
      <c r="I378" s="409">
        <v>0</v>
      </c>
      <c r="J378" s="42">
        <v>1</v>
      </c>
      <c r="K378" s="663" t="s">
        <v>310</v>
      </c>
      <c r="L378" s="183">
        <v>12</v>
      </c>
      <c r="N378" s="182" t="s">
        <v>30</v>
      </c>
      <c r="O378" s="183">
        <v>12</v>
      </c>
    </row>
    <row r="379" spans="1:25" ht="20.100000000000001" customHeight="1" x14ac:dyDescent="0.2">
      <c r="A379" s="45"/>
      <c r="B379" s="664"/>
      <c r="C379" s="665"/>
      <c r="D379" s="665"/>
      <c r="E379" s="665"/>
      <c r="F379" s="665"/>
      <c r="G379" s="665"/>
      <c r="H379" s="665"/>
      <c r="I379" s="666"/>
      <c r="J379" s="180"/>
    </row>
    <row r="380" spans="1:25" ht="30" customHeight="1" x14ac:dyDescent="0.2">
      <c r="A380" s="45"/>
      <c r="B380" s="2020" t="s">
        <v>318</v>
      </c>
      <c r="C380" s="1956"/>
      <c r="D380" s="1956"/>
      <c r="E380" s="1956"/>
      <c r="F380" s="1956"/>
      <c r="G380" s="1956"/>
      <c r="H380" s="1956"/>
      <c r="I380" s="815" t="s">
        <v>130</v>
      </c>
      <c r="J380" s="842" t="s">
        <v>18</v>
      </c>
      <c r="K380" s="36" t="s">
        <v>319</v>
      </c>
      <c r="L380" s="36" t="s">
        <v>319</v>
      </c>
      <c r="M380" s="181"/>
      <c r="N380" s="182" t="s">
        <v>30</v>
      </c>
      <c r="O380" s="183">
        <v>13</v>
      </c>
      <c r="P380"/>
    </row>
    <row r="381" spans="1:25" ht="54" customHeight="1" x14ac:dyDescent="0.2">
      <c r="A381" s="45"/>
      <c r="B381" s="949" t="s">
        <v>320</v>
      </c>
      <c r="C381" s="950"/>
      <c r="D381" s="950"/>
      <c r="E381" s="950"/>
      <c r="F381" s="950"/>
      <c r="G381" s="950"/>
      <c r="H381" s="950"/>
      <c r="I381" s="950"/>
      <c r="J381" s="951"/>
      <c r="K381" s="36" t="s">
        <v>319</v>
      </c>
      <c r="L381" s="36" t="s">
        <v>319</v>
      </c>
      <c r="M381" s="181"/>
      <c r="O381" s="183">
        <v>13</v>
      </c>
      <c r="P381"/>
      <c r="U381" s="70"/>
      <c r="V381" s="184"/>
      <c r="W381" s="693"/>
      <c r="X381" s="694"/>
      <c r="Y381" s="69"/>
    </row>
    <row r="382" spans="1:25" ht="31.5" customHeight="1" x14ac:dyDescent="0.2">
      <c r="A382" s="45"/>
      <c r="B382" s="1172" t="s">
        <v>26</v>
      </c>
      <c r="C382" s="985" t="s">
        <v>32</v>
      </c>
      <c r="D382" s="986"/>
      <c r="E382" s="986" t="s">
        <v>200</v>
      </c>
      <c r="F382" s="986"/>
      <c r="G382" s="986" t="s">
        <v>29</v>
      </c>
      <c r="H382" s="987"/>
      <c r="I382" s="1138">
        <f>+'[2]Datos REG y HIJOS'!$D$3</f>
        <v>35</v>
      </c>
      <c r="J382" s="1138">
        <f>+'[2]Datos REG y HIJOS'!$E$3</f>
        <v>0.9</v>
      </c>
      <c r="K382" s="43" t="s">
        <v>26</v>
      </c>
      <c r="L382" s="36" t="s">
        <v>319</v>
      </c>
      <c r="M382" s="181"/>
      <c r="N382" s="182" t="s">
        <v>30</v>
      </c>
      <c r="O382" s="183">
        <v>13</v>
      </c>
      <c r="P382"/>
      <c r="U382" s="70"/>
      <c r="V382" s="70"/>
      <c r="W382" s="187"/>
      <c r="X382" s="69"/>
      <c r="Y382" s="69"/>
    </row>
    <row r="383" spans="1:25" ht="34.5" customHeight="1" x14ac:dyDescent="0.2">
      <c r="A383" s="45"/>
      <c r="B383" s="1173"/>
      <c r="C383" s="1144" t="s">
        <v>37</v>
      </c>
      <c r="D383" s="1145"/>
      <c r="E383" s="956" t="s">
        <v>27</v>
      </c>
      <c r="F383" s="956"/>
      <c r="G383" s="957" t="s">
        <v>36</v>
      </c>
      <c r="H383" s="958"/>
      <c r="I383" s="1139"/>
      <c r="J383" s="1139"/>
      <c r="K383" s="43" t="s">
        <v>26</v>
      </c>
      <c r="L383" s="36" t="s">
        <v>319</v>
      </c>
      <c r="M383" s="181"/>
      <c r="N383" s="4"/>
      <c r="O383" s="183">
        <v>13</v>
      </c>
      <c r="P383"/>
      <c r="U383" s="70"/>
      <c r="V383" s="70"/>
      <c r="W383" s="187"/>
      <c r="X383" s="69"/>
      <c r="Y383" s="69"/>
    </row>
    <row r="384" spans="1:25" ht="39.950000000000003" customHeight="1" x14ac:dyDescent="0.2">
      <c r="A384" s="45"/>
      <c r="B384" s="952" t="s">
        <v>40</v>
      </c>
      <c r="C384" s="985" t="s">
        <v>41</v>
      </c>
      <c r="D384" s="986"/>
      <c r="E384" s="1149" t="s">
        <v>42</v>
      </c>
      <c r="F384" s="1149"/>
      <c r="G384" s="986" t="s">
        <v>43</v>
      </c>
      <c r="H384" s="987"/>
      <c r="I384" s="1153">
        <f>+'[2]Datos REG y HIJOS'!$D$4</f>
        <v>35</v>
      </c>
      <c r="J384" s="1153">
        <f>+'[2]Datos REG y HIJOS'!$E$4</f>
        <v>0.9</v>
      </c>
      <c r="K384" s="43" t="s">
        <v>40</v>
      </c>
      <c r="L384" s="36" t="s">
        <v>319</v>
      </c>
      <c r="M384" s="181"/>
      <c r="N384" s="182" t="s">
        <v>30</v>
      </c>
      <c r="O384" s="183">
        <v>13</v>
      </c>
      <c r="P384"/>
    </row>
    <row r="385" spans="2:16" s="45" customFormat="1" ht="39.950000000000003" customHeight="1" x14ac:dyDescent="0.2">
      <c r="B385" s="953"/>
      <c r="C385" s="1144" t="s">
        <v>44</v>
      </c>
      <c r="D385" s="1145"/>
      <c r="E385" s="1145" t="s">
        <v>51</v>
      </c>
      <c r="F385" s="1145"/>
      <c r="G385" s="1145" t="s">
        <v>49</v>
      </c>
      <c r="H385" s="1146"/>
      <c r="I385" s="1154"/>
      <c r="J385" s="1154"/>
      <c r="K385" s="43" t="s">
        <v>40</v>
      </c>
      <c r="L385" s="36" t="s">
        <v>319</v>
      </c>
      <c r="M385" s="181"/>
      <c r="N385" s="4"/>
      <c r="O385" s="183">
        <v>13</v>
      </c>
      <c r="P385"/>
    </row>
    <row r="386" spans="2:16" s="66" customFormat="1" ht="39.950000000000003" customHeight="1" x14ac:dyDescent="0.2">
      <c r="B386" s="953"/>
      <c r="C386" s="965" t="s">
        <v>59</v>
      </c>
      <c r="D386" s="957"/>
      <c r="E386" s="1145" t="s">
        <v>48</v>
      </c>
      <c r="F386" s="1145"/>
      <c r="G386" s="957" t="s">
        <v>62</v>
      </c>
      <c r="H386" s="958"/>
      <c r="I386" s="1154"/>
      <c r="J386" s="1154"/>
      <c r="K386" s="43" t="s">
        <v>40</v>
      </c>
      <c r="L386" s="36" t="s">
        <v>319</v>
      </c>
      <c r="M386" s="181"/>
      <c r="N386" s="4"/>
      <c r="O386" s="183">
        <v>13</v>
      </c>
      <c r="P386"/>
    </row>
    <row r="387" spans="2:16" s="66" customFormat="1" ht="39.950000000000003" customHeight="1" x14ac:dyDescent="0.2">
      <c r="B387" s="953"/>
      <c r="C387" s="965" t="s">
        <v>60</v>
      </c>
      <c r="D387" s="957"/>
      <c r="E387" s="1145" t="s">
        <v>54</v>
      </c>
      <c r="F387" s="1145"/>
      <c r="G387" s="957" t="s">
        <v>52</v>
      </c>
      <c r="H387" s="958"/>
      <c r="I387" s="1154"/>
      <c r="J387" s="1154"/>
      <c r="K387" s="43" t="s">
        <v>40</v>
      </c>
      <c r="L387" s="36" t="s">
        <v>319</v>
      </c>
      <c r="M387" s="181"/>
      <c r="N387" s="4"/>
      <c r="O387" s="183">
        <v>13</v>
      </c>
      <c r="P387"/>
    </row>
    <row r="388" spans="2:16" s="45" customFormat="1" ht="39.950000000000003" customHeight="1" x14ac:dyDescent="0.2">
      <c r="B388" s="953"/>
      <c r="C388" s="965" t="s">
        <v>45</v>
      </c>
      <c r="D388" s="957"/>
      <c r="E388" s="957" t="s">
        <v>248</v>
      </c>
      <c r="F388" s="957"/>
      <c r="G388" s="957" t="s">
        <v>321</v>
      </c>
      <c r="H388" s="958"/>
      <c r="I388" s="1154"/>
      <c r="J388" s="1154"/>
      <c r="K388" s="43" t="s">
        <v>40</v>
      </c>
      <c r="L388" s="36" t="s">
        <v>319</v>
      </c>
      <c r="M388" s="181"/>
      <c r="N388" s="4"/>
      <c r="O388" s="183">
        <v>13</v>
      </c>
      <c r="P388"/>
    </row>
    <row r="389" spans="2:16" s="45" customFormat="1" ht="39.950000000000003" customHeight="1" x14ac:dyDescent="0.2">
      <c r="B389" s="954"/>
      <c r="C389" s="1147" t="s">
        <v>322</v>
      </c>
      <c r="D389" s="1148"/>
      <c r="E389" s="1148"/>
      <c r="F389" s="1148"/>
      <c r="G389" s="1148"/>
      <c r="H389" s="1152"/>
      <c r="I389" s="1155"/>
      <c r="J389" s="1155"/>
      <c r="K389" s="43" t="s">
        <v>40</v>
      </c>
      <c r="L389" s="36" t="s">
        <v>319</v>
      </c>
      <c r="M389" s="181"/>
      <c r="N389" s="4"/>
      <c r="O389" s="183">
        <v>13</v>
      </c>
      <c r="P389"/>
    </row>
    <row r="390" spans="2:16" s="45" customFormat="1" ht="30" customHeight="1" x14ac:dyDescent="0.2">
      <c r="B390" s="952" t="s">
        <v>71</v>
      </c>
      <c r="C390" s="1150" t="s">
        <v>72</v>
      </c>
      <c r="D390" s="1149"/>
      <c r="E390" s="1149" t="s">
        <v>80</v>
      </c>
      <c r="F390" s="1149"/>
      <c r="G390" s="1149" t="s">
        <v>74</v>
      </c>
      <c r="H390" s="1151"/>
      <c r="I390" s="1138">
        <f>+'[2]Datos REG y HIJOS'!$D$5</f>
        <v>40</v>
      </c>
      <c r="J390" s="1138">
        <f>+'[2]Datos REG y HIJOS'!$E$5</f>
        <v>0.9</v>
      </c>
      <c r="K390" s="43" t="s">
        <v>71</v>
      </c>
      <c r="L390" s="36" t="s">
        <v>319</v>
      </c>
      <c r="M390" s="181"/>
      <c r="N390" s="182" t="s">
        <v>30</v>
      </c>
      <c r="O390" s="183">
        <v>13</v>
      </c>
      <c r="P390"/>
    </row>
    <row r="391" spans="2:16" s="45" customFormat="1" ht="30" customHeight="1" x14ac:dyDescent="0.2">
      <c r="B391" s="953"/>
      <c r="C391" s="1144" t="s">
        <v>75</v>
      </c>
      <c r="D391" s="1145"/>
      <c r="E391" s="1145" t="s">
        <v>82</v>
      </c>
      <c r="F391" s="1145"/>
      <c r="G391" s="1145" t="s">
        <v>73</v>
      </c>
      <c r="H391" s="1146"/>
      <c r="I391" s="1139"/>
      <c r="J391" s="1139"/>
      <c r="K391" s="43" t="s">
        <v>71</v>
      </c>
      <c r="L391" s="36" t="s">
        <v>319</v>
      </c>
      <c r="M391" s="181"/>
      <c r="N391" s="4"/>
      <c r="O391" s="183">
        <v>13</v>
      </c>
      <c r="P391"/>
    </row>
    <row r="392" spans="2:16" s="45" customFormat="1" ht="30" customHeight="1" x14ac:dyDescent="0.2">
      <c r="B392" s="953"/>
      <c r="C392" s="1144" t="s">
        <v>81</v>
      </c>
      <c r="D392" s="1145"/>
      <c r="E392" s="1145" t="s">
        <v>79</v>
      </c>
      <c r="F392" s="1145"/>
      <c r="G392" s="1145" t="s">
        <v>830</v>
      </c>
      <c r="H392" s="1146"/>
      <c r="I392" s="1139"/>
      <c r="J392" s="1139"/>
      <c r="K392" s="43" t="s">
        <v>71</v>
      </c>
      <c r="L392" s="36" t="s">
        <v>319</v>
      </c>
      <c r="M392" s="181"/>
      <c r="N392" s="4"/>
      <c r="O392" s="183">
        <v>13</v>
      </c>
      <c r="P392"/>
    </row>
    <row r="393" spans="2:16" s="45" customFormat="1" ht="30" customHeight="1" x14ac:dyDescent="0.2">
      <c r="B393" s="954"/>
      <c r="C393" s="971" t="s">
        <v>177</v>
      </c>
      <c r="D393" s="944"/>
      <c r="E393" s="944" t="s">
        <v>78</v>
      </c>
      <c r="F393" s="944"/>
      <c r="G393" s="944"/>
      <c r="H393" s="945"/>
      <c r="I393" s="1140"/>
      <c r="J393" s="1140"/>
      <c r="K393" s="43" t="s">
        <v>71</v>
      </c>
      <c r="L393" s="36" t="s">
        <v>319</v>
      </c>
      <c r="M393" s="181"/>
      <c r="N393" s="4"/>
      <c r="O393" s="183">
        <v>13</v>
      </c>
      <c r="P393"/>
    </row>
    <row r="394" spans="2:16" s="45" customFormat="1" ht="39.950000000000003" customHeight="1" x14ac:dyDescent="0.2">
      <c r="B394" s="952" t="s">
        <v>85</v>
      </c>
      <c r="C394" s="1150" t="s">
        <v>577</v>
      </c>
      <c r="D394" s="1149"/>
      <c r="E394" s="1149" t="s">
        <v>378</v>
      </c>
      <c r="F394" s="1149"/>
      <c r="G394" s="986" t="s">
        <v>342</v>
      </c>
      <c r="H394" s="987"/>
      <c r="I394" s="1138">
        <f>+'[2]Datos REG y HIJOS'!$D$6</f>
        <v>40</v>
      </c>
      <c r="J394" s="1138">
        <f>+'[2]Datos REG y HIJOS'!$E$6</f>
        <v>0.85</v>
      </c>
      <c r="K394" s="43" t="s">
        <v>85</v>
      </c>
      <c r="L394" s="36" t="s">
        <v>319</v>
      </c>
      <c r="M394" s="181"/>
      <c r="N394" s="182" t="s">
        <v>30</v>
      </c>
      <c r="O394" s="183">
        <v>13</v>
      </c>
      <c r="P394"/>
    </row>
    <row r="395" spans="2:16" s="45" customFormat="1" ht="39.950000000000003" customHeight="1" x14ac:dyDescent="0.2">
      <c r="B395" s="953"/>
      <c r="C395" s="1144" t="s">
        <v>86</v>
      </c>
      <c r="D395" s="1145"/>
      <c r="E395" s="1145" t="s">
        <v>574</v>
      </c>
      <c r="F395" s="1145"/>
      <c r="G395" s="1145" t="s">
        <v>580</v>
      </c>
      <c r="H395" s="1146"/>
      <c r="I395" s="1139"/>
      <c r="J395" s="1139"/>
      <c r="K395" s="43" t="s">
        <v>85</v>
      </c>
      <c r="L395" s="36" t="s">
        <v>319</v>
      </c>
      <c r="M395" s="181"/>
      <c r="N395" s="4"/>
      <c r="O395" s="183">
        <v>13</v>
      </c>
      <c r="P395"/>
    </row>
    <row r="396" spans="2:16" s="45" customFormat="1" ht="39.950000000000003" customHeight="1" x14ac:dyDescent="0.2">
      <c r="B396" s="953"/>
      <c r="C396" s="1144" t="s">
        <v>576</v>
      </c>
      <c r="D396" s="1145"/>
      <c r="E396" s="1145" t="s">
        <v>578</v>
      </c>
      <c r="F396" s="1145"/>
      <c r="G396" s="957" t="s">
        <v>657</v>
      </c>
      <c r="H396" s="958"/>
      <c r="I396" s="1139"/>
      <c r="J396" s="1139"/>
      <c r="K396" s="43" t="s">
        <v>85</v>
      </c>
      <c r="L396" s="36" t="s">
        <v>319</v>
      </c>
      <c r="M396" s="181"/>
      <c r="N396" s="4"/>
      <c r="O396" s="183">
        <v>13</v>
      </c>
      <c r="P396"/>
    </row>
    <row r="397" spans="2:16" s="45" customFormat="1" ht="30" customHeight="1" x14ac:dyDescent="0.2">
      <c r="B397" s="982" t="s">
        <v>87</v>
      </c>
      <c r="C397" s="1150" t="s">
        <v>92</v>
      </c>
      <c r="D397" s="1149"/>
      <c r="E397" s="1149" t="s">
        <v>89</v>
      </c>
      <c r="F397" s="1149"/>
      <c r="G397" s="1149" t="s">
        <v>90</v>
      </c>
      <c r="H397" s="1151"/>
      <c r="I397" s="1414">
        <f>+'[2]Datos REG y HIJOS'!$D$7</f>
        <v>45</v>
      </c>
      <c r="J397" s="1138">
        <f>+'[2]Datos REG y HIJOS'!$E$7</f>
        <v>0.85</v>
      </c>
      <c r="K397" s="43" t="s">
        <v>87</v>
      </c>
      <c r="L397" s="36" t="s">
        <v>319</v>
      </c>
      <c r="M397" s="181"/>
      <c r="N397" s="182" t="s">
        <v>30</v>
      </c>
      <c r="O397" s="183">
        <v>13</v>
      </c>
      <c r="P397"/>
    </row>
    <row r="398" spans="2:16" s="45" customFormat="1" ht="30" customHeight="1" x14ac:dyDescent="0.2">
      <c r="B398" s="983"/>
      <c r="C398" s="1144" t="s">
        <v>88</v>
      </c>
      <c r="D398" s="1145"/>
      <c r="E398" s="1145" t="s">
        <v>323</v>
      </c>
      <c r="F398" s="1145"/>
      <c r="G398" s="1145" t="s">
        <v>94</v>
      </c>
      <c r="H398" s="1146"/>
      <c r="I398" s="1415"/>
      <c r="J398" s="1139"/>
      <c r="K398" s="43" t="s">
        <v>87</v>
      </c>
      <c r="L398" s="36" t="s">
        <v>319</v>
      </c>
      <c r="M398" s="181"/>
      <c r="N398" s="4"/>
      <c r="O398" s="183">
        <v>13</v>
      </c>
      <c r="P398"/>
    </row>
    <row r="399" spans="2:16" s="45" customFormat="1" ht="30" customHeight="1" x14ac:dyDescent="0.2">
      <c r="B399" s="984"/>
      <c r="C399" s="1147" t="s">
        <v>95</v>
      </c>
      <c r="D399" s="1148"/>
      <c r="E399" s="190"/>
      <c r="F399" s="190"/>
      <c r="G399" s="190"/>
      <c r="H399" s="191"/>
      <c r="I399" s="1419"/>
      <c r="J399" s="1140"/>
      <c r="K399" s="43" t="s">
        <v>87</v>
      </c>
      <c r="L399" s="36" t="s">
        <v>319</v>
      </c>
      <c r="M399" s="181"/>
      <c r="N399" s="4"/>
      <c r="O399" s="183">
        <v>13</v>
      </c>
      <c r="P399"/>
    </row>
    <row r="400" spans="2:16" s="45" customFormat="1" ht="30" customHeight="1" x14ac:dyDescent="0.2">
      <c r="B400" s="952" t="s">
        <v>567</v>
      </c>
      <c r="C400" s="1420" t="s">
        <v>134</v>
      </c>
      <c r="D400" s="1421"/>
      <c r="E400" s="1608" t="s">
        <v>652</v>
      </c>
      <c r="F400" s="1608"/>
      <c r="G400" s="1145" t="s">
        <v>570</v>
      </c>
      <c r="H400" s="1146"/>
      <c r="I400" s="1138">
        <f>+'[2]Datos REG y HIJOS'!$D$8</f>
        <v>45</v>
      </c>
      <c r="J400" s="1138">
        <f>+'[2]Datos REG y HIJOS'!$E$8</f>
        <v>0.85</v>
      </c>
      <c r="K400" s="43" t="s">
        <v>567</v>
      </c>
      <c r="L400" s="36" t="s">
        <v>319</v>
      </c>
      <c r="M400" s="181"/>
      <c r="N400" s="182" t="s">
        <v>30</v>
      </c>
      <c r="O400" s="183">
        <v>13</v>
      </c>
      <c r="P400"/>
    </row>
    <row r="401" spans="1:16" ht="30" customHeight="1" x14ac:dyDescent="0.2">
      <c r="A401" s="45"/>
      <c r="B401" s="953"/>
      <c r="C401" s="1420" t="s">
        <v>653</v>
      </c>
      <c r="D401" s="1421"/>
      <c r="E401" s="1608" t="s">
        <v>654</v>
      </c>
      <c r="F401" s="1608"/>
      <c r="G401" s="378" t="s">
        <v>655</v>
      </c>
      <c r="H401" s="380"/>
      <c r="I401" s="1139"/>
      <c r="J401" s="1139"/>
      <c r="K401" s="43" t="s">
        <v>567</v>
      </c>
      <c r="L401" s="36" t="s">
        <v>319</v>
      </c>
      <c r="M401" s="181"/>
      <c r="N401" s="4"/>
      <c r="O401" s="183">
        <v>13</v>
      </c>
      <c r="P401"/>
    </row>
    <row r="402" spans="1:16" ht="30" customHeight="1" x14ac:dyDescent="0.2">
      <c r="A402" s="45"/>
      <c r="B402" s="954"/>
      <c r="C402" s="1147" t="s">
        <v>656</v>
      </c>
      <c r="D402" s="1148"/>
      <c r="E402" s="1034"/>
      <c r="F402" s="1034"/>
      <c r="G402" s="50"/>
      <c r="H402" s="124"/>
      <c r="I402" s="1140"/>
      <c r="J402" s="1140"/>
      <c r="K402" s="43" t="s">
        <v>567</v>
      </c>
      <c r="L402" s="36" t="s">
        <v>319</v>
      </c>
      <c r="M402" s="181"/>
      <c r="N402" s="4"/>
      <c r="O402" s="183">
        <v>13</v>
      </c>
      <c r="P402"/>
    </row>
    <row r="403" spans="1:16" ht="30" customHeight="1" x14ac:dyDescent="0.2">
      <c r="A403" s="45"/>
      <c r="B403" s="534" t="s">
        <v>584</v>
      </c>
      <c r="C403" s="1404" t="s">
        <v>587</v>
      </c>
      <c r="D403" s="1405"/>
      <c r="E403" s="1406" t="s">
        <v>658</v>
      </c>
      <c r="F403" s="1406"/>
      <c r="G403" s="1406"/>
      <c r="H403" s="1407"/>
      <c r="I403" s="535">
        <f>+'[2]Datos REG y HIJOS'!$D$10</f>
        <v>50</v>
      </c>
      <c r="J403" s="535">
        <f>+'[2]Datos REG y HIJOS'!$E$10</f>
        <v>0.85</v>
      </c>
      <c r="K403" s="43" t="s">
        <v>584</v>
      </c>
      <c r="L403" s="36" t="s">
        <v>319</v>
      </c>
      <c r="M403" s="181"/>
      <c r="N403" s="182" t="s">
        <v>30</v>
      </c>
      <c r="O403" s="183">
        <v>13</v>
      </c>
      <c r="P403"/>
    </row>
    <row r="404" spans="1:16" ht="30" customHeight="1" x14ac:dyDescent="0.2">
      <c r="A404" s="45"/>
      <c r="B404" s="1408" t="s">
        <v>571</v>
      </c>
      <c r="C404" s="1410" t="s">
        <v>596</v>
      </c>
      <c r="D404" s="1411"/>
      <c r="E404" s="1195" t="s">
        <v>597</v>
      </c>
      <c r="F404" s="1195"/>
      <c r="G404" s="1412" t="s">
        <v>598</v>
      </c>
      <c r="H404" s="1413"/>
      <c r="I404" s="1397">
        <f>+'[2]Datos REG y HIJOS'!$D$9</f>
        <v>40</v>
      </c>
      <c r="J404" s="1397">
        <f>+'[2]Datos REG y HIJOS'!$E$9</f>
        <v>0.85</v>
      </c>
      <c r="K404" s="43" t="s">
        <v>571</v>
      </c>
      <c r="L404" s="36" t="s">
        <v>319</v>
      </c>
      <c r="M404" s="181"/>
      <c r="N404" s="182" t="s">
        <v>30</v>
      </c>
      <c r="O404" s="183">
        <v>13</v>
      </c>
      <c r="P404"/>
    </row>
    <row r="405" spans="1:16" s="225" customFormat="1" ht="30" customHeight="1" x14ac:dyDescent="0.2">
      <c r="A405" s="672"/>
      <c r="B405" s="1409"/>
      <c r="C405" s="1399" t="s">
        <v>599</v>
      </c>
      <c r="D405" s="1400"/>
      <c r="E405" s="1400"/>
      <c r="F405" s="1400"/>
      <c r="G405" s="384"/>
      <c r="H405" s="385"/>
      <c r="I405" s="1398"/>
      <c r="J405" s="1398"/>
      <c r="K405" s="43" t="s">
        <v>571</v>
      </c>
      <c r="L405" s="36" t="s">
        <v>319</v>
      </c>
      <c r="M405" s="181"/>
      <c r="N405" s="4"/>
      <c r="O405" s="183">
        <v>13</v>
      </c>
      <c r="P405"/>
    </row>
    <row r="406" spans="1:16" s="66" customFormat="1" ht="30" customHeight="1" x14ac:dyDescent="0.25">
      <c r="A406" s="45"/>
      <c r="B406" s="327" t="s">
        <v>591</v>
      </c>
      <c r="C406" s="1401" t="s">
        <v>592</v>
      </c>
      <c r="D406" s="1402"/>
      <c r="E406" s="1402" t="s">
        <v>176</v>
      </c>
      <c r="F406" s="1402"/>
      <c r="G406" s="816"/>
      <c r="H406" s="817"/>
      <c r="I406" s="448">
        <f>+'[2]Datos REG y HIJOS'!$D$11</f>
        <v>80</v>
      </c>
      <c r="J406" s="448">
        <f>+'[2]Datos REG y HIJOS'!$E$11</f>
        <v>0.75</v>
      </c>
      <c r="K406" s="43" t="s">
        <v>591</v>
      </c>
      <c r="L406" s="36" t="s">
        <v>319</v>
      </c>
      <c r="M406" s="383"/>
      <c r="N406" s="4"/>
      <c r="O406" s="37">
        <v>13</v>
      </c>
      <c r="P406"/>
    </row>
    <row r="407" spans="1:16" s="66" customFormat="1" ht="30" customHeight="1" x14ac:dyDescent="0.25">
      <c r="A407" s="45"/>
      <c r="B407" s="327" t="s">
        <v>758</v>
      </c>
      <c r="C407" s="1401" t="s">
        <v>765</v>
      </c>
      <c r="D407" s="1402"/>
      <c r="E407" s="1402"/>
      <c r="F407" s="1402"/>
      <c r="G407" s="1402"/>
      <c r="H407" s="1403"/>
      <c r="I407" s="448">
        <f>+'[2]Datos REG y HIJOS'!$D$12</f>
        <v>90</v>
      </c>
      <c r="J407" s="448">
        <f>+'[2]Datos REG y HIJOS'!$E$12</f>
        <v>0.7</v>
      </c>
      <c r="K407" s="43" t="s">
        <v>758</v>
      </c>
      <c r="L407" s="36" t="s">
        <v>319</v>
      </c>
      <c r="M407" s="383"/>
      <c r="N407" s="46" t="s">
        <v>30</v>
      </c>
      <c r="O407" s="37">
        <v>13</v>
      </c>
      <c r="P407"/>
    </row>
    <row r="408" spans="1:16" s="66" customFormat="1" ht="34.5" customHeight="1" x14ac:dyDescent="0.25">
      <c r="A408" s="45"/>
      <c r="B408" s="96" t="s">
        <v>767</v>
      </c>
      <c r="C408" s="1401" t="s">
        <v>779</v>
      </c>
      <c r="D408" s="1402"/>
      <c r="E408" s="1402" t="s">
        <v>783</v>
      </c>
      <c r="F408" s="1402"/>
      <c r="G408" s="1402" t="s">
        <v>768</v>
      </c>
      <c r="H408" s="1403"/>
      <c r="I408" s="74">
        <v>120</v>
      </c>
      <c r="J408" s="97">
        <v>0.6</v>
      </c>
      <c r="K408" s="818"/>
      <c r="L408" s="18"/>
      <c r="M408" s="819"/>
      <c r="N408" s="46" t="s">
        <v>30</v>
      </c>
      <c r="O408" s="37"/>
      <c r="P408"/>
    </row>
    <row r="409" spans="1:16" s="66" customFormat="1" ht="60" customHeight="1" x14ac:dyDescent="0.25">
      <c r="A409" s="45"/>
      <c r="B409" s="1279" t="s">
        <v>312</v>
      </c>
      <c r="C409" s="1519" t="s">
        <v>784</v>
      </c>
      <c r="D409" s="1520"/>
      <c r="E409" s="1520"/>
      <c r="F409" s="1520"/>
      <c r="G409" s="1520"/>
      <c r="H409" s="1521"/>
      <c r="I409" s="74">
        <v>0</v>
      </c>
      <c r="J409" s="97">
        <v>1</v>
      </c>
      <c r="K409" s="18"/>
      <c r="L409" s="18"/>
      <c r="M409" s="819"/>
      <c r="N409" s="46" t="s">
        <v>30</v>
      </c>
      <c r="O409" s="37"/>
      <c r="P409"/>
    </row>
    <row r="410" spans="1:16" s="66" customFormat="1" ht="34.5" customHeight="1" x14ac:dyDescent="0.25">
      <c r="A410" s="45"/>
      <c r="B410" s="1280"/>
      <c r="C410" s="1522" t="s">
        <v>779</v>
      </c>
      <c r="D410" s="1523"/>
      <c r="E410" s="1523" t="s">
        <v>783</v>
      </c>
      <c r="F410" s="1523"/>
      <c r="G410" s="1523" t="s">
        <v>768</v>
      </c>
      <c r="H410" s="1524"/>
      <c r="I410" s="74" t="s">
        <v>785</v>
      </c>
      <c r="J410" s="74" t="s">
        <v>785</v>
      </c>
      <c r="K410" s="18"/>
      <c r="L410" s="18"/>
      <c r="M410" s="819"/>
      <c r="N410" s="819"/>
      <c r="O410" s="37"/>
      <c r="P410"/>
    </row>
    <row r="411" spans="1:16" s="66" customFormat="1" ht="30" customHeight="1" x14ac:dyDescent="0.25">
      <c r="A411" s="45"/>
      <c r="B411" s="901" t="s">
        <v>325</v>
      </c>
      <c r="C411" s="902"/>
      <c r="D411" s="902"/>
      <c r="E411" s="902"/>
      <c r="F411" s="902"/>
      <c r="G411" s="902"/>
      <c r="H411" s="902"/>
      <c r="I411" s="902"/>
      <c r="J411" s="903"/>
      <c r="K411" s="383"/>
      <c r="L411" s="383"/>
      <c r="M411" s="383"/>
      <c r="N411" s="383"/>
      <c r="O411" s="383"/>
      <c r="P411" s="383"/>
    </row>
    <row r="412" spans="1:16" ht="20.100000000000001" customHeight="1" x14ac:dyDescent="0.2">
      <c r="A412" s="45"/>
      <c r="B412" s="591"/>
      <c r="C412" s="648"/>
      <c r="D412" s="648"/>
      <c r="E412" s="648"/>
      <c r="F412" s="648"/>
      <c r="G412" s="648"/>
      <c r="H412" s="648"/>
      <c r="I412" s="593"/>
      <c r="J412" s="65"/>
    </row>
    <row r="413" spans="1:16" ht="30" customHeight="1" x14ac:dyDescent="0.2">
      <c r="A413" s="45"/>
      <c r="B413" s="1675" t="s">
        <v>326</v>
      </c>
      <c r="C413" s="1676"/>
      <c r="D413" s="1676"/>
      <c r="E413" s="1676"/>
      <c r="F413" s="1676"/>
      <c r="G413" s="1676"/>
      <c r="H413" s="1677"/>
      <c r="I413" s="406" t="s">
        <v>17</v>
      </c>
      <c r="J413" s="193" t="s">
        <v>18</v>
      </c>
      <c r="K413" s="669" t="s">
        <v>327</v>
      </c>
      <c r="L413" s="238">
        <v>14</v>
      </c>
      <c r="M413" s="181"/>
      <c r="N413" s="182" t="s">
        <v>30</v>
      </c>
      <c r="O413" s="238">
        <v>14</v>
      </c>
    </row>
    <row r="414" spans="1:16" s="66" customFormat="1" ht="39.950000000000003" customHeight="1" x14ac:dyDescent="0.2">
      <c r="B414" s="471" t="s">
        <v>328</v>
      </c>
      <c r="C414" s="1169" t="s">
        <v>787</v>
      </c>
      <c r="D414" s="1162"/>
      <c r="E414" s="1162"/>
      <c r="F414" s="1162"/>
      <c r="G414" s="1162"/>
      <c r="H414" s="1163"/>
      <c r="I414" s="539">
        <v>0</v>
      </c>
      <c r="J414" s="75">
        <v>1</v>
      </c>
      <c r="K414" s="669" t="s">
        <v>327</v>
      </c>
      <c r="L414" s="238">
        <v>14</v>
      </c>
      <c r="M414" s="67"/>
      <c r="N414" s="67"/>
      <c r="O414" s="238">
        <v>14</v>
      </c>
    </row>
    <row r="415" spans="1:16" s="66" customFormat="1" ht="39" customHeight="1" x14ac:dyDescent="0.2">
      <c r="B415" s="471" t="s">
        <v>701</v>
      </c>
      <c r="C415" s="1252" t="s">
        <v>787</v>
      </c>
      <c r="D415" s="1844"/>
      <c r="E415" s="1844"/>
      <c r="F415" s="1844"/>
      <c r="G415" s="1844"/>
      <c r="H415" s="1844"/>
      <c r="I415" s="539">
        <v>0</v>
      </c>
      <c r="J415" s="75">
        <v>0.8</v>
      </c>
      <c r="K415" s="669" t="s">
        <v>327</v>
      </c>
      <c r="L415" s="238">
        <v>14</v>
      </c>
      <c r="M415" s="67"/>
      <c r="N415" s="67"/>
      <c r="O415" s="238">
        <v>14</v>
      </c>
    </row>
    <row r="416" spans="1:16" ht="20.100000000000001" customHeight="1" x14ac:dyDescent="0.2">
      <c r="A416" s="45"/>
      <c r="B416" s="591"/>
      <c r="C416" s="648"/>
      <c r="D416" s="648"/>
      <c r="E416" s="648"/>
      <c r="F416" s="648"/>
      <c r="G416" s="648"/>
      <c r="H416" s="648"/>
      <c r="I416" s="593"/>
      <c r="J416" s="65"/>
    </row>
    <row r="417" spans="1:15" ht="30" customHeight="1" x14ac:dyDescent="0.2">
      <c r="A417" s="45"/>
      <c r="B417" s="1662" t="s">
        <v>330</v>
      </c>
      <c r="C417" s="1663"/>
      <c r="D417" s="1663"/>
      <c r="E417" s="1663"/>
      <c r="F417" s="1663"/>
      <c r="G417" s="1663"/>
      <c r="H417" s="1664"/>
      <c r="I417" s="406" t="s">
        <v>17</v>
      </c>
      <c r="J417" s="35" t="s">
        <v>18</v>
      </c>
      <c r="K417" s="237" t="s">
        <v>331</v>
      </c>
      <c r="L417" s="238">
        <v>15</v>
      </c>
      <c r="N417" s="182" t="s">
        <v>30</v>
      </c>
      <c r="O417" s="238">
        <v>15</v>
      </c>
    </row>
    <row r="418" spans="1:15" ht="30" customHeight="1" x14ac:dyDescent="0.2">
      <c r="A418" s="45"/>
      <c r="B418" s="1725" t="s">
        <v>332</v>
      </c>
      <c r="C418" s="1726"/>
      <c r="D418" s="1726"/>
      <c r="E418" s="1726"/>
      <c r="F418" s="1726"/>
      <c r="G418" s="1726"/>
      <c r="H418" s="1726"/>
      <c r="I418" s="1726"/>
      <c r="J418" s="1727"/>
      <c r="K418" s="237" t="s">
        <v>331</v>
      </c>
      <c r="L418" s="238">
        <v>15</v>
      </c>
      <c r="O418" s="238">
        <v>15</v>
      </c>
    </row>
    <row r="419" spans="1:15" ht="91.5" customHeight="1" x14ac:dyDescent="0.2">
      <c r="A419" s="45"/>
      <c r="B419" s="538" t="s">
        <v>333</v>
      </c>
      <c r="C419" s="1706" t="s">
        <v>334</v>
      </c>
      <c r="D419" s="1706"/>
      <c r="E419" s="1706"/>
      <c r="F419" s="1706"/>
      <c r="G419" s="1706"/>
      <c r="H419" s="1706"/>
      <c r="I419" s="409">
        <v>0</v>
      </c>
      <c r="J419" s="42">
        <v>1</v>
      </c>
      <c r="K419" s="237" t="s">
        <v>331</v>
      </c>
      <c r="L419" s="238">
        <v>15</v>
      </c>
      <c r="O419" s="238">
        <v>15</v>
      </c>
    </row>
    <row r="420" spans="1:15" ht="30" customHeight="1" x14ac:dyDescent="0.2">
      <c r="A420" s="45"/>
      <c r="B420" s="1783" t="s">
        <v>335</v>
      </c>
      <c r="C420" s="1695" t="s">
        <v>336</v>
      </c>
      <c r="D420" s="1696"/>
      <c r="E420" s="1696"/>
      <c r="F420" s="1696"/>
      <c r="G420" s="1696"/>
      <c r="H420" s="1697"/>
      <c r="I420" s="1698">
        <v>0</v>
      </c>
      <c r="J420" s="915">
        <v>1</v>
      </c>
      <c r="K420" s="237" t="s">
        <v>331</v>
      </c>
      <c r="L420" s="238">
        <v>15</v>
      </c>
      <c r="N420" s="182" t="s">
        <v>30</v>
      </c>
      <c r="O420" s="238">
        <v>15</v>
      </c>
    </row>
    <row r="421" spans="1:15" ht="30" customHeight="1" x14ac:dyDescent="0.2">
      <c r="A421" s="45"/>
      <c r="B421" s="1784"/>
      <c r="C421" s="1893" t="s">
        <v>337</v>
      </c>
      <c r="D421" s="1841"/>
      <c r="E421" s="1649" t="s">
        <v>338</v>
      </c>
      <c r="F421" s="1649"/>
      <c r="G421" s="1841" t="s">
        <v>239</v>
      </c>
      <c r="H421" s="1841"/>
      <c r="I421" s="1699"/>
      <c r="J421" s="1045"/>
      <c r="K421" s="237" t="s">
        <v>331</v>
      </c>
      <c r="L421" s="238">
        <v>15</v>
      </c>
      <c r="O421" s="238">
        <v>15</v>
      </c>
    </row>
    <row r="422" spans="1:15" ht="30" customHeight="1" x14ac:dyDescent="0.2">
      <c r="A422" s="45"/>
      <c r="B422" s="1785"/>
      <c r="C422" s="903" t="s">
        <v>790</v>
      </c>
      <c r="D422" s="1063"/>
      <c r="E422" s="1063"/>
      <c r="F422" s="1063"/>
      <c r="G422" s="1063"/>
      <c r="H422" s="1063"/>
      <c r="I422" s="1700"/>
      <c r="J422" s="916"/>
      <c r="K422" s="237" t="s">
        <v>331</v>
      </c>
      <c r="L422" s="238">
        <v>15</v>
      </c>
      <c r="O422" s="238">
        <v>15</v>
      </c>
    </row>
    <row r="423" spans="1:15" ht="33" customHeight="1" x14ac:dyDescent="0.2">
      <c r="A423" s="45"/>
      <c r="B423" s="1835" t="s">
        <v>340</v>
      </c>
      <c r="C423" s="1838" t="s">
        <v>341</v>
      </c>
      <c r="D423" s="1839"/>
      <c r="E423" s="1839"/>
      <c r="F423" s="1839"/>
      <c r="G423" s="1839"/>
      <c r="H423" s="1840"/>
      <c r="I423" s="1819">
        <v>0</v>
      </c>
      <c r="J423" s="962">
        <v>1</v>
      </c>
      <c r="K423" s="237" t="s">
        <v>331</v>
      </c>
      <c r="L423" s="238">
        <v>15</v>
      </c>
      <c r="N423" s="182" t="s">
        <v>30</v>
      </c>
      <c r="O423" s="238">
        <v>15</v>
      </c>
    </row>
    <row r="424" spans="1:15" ht="39.950000000000003" customHeight="1" x14ac:dyDescent="0.2">
      <c r="A424" s="45"/>
      <c r="B424" s="1836"/>
      <c r="C424" s="1841" t="s">
        <v>342</v>
      </c>
      <c r="D424" s="1841"/>
      <c r="E424" s="1748" t="s">
        <v>42</v>
      </c>
      <c r="F424" s="1748"/>
      <c r="G424" s="1842" t="s">
        <v>92</v>
      </c>
      <c r="H424" s="1843"/>
      <c r="I424" s="1826"/>
      <c r="J424" s="963"/>
      <c r="K424" s="237" t="s">
        <v>331</v>
      </c>
      <c r="L424" s="238">
        <v>15</v>
      </c>
      <c r="N424" s="182"/>
      <c r="O424" s="238">
        <v>15</v>
      </c>
    </row>
    <row r="425" spans="1:15" ht="30" customHeight="1" x14ac:dyDescent="0.2">
      <c r="A425" s="45"/>
      <c r="B425" s="1836"/>
      <c r="C425" s="1747" t="s">
        <v>134</v>
      </c>
      <c r="D425" s="1748"/>
      <c r="E425" s="1841"/>
      <c r="F425" s="1841"/>
      <c r="G425" s="1702"/>
      <c r="H425" s="1703"/>
      <c r="I425" s="1826"/>
      <c r="J425" s="963"/>
      <c r="K425" s="237" t="s">
        <v>331</v>
      </c>
      <c r="L425" s="238">
        <v>15</v>
      </c>
      <c r="N425" s="182"/>
      <c r="O425" s="238">
        <v>15</v>
      </c>
    </row>
    <row r="426" spans="1:15" ht="30" customHeight="1" x14ac:dyDescent="0.2">
      <c r="A426" s="45"/>
      <c r="B426" s="1837"/>
      <c r="C426" s="903" t="s">
        <v>790</v>
      </c>
      <c r="D426" s="1063"/>
      <c r="E426" s="1063"/>
      <c r="F426" s="1063"/>
      <c r="G426" s="1063"/>
      <c r="H426" s="1063"/>
      <c r="I426" s="1820"/>
      <c r="J426" s="964"/>
      <c r="K426" s="237" t="s">
        <v>331</v>
      </c>
      <c r="L426" s="238">
        <v>15</v>
      </c>
      <c r="N426" s="149"/>
      <c r="O426" s="238">
        <v>15</v>
      </c>
    </row>
    <row r="427" spans="1:15" ht="39.950000000000003" customHeight="1" x14ac:dyDescent="0.2">
      <c r="A427" s="45"/>
      <c r="B427" s="1827" t="s">
        <v>343</v>
      </c>
      <c r="C427" s="1830" t="s">
        <v>134</v>
      </c>
      <c r="D427" s="1831"/>
      <c r="E427" s="1831" t="s">
        <v>92</v>
      </c>
      <c r="F427" s="1831"/>
      <c r="G427" s="670" t="s">
        <v>146</v>
      </c>
      <c r="H427" s="671"/>
      <c r="I427" s="1832">
        <v>0</v>
      </c>
      <c r="J427" s="962">
        <v>1</v>
      </c>
      <c r="K427" s="237" t="s">
        <v>331</v>
      </c>
      <c r="L427" s="238">
        <v>15</v>
      </c>
      <c r="N427" s="182" t="s">
        <v>30</v>
      </c>
      <c r="O427" s="238">
        <v>15</v>
      </c>
    </row>
    <row r="428" spans="1:15" ht="30" customHeight="1" x14ac:dyDescent="0.2">
      <c r="A428" s="45"/>
      <c r="B428" s="1828"/>
      <c r="C428" s="1774" t="s">
        <v>344</v>
      </c>
      <c r="D428" s="1775"/>
      <c r="E428" s="1775" t="s">
        <v>149</v>
      </c>
      <c r="F428" s="1775"/>
      <c r="G428" s="1775" t="s">
        <v>345</v>
      </c>
      <c r="H428" s="1776"/>
      <c r="I428" s="1833"/>
      <c r="J428" s="963"/>
      <c r="K428" s="237" t="s">
        <v>331</v>
      </c>
      <c r="L428" s="238">
        <v>15</v>
      </c>
      <c r="O428" s="238">
        <v>15</v>
      </c>
    </row>
    <row r="429" spans="1:15" ht="39.950000000000003" customHeight="1" x14ac:dyDescent="0.2">
      <c r="A429" s="45"/>
      <c r="B429" s="1828"/>
      <c r="C429" s="1774" t="s">
        <v>148</v>
      </c>
      <c r="D429" s="1775"/>
      <c r="E429" s="1775" t="s">
        <v>150</v>
      </c>
      <c r="F429" s="1775"/>
      <c r="G429" s="621"/>
      <c r="H429" s="635"/>
      <c r="I429" s="1833"/>
      <c r="J429" s="963"/>
      <c r="K429" s="237" t="s">
        <v>331</v>
      </c>
      <c r="L429" s="238">
        <v>15</v>
      </c>
      <c r="O429" s="238">
        <v>15</v>
      </c>
    </row>
    <row r="430" spans="1:15" ht="30" customHeight="1" x14ac:dyDescent="0.2">
      <c r="A430" s="45"/>
      <c r="B430" s="1829"/>
      <c r="C430" s="1063" t="s">
        <v>790</v>
      </c>
      <c r="D430" s="1063"/>
      <c r="E430" s="1063"/>
      <c r="F430" s="1063"/>
      <c r="G430" s="1063"/>
      <c r="H430" s="1063"/>
      <c r="I430" s="1834"/>
      <c r="J430" s="964"/>
      <c r="K430" s="237" t="s">
        <v>331</v>
      </c>
      <c r="L430" s="238">
        <v>15</v>
      </c>
      <c r="O430" s="238">
        <v>15</v>
      </c>
    </row>
    <row r="431" spans="1:15" ht="30" customHeight="1" x14ac:dyDescent="0.2">
      <c r="A431" s="45"/>
      <c r="B431" s="620" t="s">
        <v>346</v>
      </c>
      <c r="C431" s="1777" t="s">
        <v>347</v>
      </c>
      <c r="D431" s="1283"/>
      <c r="E431" s="1283"/>
      <c r="F431" s="1283"/>
      <c r="G431" s="1283"/>
      <c r="H431" s="1813"/>
      <c r="I431" s="539">
        <v>0</v>
      </c>
      <c r="J431" s="75">
        <v>1</v>
      </c>
      <c r="K431" s="237" t="s">
        <v>331</v>
      </c>
      <c r="L431" s="238">
        <v>15</v>
      </c>
      <c r="N431" s="182" t="s">
        <v>30</v>
      </c>
      <c r="O431" s="238">
        <v>15</v>
      </c>
    </row>
    <row r="432" spans="1:15" s="225" customFormat="1" ht="39.950000000000003" customHeight="1" x14ac:dyDescent="0.2">
      <c r="A432" s="672"/>
      <c r="B432" s="1821" t="s">
        <v>348</v>
      </c>
      <c r="C432" s="1823" t="s">
        <v>349</v>
      </c>
      <c r="D432" s="1824"/>
      <c r="E432" s="1824" t="s">
        <v>793</v>
      </c>
      <c r="F432" s="1824"/>
      <c r="G432" s="1824" t="s">
        <v>239</v>
      </c>
      <c r="H432" s="1825"/>
      <c r="I432" s="1819">
        <v>0</v>
      </c>
      <c r="J432" s="962">
        <v>1</v>
      </c>
      <c r="K432" s="237" t="s">
        <v>331</v>
      </c>
      <c r="L432" s="238">
        <v>15</v>
      </c>
      <c r="N432" s="673" t="s">
        <v>30</v>
      </c>
      <c r="O432" s="674">
        <v>15</v>
      </c>
    </row>
    <row r="433" spans="1:15" s="225" customFormat="1" ht="30" customHeight="1" x14ac:dyDescent="0.2">
      <c r="A433" s="672"/>
      <c r="B433" s="2017"/>
      <c r="C433" s="2014" t="s">
        <v>792</v>
      </c>
      <c r="D433" s="2015"/>
      <c r="E433" s="1903"/>
      <c r="F433" s="1903"/>
      <c r="G433" s="2015"/>
      <c r="H433" s="2016"/>
      <c r="I433" s="1820"/>
      <c r="J433" s="964"/>
      <c r="K433" s="237" t="s">
        <v>331</v>
      </c>
      <c r="L433" s="238">
        <v>15</v>
      </c>
      <c r="M433" s="675"/>
      <c r="N433" s="676"/>
      <c r="O433" s="674">
        <v>15</v>
      </c>
    </row>
    <row r="434" spans="1:15" s="66" customFormat="1" ht="30" customHeight="1" x14ac:dyDescent="0.2">
      <c r="A434" s="45"/>
      <c r="B434" s="1818" t="s">
        <v>794</v>
      </c>
      <c r="C434" s="1517" t="s">
        <v>795</v>
      </c>
      <c r="D434" s="1515"/>
      <c r="E434" s="1515" t="s">
        <v>793</v>
      </c>
      <c r="F434" s="1515"/>
      <c r="G434" s="1515"/>
      <c r="H434" s="1516"/>
      <c r="I434" s="1819">
        <v>0</v>
      </c>
      <c r="J434" s="962">
        <v>1</v>
      </c>
      <c r="K434" s="237" t="s">
        <v>331</v>
      </c>
      <c r="L434" s="238">
        <v>15</v>
      </c>
      <c r="M434" s="67"/>
      <c r="N434" s="182" t="s">
        <v>30</v>
      </c>
      <c r="O434" s="238">
        <v>15</v>
      </c>
    </row>
    <row r="435" spans="1:15" s="66" customFormat="1" ht="30" customHeight="1" x14ac:dyDescent="0.2">
      <c r="A435" s="45"/>
      <c r="B435" s="1793"/>
      <c r="C435" s="903" t="s">
        <v>790</v>
      </c>
      <c r="D435" s="1063"/>
      <c r="E435" s="1063"/>
      <c r="F435" s="1063"/>
      <c r="G435" s="1063"/>
      <c r="H435" s="1063"/>
      <c r="I435" s="1820"/>
      <c r="J435" s="964"/>
      <c r="K435" s="237" t="s">
        <v>331</v>
      </c>
      <c r="L435" s="238">
        <v>15</v>
      </c>
      <c r="M435" s="67"/>
      <c r="N435" s="537"/>
      <c r="O435" s="238">
        <v>15</v>
      </c>
    </row>
    <row r="436" spans="1:15" s="66" customFormat="1" ht="60" customHeight="1" x14ac:dyDescent="0.2">
      <c r="A436" s="45"/>
      <c r="B436" s="1783" t="s">
        <v>350</v>
      </c>
      <c r="C436" s="1635" t="s">
        <v>351</v>
      </c>
      <c r="D436" s="1636"/>
      <c r="E436" s="1636"/>
      <c r="F436" s="1636"/>
      <c r="G436" s="1636"/>
      <c r="H436" s="1636"/>
      <c r="I436" s="1636"/>
      <c r="J436" s="1637"/>
      <c r="K436" s="237" t="s">
        <v>331</v>
      </c>
      <c r="L436" s="238">
        <v>15</v>
      </c>
      <c r="M436" s="68"/>
      <c r="N436" s="182" t="s">
        <v>30</v>
      </c>
      <c r="O436" s="238">
        <v>15</v>
      </c>
    </row>
    <row r="437" spans="1:15" s="66" customFormat="1" ht="35.25" customHeight="1" x14ac:dyDescent="0.2">
      <c r="A437" s="45"/>
      <c r="B437" s="1785"/>
      <c r="C437" s="1777" t="s">
        <v>790</v>
      </c>
      <c r="D437" s="1283"/>
      <c r="E437" s="1283"/>
      <c r="F437" s="1283"/>
      <c r="G437" s="1283"/>
      <c r="H437" s="1813"/>
      <c r="I437" s="539">
        <v>0</v>
      </c>
      <c r="J437" s="75">
        <v>1</v>
      </c>
      <c r="K437" s="237" t="s">
        <v>331</v>
      </c>
      <c r="L437" s="238">
        <v>15</v>
      </c>
      <c r="M437" s="68"/>
      <c r="N437" s="677"/>
      <c r="O437" s="238">
        <v>15</v>
      </c>
    </row>
    <row r="438" spans="1:15" s="66" customFormat="1" ht="57" customHeight="1" x14ac:dyDescent="0.2">
      <c r="A438" s="45"/>
      <c r="B438" s="1783" t="s">
        <v>352</v>
      </c>
      <c r="C438" s="1635" t="s">
        <v>796</v>
      </c>
      <c r="D438" s="1636"/>
      <c r="E438" s="1636"/>
      <c r="F438" s="1636"/>
      <c r="G438" s="1636"/>
      <c r="H438" s="1636"/>
      <c r="I438" s="1698">
        <v>0</v>
      </c>
      <c r="J438" s="915">
        <v>1</v>
      </c>
      <c r="K438" s="237" t="s">
        <v>331</v>
      </c>
      <c r="L438" s="238">
        <v>15</v>
      </c>
      <c r="M438" s="67"/>
      <c r="N438" s="182" t="s">
        <v>30</v>
      </c>
      <c r="O438" s="238">
        <v>15</v>
      </c>
    </row>
    <row r="439" spans="1:15" s="66" customFormat="1" ht="70.5" customHeight="1" x14ac:dyDescent="0.2">
      <c r="A439" s="45"/>
      <c r="B439" s="1784"/>
      <c r="C439" s="1635" t="s">
        <v>797</v>
      </c>
      <c r="D439" s="1636"/>
      <c r="E439" s="1636"/>
      <c r="F439" s="1636"/>
      <c r="G439" s="1636"/>
      <c r="H439" s="1636"/>
      <c r="I439" s="1699"/>
      <c r="J439" s="1045"/>
      <c r="K439" s="237" t="s">
        <v>331</v>
      </c>
      <c r="L439" s="238">
        <v>15</v>
      </c>
      <c r="M439" s="67"/>
      <c r="N439" s="67"/>
      <c r="O439" s="238">
        <v>15</v>
      </c>
    </row>
    <row r="440" spans="1:15" s="66" customFormat="1" ht="62.25" customHeight="1" x14ac:dyDescent="0.2">
      <c r="A440" s="45"/>
      <c r="B440" s="1784"/>
      <c r="C440" s="1635" t="s">
        <v>798</v>
      </c>
      <c r="D440" s="1636"/>
      <c r="E440" s="1636"/>
      <c r="F440" s="1636"/>
      <c r="G440" s="1636"/>
      <c r="H440" s="1636"/>
      <c r="I440" s="1699"/>
      <c r="J440" s="1045"/>
      <c r="K440" s="237" t="s">
        <v>331</v>
      </c>
      <c r="L440" s="238">
        <v>15</v>
      </c>
      <c r="M440" s="67"/>
      <c r="N440" s="67"/>
      <c r="O440" s="238">
        <v>15</v>
      </c>
    </row>
    <row r="441" spans="1:15" s="66" customFormat="1" ht="34.5" customHeight="1" x14ac:dyDescent="0.2">
      <c r="A441" s="45"/>
      <c r="B441" s="1784"/>
      <c r="C441" s="1811" t="s">
        <v>799</v>
      </c>
      <c r="D441" s="1812"/>
      <c r="E441" s="1812"/>
      <c r="F441" s="1812"/>
      <c r="G441" s="1812"/>
      <c r="H441" s="1812"/>
      <c r="I441" s="1699"/>
      <c r="J441" s="1045"/>
      <c r="K441" s="237" t="s">
        <v>331</v>
      </c>
      <c r="L441" s="238">
        <v>15</v>
      </c>
      <c r="M441" s="67"/>
      <c r="N441" s="67"/>
      <c r="O441" s="238">
        <v>15</v>
      </c>
    </row>
    <row r="442" spans="1:15" s="66" customFormat="1" ht="34.5" customHeight="1" x14ac:dyDescent="0.2">
      <c r="A442" s="45"/>
      <c r="B442" s="1784"/>
      <c r="C442" s="1635" t="s">
        <v>800</v>
      </c>
      <c r="D442" s="1636"/>
      <c r="E442" s="1636"/>
      <c r="F442" s="1636"/>
      <c r="G442" s="1636"/>
      <c r="H442" s="1636"/>
      <c r="I442" s="1700"/>
      <c r="J442" s="916"/>
      <c r="K442" s="237" t="s">
        <v>331</v>
      </c>
      <c r="L442" s="238">
        <v>15</v>
      </c>
      <c r="M442" s="67"/>
      <c r="N442" s="67"/>
      <c r="O442" s="238">
        <v>15</v>
      </c>
    </row>
    <row r="443" spans="1:15" s="66" customFormat="1" ht="45" customHeight="1" x14ac:dyDescent="0.2">
      <c r="A443" s="45"/>
      <c r="B443" s="1785"/>
      <c r="C443" s="1635" t="s">
        <v>904</v>
      </c>
      <c r="D443" s="1636"/>
      <c r="E443" s="1636"/>
      <c r="F443" s="1636"/>
      <c r="G443" s="1636"/>
      <c r="H443" s="1637"/>
      <c r="I443" s="678" t="s">
        <v>256</v>
      </c>
      <c r="J443" s="199" t="s">
        <v>256</v>
      </c>
      <c r="K443" s="237" t="s">
        <v>331</v>
      </c>
      <c r="L443" s="238">
        <v>15</v>
      </c>
      <c r="M443" s="67"/>
      <c r="N443" s="67"/>
      <c r="O443" s="238">
        <v>15</v>
      </c>
    </row>
    <row r="444" spans="1:15" s="66" customFormat="1" ht="39.950000000000003" customHeight="1" x14ac:dyDescent="0.2">
      <c r="A444" s="45"/>
      <c r="B444" s="1783" t="s">
        <v>359</v>
      </c>
      <c r="C444" s="1169" t="s">
        <v>360</v>
      </c>
      <c r="D444" s="1170"/>
      <c r="E444" s="1170"/>
      <c r="F444" s="1170"/>
      <c r="G444" s="1170"/>
      <c r="H444" s="1170"/>
      <c r="I444" s="1170"/>
      <c r="J444" s="1171"/>
      <c r="K444" s="237" t="s">
        <v>331</v>
      </c>
      <c r="L444" s="238">
        <v>15</v>
      </c>
      <c r="M444" s="67"/>
      <c r="N444" s="182" t="s">
        <v>30</v>
      </c>
      <c r="O444" s="238">
        <v>15</v>
      </c>
    </row>
    <row r="445" spans="1:15" s="66" customFormat="1" ht="30" customHeight="1" x14ac:dyDescent="0.2">
      <c r="A445" s="45"/>
      <c r="B445" s="1784"/>
      <c r="C445" s="1777" t="s">
        <v>790</v>
      </c>
      <c r="D445" s="1283"/>
      <c r="E445" s="1283"/>
      <c r="F445" s="1283"/>
      <c r="G445" s="1283"/>
      <c r="H445" s="1813"/>
      <c r="I445" s="539">
        <v>0</v>
      </c>
      <c r="J445" s="75">
        <v>1</v>
      </c>
      <c r="K445" s="237" t="s">
        <v>331</v>
      </c>
      <c r="L445" s="238">
        <v>15</v>
      </c>
      <c r="M445" s="67"/>
      <c r="N445" s="537"/>
      <c r="O445" s="238">
        <v>15</v>
      </c>
    </row>
    <row r="446" spans="1:15" s="66" customFormat="1" ht="30" customHeight="1" x14ac:dyDescent="0.2">
      <c r="B446" s="471" t="s">
        <v>701</v>
      </c>
      <c r="C446" s="1169" t="s">
        <v>802</v>
      </c>
      <c r="D446" s="1170"/>
      <c r="E446" s="1170"/>
      <c r="F446" s="1170"/>
      <c r="G446" s="1170"/>
      <c r="H446" s="1171"/>
      <c r="I446" s="539">
        <v>0</v>
      </c>
      <c r="J446" s="75">
        <v>0.75</v>
      </c>
      <c r="K446" s="237" t="s">
        <v>331</v>
      </c>
      <c r="L446" s="238">
        <v>15</v>
      </c>
      <c r="M446" s="67"/>
      <c r="N446" s="182" t="s">
        <v>30</v>
      </c>
      <c r="O446" s="238">
        <v>15</v>
      </c>
    </row>
    <row r="447" spans="1:15" ht="39.75" customHeight="1" x14ac:dyDescent="0.2">
      <c r="A447" s="45"/>
      <c r="B447" s="1706" t="s">
        <v>869</v>
      </c>
      <c r="C447" s="1706"/>
      <c r="D447" s="1706"/>
      <c r="E447" s="1706"/>
      <c r="F447" s="1706"/>
      <c r="G447" s="1706"/>
      <c r="H447" s="1706"/>
      <c r="I447" s="1706"/>
      <c r="J447" s="1706"/>
      <c r="K447" s="237" t="s">
        <v>331</v>
      </c>
      <c r="L447" s="238">
        <v>15</v>
      </c>
      <c r="N447" s="182" t="s">
        <v>30</v>
      </c>
      <c r="O447" s="238">
        <v>15</v>
      </c>
    </row>
    <row r="448" spans="1:15" ht="20.100000000000001" customHeight="1" x14ac:dyDescent="0.2">
      <c r="A448" s="45"/>
      <c r="B448" s="648"/>
      <c r="C448" s="648"/>
      <c r="D448" s="648"/>
      <c r="E448" s="648"/>
      <c r="F448" s="648"/>
      <c r="G448" s="648"/>
      <c r="H448" s="648"/>
      <c r="I448" s="591"/>
      <c r="J448" s="128"/>
      <c r="K448" s="237"/>
      <c r="L448" s="238"/>
      <c r="N448" s="182"/>
      <c r="O448" s="238"/>
    </row>
    <row r="449" spans="1:16" ht="30" customHeight="1" x14ac:dyDescent="0.2">
      <c r="A449" s="45"/>
      <c r="B449" s="1807" t="s">
        <v>362</v>
      </c>
      <c r="C449" s="1807"/>
      <c r="D449" s="1807"/>
      <c r="E449" s="1807"/>
      <c r="F449" s="1807"/>
      <c r="G449" s="1807"/>
      <c r="H449" s="1807"/>
      <c r="I449" s="679" t="s">
        <v>130</v>
      </c>
      <c r="J449" s="35" t="s">
        <v>18</v>
      </c>
      <c r="K449" s="237" t="s">
        <v>331</v>
      </c>
      <c r="L449" s="238">
        <v>15</v>
      </c>
      <c r="M449" s="181"/>
      <c r="N449" s="182" t="s">
        <v>30</v>
      </c>
      <c r="O449" s="238">
        <v>15</v>
      </c>
      <c r="P449" s="45"/>
    </row>
    <row r="450" spans="1:16" ht="70.5" customHeight="1" x14ac:dyDescent="0.2">
      <c r="A450" s="45"/>
      <c r="B450" s="1706" t="s">
        <v>363</v>
      </c>
      <c r="C450" s="1706"/>
      <c r="D450" s="1706"/>
      <c r="E450" s="1706"/>
      <c r="F450" s="1706"/>
      <c r="G450" s="1706"/>
      <c r="H450" s="1706"/>
      <c r="I450" s="1706"/>
      <c r="J450" s="1706"/>
      <c r="K450" s="237" t="s">
        <v>331</v>
      </c>
      <c r="L450" s="238">
        <v>15</v>
      </c>
      <c r="M450" s="181"/>
      <c r="O450" s="238">
        <v>15</v>
      </c>
      <c r="P450" s="45"/>
    </row>
    <row r="451" spans="1:16" ht="39.75" customHeight="1" x14ac:dyDescent="0.2">
      <c r="A451" s="45"/>
      <c r="B451" s="1783" t="s">
        <v>364</v>
      </c>
      <c r="C451" s="1706" t="s">
        <v>365</v>
      </c>
      <c r="D451" s="1706"/>
      <c r="E451" s="1706"/>
      <c r="F451" s="1706"/>
      <c r="G451" s="1706"/>
      <c r="H451" s="1706"/>
      <c r="I451" s="1698">
        <v>0</v>
      </c>
      <c r="J451" s="915">
        <v>1</v>
      </c>
      <c r="K451" s="237" t="s">
        <v>331</v>
      </c>
      <c r="L451" s="238">
        <v>15</v>
      </c>
      <c r="M451" s="181"/>
      <c r="O451" s="238">
        <v>15</v>
      </c>
      <c r="P451" s="45"/>
    </row>
    <row r="452" spans="1:16" ht="39.75" customHeight="1" x14ac:dyDescent="0.2">
      <c r="A452" s="45"/>
      <c r="B452" s="1784"/>
      <c r="C452" s="1706" t="s">
        <v>366</v>
      </c>
      <c r="D452" s="1706"/>
      <c r="E452" s="1706"/>
      <c r="F452" s="1706"/>
      <c r="G452" s="1706"/>
      <c r="H452" s="1706"/>
      <c r="I452" s="1699"/>
      <c r="J452" s="1045"/>
      <c r="K452" s="237" t="s">
        <v>331</v>
      </c>
      <c r="L452" s="238">
        <v>15</v>
      </c>
      <c r="M452" s="181"/>
      <c r="O452" s="238">
        <v>15</v>
      </c>
      <c r="P452" s="45"/>
    </row>
    <row r="453" spans="1:16" ht="39.75" customHeight="1" x14ac:dyDescent="0.2">
      <c r="A453" s="45"/>
      <c r="B453" s="1785"/>
      <c r="C453" s="1706" t="s">
        <v>367</v>
      </c>
      <c r="D453" s="1706"/>
      <c r="E453" s="1706"/>
      <c r="F453" s="1706"/>
      <c r="G453" s="1706"/>
      <c r="H453" s="1706"/>
      <c r="I453" s="1700"/>
      <c r="J453" s="916"/>
      <c r="K453" s="237" t="s">
        <v>331</v>
      </c>
      <c r="L453" s="238">
        <v>15</v>
      </c>
      <c r="M453" s="181"/>
      <c r="O453" s="238">
        <v>15</v>
      </c>
      <c r="P453" s="45"/>
    </row>
    <row r="454" spans="1:16" ht="84" customHeight="1" x14ac:dyDescent="0.2">
      <c r="A454" s="45"/>
      <c r="B454" s="1635" t="s">
        <v>368</v>
      </c>
      <c r="C454" s="1636"/>
      <c r="D454" s="1636"/>
      <c r="E454" s="1636"/>
      <c r="F454" s="1636"/>
      <c r="G454" s="1636"/>
      <c r="H454" s="1636"/>
      <c r="I454" s="1636"/>
      <c r="J454" s="1637"/>
      <c r="K454" s="237" t="s">
        <v>331</v>
      </c>
      <c r="L454" s="238">
        <v>15</v>
      </c>
      <c r="M454" s="181"/>
      <c r="O454" s="238">
        <v>15</v>
      </c>
      <c r="P454" s="45"/>
    </row>
    <row r="455" spans="1:16" ht="20.100000000000001" customHeight="1" x14ac:dyDescent="0.2">
      <c r="A455" s="45"/>
      <c r="B455" s="648"/>
      <c r="C455" s="648"/>
      <c r="D455" s="648"/>
      <c r="E455" s="648"/>
      <c r="F455" s="648"/>
      <c r="G455" s="648"/>
      <c r="H455" s="648"/>
      <c r="I455" s="591"/>
      <c r="J455" s="128"/>
      <c r="L455" s="561"/>
      <c r="M455" s="181"/>
      <c r="O455" s="561"/>
      <c r="P455" s="45"/>
    </row>
    <row r="456" spans="1:16" ht="30" customHeight="1" x14ac:dyDescent="0.2">
      <c r="A456" s="45"/>
      <c r="B456" s="1087" t="s">
        <v>369</v>
      </c>
      <c r="C456" s="1088"/>
      <c r="D456" s="1088"/>
      <c r="E456" s="1088"/>
      <c r="F456" s="1088"/>
      <c r="G456" s="1088"/>
      <c r="H456" s="1088"/>
      <c r="I456" s="201" t="s">
        <v>130</v>
      </c>
      <c r="J456" s="35" t="s">
        <v>18</v>
      </c>
      <c r="K456" s="226" t="s">
        <v>370</v>
      </c>
      <c r="L456" s="183">
        <v>44</v>
      </c>
      <c r="N456" s="182" t="s">
        <v>30</v>
      </c>
      <c r="O456" s="183">
        <v>44</v>
      </c>
      <c r="P456" s="45"/>
    </row>
    <row r="457" spans="1:16" ht="59.25" customHeight="1" x14ac:dyDescent="0.2">
      <c r="A457" s="45"/>
      <c r="B457" s="1105" t="s">
        <v>833</v>
      </c>
      <c r="C457" s="1106"/>
      <c r="D457" s="1106"/>
      <c r="E457" s="1106"/>
      <c r="F457" s="1106"/>
      <c r="G457" s="1106"/>
      <c r="H457" s="1106"/>
      <c r="I457" s="1106"/>
      <c r="J457" s="1107"/>
      <c r="K457" s="226" t="s">
        <v>370</v>
      </c>
      <c r="L457" s="183">
        <v>44</v>
      </c>
      <c r="M457" s="181"/>
      <c r="O457" s="183">
        <v>44</v>
      </c>
      <c r="P457" s="45"/>
    </row>
    <row r="458" spans="1:16" ht="30" customHeight="1" x14ac:dyDescent="0.2">
      <c r="A458" s="45"/>
      <c r="B458" s="976" t="s">
        <v>372</v>
      </c>
      <c r="C458" s="977"/>
      <c r="D458" s="977"/>
      <c r="E458" s="977"/>
      <c r="F458" s="977"/>
      <c r="G458" s="977"/>
      <c r="H458" s="977"/>
      <c r="I458" s="977"/>
      <c r="J458" s="978"/>
      <c r="K458" s="226" t="s">
        <v>370</v>
      </c>
      <c r="L458" s="183">
        <v>44</v>
      </c>
      <c r="M458" s="181"/>
      <c r="O458" s="183">
        <v>44</v>
      </c>
      <c r="P458" s="45"/>
    </row>
    <row r="459" spans="1:16" ht="24.95" customHeight="1" x14ac:dyDescent="0.2">
      <c r="A459" s="45"/>
      <c r="B459" s="202" t="s">
        <v>373</v>
      </c>
      <c r="C459" s="1103" t="s">
        <v>374</v>
      </c>
      <c r="D459" s="1104"/>
      <c r="E459" s="203" t="s">
        <v>34</v>
      </c>
      <c r="F459" s="203"/>
      <c r="G459" s="203"/>
      <c r="H459" s="204"/>
      <c r="I459" s="205">
        <v>30</v>
      </c>
      <c r="J459" s="75">
        <v>0.9</v>
      </c>
      <c r="K459" s="226" t="s">
        <v>370</v>
      </c>
      <c r="L459" s="183">
        <v>44</v>
      </c>
      <c r="M459" s="181"/>
      <c r="O459" s="183">
        <v>44</v>
      </c>
      <c r="P459" s="45"/>
    </row>
    <row r="460" spans="1:16" ht="24.95" customHeight="1" x14ac:dyDescent="0.2">
      <c r="A460" s="45"/>
      <c r="B460" s="202" t="s">
        <v>375</v>
      </c>
      <c r="C460" s="1103" t="s">
        <v>376</v>
      </c>
      <c r="D460" s="1104"/>
      <c r="E460" s="1104" t="s">
        <v>29</v>
      </c>
      <c r="F460" s="1104"/>
      <c r="G460" s="203"/>
      <c r="H460" s="204"/>
      <c r="I460" s="205">
        <v>50</v>
      </c>
      <c r="J460" s="75">
        <v>0.6</v>
      </c>
      <c r="K460" s="226" t="s">
        <v>370</v>
      </c>
      <c r="L460" s="183">
        <v>44</v>
      </c>
      <c r="M460" s="181"/>
      <c r="O460" s="183">
        <v>44</v>
      </c>
      <c r="P460" s="45"/>
    </row>
    <row r="461" spans="1:16" s="66" customFormat="1" ht="30" customHeight="1" x14ac:dyDescent="0.2">
      <c r="A461" s="149"/>
      <c r="B461" s="680" t="s">
        <v>512</v>
      </c>
      <c r="C461" s="1086" t="s">
        <v>383</v>
      </c>
      <c r="D461" s="1086"/>
      <c r="E461" s="1086"/>
      <c r="F461" s="1086"/>
      <c r="G461" s="1086"/>
      <c r="H461" s="1086"/>
      <c r="I461" s="681">
        <v>80</v>
      </c>
      <c r="J461" s="199">
        <v>0.5</v>
      </c>
      <c r="K461" s="226" t="s">
        <v>370</v>
      </c>
      <c r="L461" s="183">
        <v>44</v>
      </c>
      <c r="M461" s="181"/>
      <c r="N461" s="67"/>
      <c r="O461" s="183">
        <v>44</v>
      </c>
    </row>
    <row r="462" spans="1:16" s="66" customFormat="1" ht="30" customHeight="1" x14ac:dyDescent="0.2">
      <c r="B462" s="680" t="s">
        <v>788</v>
      </c>
      <c r="C462" s="1086" t="s">
        <v>383</v>
      </c>
      <c r="D462" s="1086"/>
      <c r="E462" s="1086"/>
      <c r="F462" s="1086"/>
      <c r="G462" s="1086"/>
      <c r="H462" s="1086"/>
      <c r="I462" s="681">
        <v>120</v>
      </c>
      <c r="J462" s="199">
        <v>0.5</v>
      </c>
      <c r="K462" s="226" t="s">
        <v>370</v>
      </c>
      <c r="L462" s="183">
        <v>44</v>
      </c>
      <c r="M462" s="181"/>
      <c r="N462" s="182"/>
      <c r="O462" s="183">
        <v>44</v>
      </c>
    </row>
    <row r="463" spans="1:16" ht="30" customHeight="1" x14ac:dyDescent="0.2">
      <c r="A463" s="45"/>
      <c r="B463" s="1164" t="s">
        <v>377</v>
      </c>
      <c r="C463" s="1728" t="s">
        <v>378</v>
      </c>
      <c r="D463" s="1729"/>
      <c r="E463" s="933" t="s">
        <v>42</v>
      </c>
      <c r="F463" s="933"/>
      <c r="G463" s="933" t="s">
        <v>63</v>
      </c>
      <c r="H463" s="934"/>
      <c r="I463" s="1093">
        <v>50</v>
      </c>
      <c r="J463" s="1092">
        <v>0.6</v>
      </c>
      <c r="K463" s="226" t="s">
        <v>370</v>
      </c>
      <c r="L463" s="183">
        <v>44</v>
      </c>
      <c r="M463" s="181"/>
      <c r="O463" s="183">
        <v>44</v>
      </c>
      <c r="P463" s="45"/>
    </row>
    <row r="464" spans="1:16" ht="30" customHeight="1" x14ac:dyDescent="0.2">
      <c r="A464" s="45"/>
      <c r="B464" s="1753"/>
      <c r="C464" s="1747" t="s">
        <v>379</v>
      </c>
      <c r="D464" s="1748"/>
      <c r="E464" s="1748" t="s">
        <v>380</v>
      </c>
      <c r="F464" s="1748"/>
      <c r="G464" s="1748" t="s">
        <v>56</v>
      </c>
      <c r="H464" s="1749"/>
      <c r="I464" s="1093"/>
      <c r="J464" s="1092"/>
      <c r="K464" s="226" t="s">
        <v>370</v>
      </c>
      <c r="L464" s="183">
        <v>44</v>
      </c>
      <c r="M464" s="181"/>
      <c r="O464" s="183">
        <v>44</v>
      </c>
      <c r="P464" s="45"/>
    </row>
    <row r="465" spans="1:16" ht="30" customHeight="1" x14ac:dyDescent="0.2">
      <c r="A465" s="45"/>
      <c r="B465" s="1165"/>
      <c r="C465" s="687" t="s">
        <v>43</v>
      </c>
      <c r="D465" s="688"/>
      <c r="E465" s="1750" t="s">
        <v>381</v>
      </c>
      <c r="F465" s="1750"/>
      <c r="G465" s="1750" t="s">
        <v>287</v>
      </c>
      <c r="H465" s="1751"/>
      <c r="I465" s="1093"/>
      <c r="J465" s="1092"/>
      <c r="K465" s="226" t="s">
        <v>370</v>
      </c>
      <c r="L465" s="183">
        <v>44</v>
      </c>
      <c r="M465" s="181"/>
      <c r="O465" s="183">
        <v>44</v>
      </c>
      <c r="P465" s="45"/>
    </row>
    <row r="466" spans="1:16" ht="30" customHeight="1" x14ac:dyDescent="0.2">
      <c r="A466" s="45"/>
      <c r="B466" s="163" t="s">
        <v>382</v>
      </c>
      <c r="C466" s="1086" t="s">
        <v>383</v>
      </c>
      <c r="D466" s="1086"/>
      <c r="E466" s="1086"/>
      <c r="F466" s="1086"/>
      <c r="G466" s="1086"/>
      <c r="H466" s="1086"/>
      <c r="I466" s="208">
        <v>60</v>
      </c>
      <c r="J466" s="75">
        <v>0.6</v>
      </c>
      <c r="K466" s="226" t="s">
        <v>370</v>
      </c>
      <c r="L466" s="183">
        <v>44</v>
      </c>
      <c r="M466" s="181"/>
      <c r="O466" s="183">
        <v>44</v>
      </c>
      <c r="P466" s="45"/>
    </row>
    <row r="467" spans="1:16" s="66" customFormat="1" ht="30" customHeight="1" x14ac:dyDescent="0.2">
      <c r="A467" s="149"/>
      <c r="B467" s="163" t="s">
        <v>670</v>
      </c>
      <c r="C467" s="1086" t="s">
        <v>383</v>
      </c>
      <c r="D467" s="1086"/>
      <c r="E467" s="1086"/>
      <c r="F467" s="1086"/>
      <c r="G467" s="1086"/>
      <c r="H467" s="1086"/>
      <c r="I467" s="392">
        <v>80</v>
      </c>
      <c r="J467" s="393">
        <v>0.5</v>
      </c>
      <c r="K467" s="226" t="s">
        <v>370</v>
      </c>
      <c r="L467" s="183">
        <v>44</v>
      </c>
      <c r="M467" s="181"/>
      <c r="N467" s="67"/>
      <c r="O467" s="183">
        <v>44</v>
      </c>
    </row>
    <row r="468" spans="1:16" s="66" customFormat="1" ht="30" customHeight="1" x14ac:dyDescent="0.2">
      <c r="B468" s="202" t="s">
        <v>789</v>
      </c>
      <c r="C468" s="1086" t="s">
        <v>383</v>
      </c>
      <c r="D468" s="1086"/>
      <c r="E468" s="1086"/>
      <c r="F468" s="1086"/>
      <c r="G468" s="1086"/>
      <c r="H468" s="1086"/>
      <c r="I468" s="681">
        <v>120</v>
      </c>
      <c r="J468" s="199">
        <v>0.5</v>
      </c>
      <c r="K468" s="226" t="s">
        <v>370</v>
      </c>
      <c r="L468" s="183">
        <v>44</v>
      </c>
      <c r="M468" s="181"/>
      <c r="N468" s="182"/>
      <c r="O468" s="183">
        <v>44</v>
      </c>
    </row>
    <row r="469" spans="1:16" ht="30" customHeight="1" x14ac:dyDescent="0.2">
      <c r="A469" s="45"/>
      <c r="B469" s="976" t="s">
        <v>384</v>
      </c>
      <c r="C469" s="977"/>
      <c r="D469" s="977"/>
      <c r="E469" s="1518"/>
      <c r="F469" s="1518"/>
      <c r="G469" s="977"/>
      <c r="H469" s="977"/>
      <c r="I469" s="977"/>
      <c r="J469" s="978"/>
      <c r="K469" s="226" t="s">
        <v>370</v>
      </c>
      <c r="L469" s="183">
        <v>44</v>
      </c>
      <c r="M469" s="181"/>
      <c r="N469" s="182" t="s">
        <v>30</v>
      </c>
      <c r="O469" s="183">
        <v>44</v>
      </c>
      <c r="P469" s="45"/>
    </row>
    <row r="470" spans="1:16" ht="30" customHeight="1" x14ac:dyDescent="0.2">
      <c r="A470" s="45"/>
      <c r="B470" s="1081" t="s">
        <v>373</v>
      </c>
      <c r="C470" s="1067" t="s">
        <v>385</v>
      </c>
      <c r="D470" s="1068"/>
      <c r="E470" s="1068"/>
      <c r="F470" s="1068"/>
      <c r="G470" s="1068"/>
      <c r="H470" s="1069"/>
      <c r="I470" s="205">
        <v>0</v>
      </c>
      <c r="J470" s="75">
        <v>1</v>
      </c>
      <c r="K470" s="226" t="s">
        <v>370</v>
      </c>
      <c r="L470" s="183">
        <v>44</v>
      </c>
      <c r="M470" s="181"/>
      <c r="O470" s="183">
        <v>44</v>
      </c>
      <c r="P470" s="45"/>
    </row>
    <row r="471" spans="1:16" ht="30" customHeight="1" x14ac:dyDescent="0.2">
      <c r="A471" s="45"/>
      <c r="B471" s="1099"/>
      <c r="C471" s="1100" t="s">
        <v>386</v>
      </c>
      <c r="D471" s="1101"/>
      <c r="E471" s="1101"/>
      <c r="F471" s="1101"/>
      <c r="G471" s="1101"/>
      <c r="H471" s="1102"/>
      <c r="I471" s="205">
        <v>0</v>
      </c>
      <c r="J471" s="75">
        <v>0.7</v>
      </c>
      <c r="K471" s="226" t="s">
        <v>370</v>
      </c>
      <c r="L471" s="183">
        <v>44</v>
      </c>
      <c r="M471" s="181"/>
      <c r="O471" s="183">
        <v>44</v>
      </c>
      <c r="P471" s="45"/>
    </row>
    <row r="472" spans="1:16" ht="30" customHeight="1" x14ac:dyDescent="0.2">
      <c r="A472" s="45"/>
      <c r="B472" s="209" t="s">
        <v>375</v>
      </c>
      <c r="C472" s="1103" t="s">
        <v>376</v>
      </c>
      <c r="D472" s="1104"/>
      <c r="E472" s="1104" t="s">
        <v>29</v>
      </c>
      <c r="F472" s="1104"/>
      <c r="G472" s="210"/>
      <c r="H472" s="211"/>
      <c r="I472" s="212">
        <v>0</v>
      </c>
      <c r="J472" s="75">
        <v>0.5</v>
      </c>
      <c r="K472" s="226" t="s">
        <v>370</v>
      </c>
      <c r="L472" s="183">
        <v>44</v>
      </c>
      <c r="M472" s="181"/>
      <c r="O472" s="183">
        <v>44</v>
      </c>
      <c r="P472" s="45"/>
    </row>
    <row r="473" spans="1:16" s="66" customFormat="1" ht="30" customHeight="1" x14ac:dyDescent="0.2">
      <c r="A473" s="149"/>
      <c r="B473" s="202" t="s">
        <v>512</v>
      </c>
      <c r="C473" s="1086" t="s">
        <v>383</v>
      </c>
      <c r="D473" s="1086"/>
      <c r="E473" s="1086"/>
      <c r="F473" s="1086"/>
      <c r="G473" s="1086"/>
      <c r="H473" s="1086"/>
      <c r="I473" s="205">
        <v>0</v>
      </c>
      <c r="J473" s="75">
        <v>0.5</v>
      </c>
      <c r="K473" s="226" t="s">
        <v>370</v>
      </c>
      <c r="L473" s="183">
        <v>44</v>
      </c>
      <c r="M473" s="181"/>
      <c r="N473" s="67"/>
      <c r="O473" s="183">
        <v>44</v>
      </c>
    </row>
    <row r="474" spans="1:16" s="66" customFormat="1" ht="30" customHeight="1" x14ac:dyDescent="0.2">
      <c r="B474" s="202" t="s">
        <v>788</v>
      </c>
      <c r="C474" s="1086" t="s">
        <v>383</v>
      </c>
      <c r="D474" s="1086"/>
      <c r="E474" s="1086"/>
      <c r="F474" s="1086"/>
      <c r="G474" s="1086"/>
      <c r="H474" s="1086"/>
      <c r="I474" s="205">
        <v>0</v>
      </c>
      <c r="J474" s="75">
        <v>0.5</v>
      </c>
      <c r="K474" s="226" t="s">
        <v>370</v>
      </c>
      <c r="L474" s="183">
        <v>44</v>
      </c>
      <c r="M474" s="181"/>
      <c r="N474" s="182"/>
      <c r="O474" s="183">
        <v>44</v>
      </c>
    </row>
    <row r="475" spans="1:16" ht="30" customHeight="1" x14ac:dyDescent="0.2">
      <c r="A475" s="45"/>
      <c r="B475" s="202" t="s">
        <v>387</v>
      </c>
      <c r="C475" s="1094" t="s">
        <v>388</v>
      </c>
      <c r="D475" s="1095"/>
      <c r="E475" s="1095"/>
      <c r="F475" s="1095"/>
      <c r="G475" s="1095"/>
      <c r="H475" s="1096"/>
      <c r="I475" s="205">
        <v>0</v>
      </c>
      <c r="J475" s="75">
        <v>0.7</v>
      </c>
      <c r="K475" s="226" t="s">
        <v>370</v>
      </c>
      <c r="L475" s="183">
        <v>44</v>
      </c>
      <c r="M475" s="181"/>
      <c r="O475" s="183">
        <v>44</v>
      </c>
      <c r="P475" s="45"/>
    </row>
    <row r="476" spans="1:16" ht="30" customHeight="1" x14ac:dyDescent="0.2">
      <c r="A476" s="45"/>
      <c r="B476" s="202" t="s">
        <v>382</v>
      </c>
      <c r="C476" s="1086" t="s">
        <v>383</v>
      </c>
      <c r="D476" s="1086"/>
      <c r="E476" s="1086"/>
      <c r="F476" s="1086"/>
      <c r="G476" s="1086"/>
      <c r="H476" s="1086"/>
      <c r="I476" s="205">
        <v>0</v>
      </c>
      <c r="J476" s="75">
        <v>0.5</v>
      </c>
      <c r="K476" s="226" t="s">
        <v>370</v>
      </c>
      <c r="L476" s="183">
        <v>44</v>
      </c>
      <c r="M476" s="181"/>
      <c r="O476" s="183">
        <v>44</v>
      </c>
      <c r="P476" s="45"/>
    </row>
    <row r="477" spans="1:16" s="66" customFormat="1" ht="30" customHeight="1" x14ac:dyDescent="0.2">
      <c r="A477" s="149"/>
      <c r="B477" s="202" t="s">
        <v>670</v>
      </c>
      <c r="C477" s="1086" t="s">
        <v>383</v>
      </c>
      <c r="D477" s="1086"/>
      <c r="E477" s="1086"/>
      <c r="F477" s="1086"/>
      <c r="G477" s="1086"/>
      <c r="H477" s="1086"/>
      <c r="I477" s="205">
        <v>0</v>
      </c>
      <c r="J477" s="75">
        <v>0.5</v>
      </c>
      <c r="K477" s="226" t="s">
        <v>370</v>
      </c>
      <c r="L477" s="183">
        <v>44</v>
      </c>
      <c r="M477" s="181"/>
      <c r="N477" s="67"/>
      <c r="O477" s="183">
        <v>44</v>
      </c>
    </row>
    <row r="478" spans="1:16" s="66" customFormat="1" ht="30" customHeight="1" x14ac:dyDescent="0.2">
      <c r="B478" s="202" t="s">
        <v>789</v>
      </c>
      <c r="C478" s="1086" t="s">
        <v>383</v>
      </c>
      <c r="D478" s="1086"/>
      <c r="E478" s="1086"/>
      <c r="F478" s="1086"/>
      <c r="G478" s="1086"/>
      <c r="H478" s="1086"/>
      <c r="I478" s="205">
        <v>0</v>
      </c>
      <c r="J478" s="75">
        <v>0.5</v>
      </c>
      <c r="K478" s="226" t="s">
        <v>370</v>
      </c>
      <c r="L478" s="183">
        <v>44</v>
      </c>
      <c r="M478" s="181"/>
      <c r="N478" s="182"/>
      <c r="O478" s="183">
        <v>44</v>
      </c>
    </row>
    <row r="479" spans="1:16" ht="39.950000000000003" customHeight="1" x14ac:dyDescent="0.2">
      <c r="A479" s="45"/>
      <c r="B479" s="1089" t="s">
        <v>389</v>
      </c>
      <c r="C479" s="1090"/>
      <c r="D479" s="1090"/>
      <c r="E479" s="1090"/>
      <c r="F479" s="1090"/>
      <c r="G479" s="1090"/>
      <c r="H479" s="1091"/>
      <c r="I479" s="205">
        <v>0</v>
      </c>
      <c r="J479" s="75">
        <v>0.5</v>
      </c>
      <c r="K479" s="226" t="s">
        <v>370</v>
      </c>
      <c r="L479" s="183">
        <v>44</v>
      </c>
      <c r="M479" s="181"/>
      <c r="O479" s="183">
        <v>44</v>
      </c>
      <c r="P479" s="45"/>
    </row>
    <row r="480" spans="1:16" ht="30" customHeight="1" x14ac:dyDescent="0.2">
      <c r="A480" s="45"/>
      <c r="B480" s="1161" t="s">
        <v>390</v>
      </c>
      <c r="C480" s="1162"/>
      <c r="D480" s="1162"/>
      <c r="E480" s="1162"/>
      <c r="F480" s="1162"/>
      <c r="G480" s="1162"/>
      <c r="H480" s="1162"/>
      <c r="I480" s="1162"/>
      <c r="J480" s="1163"/>
      <c r="K480" s="226" t="s">
        <v>370</v>
      </c>
      <c r="L480" s="183">
        <v>44</v>
      </c>
      <c r="M480" s="181"/>
      <c r="N480" s="182" t="s">
        <v>30</v>
      </c>
      <c r="O480" s="183">
        <v>44</v>
      </c>
      <c r="P480" s="45"/>
    </row>
    <row r="481" spans="1:16" ht="30" customHeight="1" x14ac:dyDescent="0.2">
      <c r="A481" s="45"/>
      <c r="B481" s="202" t="s">
        <v>373</v>
      </c>
      <c r="C481" s="1097" t="s">
        <v>376</v>
      </c>
      <c r="D481" s="1098"/>
      <c r="E481" s="1098"/>
      <c r="F481" s="1098" t="s">
        <v>29</v>
      </c>
      <c r="G481" s="1098"/>
      <c r="H481" s="1098"/>
      <c r="I481" s="205">
        <v>400</v>
      </c>
      <c r="J481" s="75">
        <v>0.6</v>
      </c>
      <c r="K481" s="226" t="s">
        <v>370</v>
      </c>
      <c r="L481" s="183">
        <v>44</v>
      </c>
      <c r="M481" s="181"/>
      <c r="O481" s="183">
        <v>44</v>
      </c>
      <c r="P481" s="45"/>
    </row>
    <row r="482" spans="1:16" ht="30" customHeight="1" x14ac:dyDescent="0.2">
      <c r="A482" s="45"/>
      <c r="B482" s="202" t="s">
        <v>375</v>
      </c>
      <c r="C482" s="1086" t="s">
        <v>383</v>
      </c>
      <c r="D482" s="1086"/>
      <c r="E482" s="1086"/>
      <c r="F482" s="1086"/>
      <c r="G482" s="1086"/>
      <c r="H482" s="1086"/>
      <c r="I482" s="205">
        <v>500</v>
      </c>
      <c r="J482" s="75">
        <v>0.5</v>
      </c>
      <c r="K482" s="226" t="s">
        <v>370</v>
      </c>
      <c r="L482" s="183">
        <v>44</v>
      </c>
      <c r="M482" s="181"/>
      <c r="O482" s="183">
        <v>44</v>
      </c>
      <c r="P482" s="45"/>
    </row>
    <row r="483" spans="1:16" s="66" customFormat="1" ht="30" customHeight="1" x14ac:dyDescent="0.2">
      <c r="A483" s="149"/>
      <c r="B483" s="680" t="s">
        <v>512</v>
      </c>
      <c r="C483" s="1086" t="s">
        <v>383</v>
      </c>
      <c r="D483" s="1086"/>
      <c r="E483" s="1086"/>
      <c r="F483" s="1086"/>
      <c r="G483" s="1086"/>
      <c r="H483" s="1086"/>
      <c r="I483" s="681">
        <v>600</v>
      </c>
      <c r="J483" s="451">
        <v>0.5</v>
      </c>
      <c r="K483" s="226" t="s">
        <v>370</v>
      </c>
      <c r="L483" s="183">
        <v>44</v>
      </c>
      <c r="M483" s="181"/>
      <c r="N483" s="67"/>
      <c r="O483" s="183">
        <v>44</v>
      </c>
    </row>
    <row r="484" spans="1:16" s="66" customFormat="1" ht="30" customHeight="1" x14ac:dyDescent="0.2">
      <c r="B484" s="569" t="s">
        <v>788</v>
      </c>
      <c r="C484" s="1086" t="s">
        <v>383</v>
      </c>
      <c r="D484" s="1086"/>
      <c r="E484" s="1086"/>
      <c r="F484" s="1086"/>
      <c r="G484" s="1086"/>
      <c r="H484" s="1086"/>
      <c r="I484" s="681">
        <v>800</v>
      </c>
      <c r="J484" s="451">
        <v>0.5</v>
      </c>
      <c r="K484" s="226" t="s">
        <v>370</v>
      </c>
      <c r="L484" s="183">
        <v>44</v>
      </c>
      <c r="M484" s="181"/>
      <c r="N484" s="182"/>
      <c r="O484" s="183">
        <v>44</v>
      </c>
    </row>
    <row r="485" spans="1:16" ht="30" customHeight="1" x14ac:dyDescent="0.2">
      <c r="A485" s="45"/>
      <c r="B485" s="1760" t="s">
        <v>377</v>
      </c>
      <c r="C485" s="1728" t="s">
        <v>378</v>
      </c>
      <c r="D485" s="1729"/>
      <c r="E485" s="933" t="s">
        <v>42</v>
      </c>
      <c r="F485" s="933"/>
      <c r="G485" s="933" t="s">
        <v>63</v>
      </c>
      <c r="H485" s="934"/>
      <c r="I485" s="1093">
        <v>400</v>
      </c>
      <c r="J485" s="1092">
        <v>0.6</v>
      </c>
      <c r="K485" s="226" t="s">
        <v>370</v>
      </c>
      <c r="L485" s="183">
        <v>44</v>
      </c>
      <c r="M485" s="181"/>
      <c r="O485" s="183">
        <v>44</v>
      </c>
      <c r="P485" s="45"/>
    </row>
    <row r="486" spans="1:16" ht="30" customHeight="1" x14ac:dyDescent="0.2">
      <c r="A486" s="45"/>
      <c r="B486" s="1761"/>
      <c r="C486" s="1747" t="s">
        <v>379</v>
      </c>
      <c r="D486" s="1748"/>
      <c r="E486" s="1748" t="s">
        <v>380</v>
      </c>
      <c r="F486" s="1748"/>
      <c r="G486" s="1748" t="s">
        <v>56</v>
      </c>
      <c r="H486" s="1749"/>
      <c r="I486" s="1093"/>
      <c r="J486" s="1092"/>
      <c r="K486" s="226" t="s">
        <v>370</v>
      </c>
      <c r="L486" s="183">
        <v>44</v>
      </c>
      <c r="M486" s="181"/>
      <c r="O486" s="183">
        <v>44</v>
      </c>
      <c r="P486" s="45"/>
    </row>
    <row r="487" spans="1:16" ht="30" customHeight="1" x14ac:dyDescent="0.2">
      <c r="A487" s="45"/>
      <c r="B487" s="1761"/>
      <c r="C487" s="1752" t="s">
        <v>287</v>
      </c>
      <c r="D487" s="1750"/>
      <c r="E487" s="1750" t="s">
        <v>381</v>
      </c>
      <c r="F487" s="1750"/>
      <c r="G487" s="1750"/>
      <c r="H487" s="1751"/>
      <c r="I487" s="1093"/>
      <c r="J487" s="1092"/>
      <c r="K487" s="226" t="s">
        <v>370</v>
      </c>
      <c r="L487" s="183">
        <v>44</v>
      </c>
      <c r="M487" s="181"/>
      <c r="O487" s="183">
        <v>44</v>
      </c>
      <c r="P487" s="45"/>
    </row>
    <row r="488" spans="1:16" ht="30" customHeight="1" x14ac:dyDescent="0.2">
      <c r="A488" s="45"/>
      <c r="B488" s="202" t="s">
        <v>382</v>
      </c>
      <c r="C488" s="1086" t="s">
        <v>383</v>
      </c>
      <c r="D488" s="1086"/>
      <c r="E488" s="1086"/>
      <c r="F488" s="1086"/>
      <c r="G488" s="1086"/>
      <c r="H488" s="1086"/>
      <c r="I488" s="205">
        <v>500</v>
      </c>
      <c r="J488" s="75">
        <v>0.5</v>
      </c>
      <c r="K488" s="226" t="s">
        <v>370</v>
      </c>
      <c r="L488" s="183">
        <v>44</v>
      </c>
      <c r="M488" s="181"/>
      <c r="O488" s="183">
        <v>44</v>
      </c>
      <c r="P488" s="45"/>
    </row>
    <row r="489" spans="1:16" s="66" customFormat="1" ht="30" customHeight="1" x14ac:dyDescent="0.2">
      <c r="A489" s="149"/>
      <c r="B489" s="163" t="s">
        <v>670</v>
      </c>
      <c r="C489" s="1086" t="s">
        <v>383</v>
      </c>
      <c r="D489" s="1086"/>
      <c r="E489" s="1086"/>
      <c r="F489" s="1086"/>
      <c r="G489" s="1086"/>
      <c r="H489" s="1086"/>
      <c r="I489" s="392">
        <v>600</v>
      </c>
      <c r="J489" s="393">
        <v>0.5</v>
      </c>
      <c r="K489" s="226" t="s">
        <v>370</v>
      </c>
      <c r="L489" s="183">
        <v>44</v>
      </c>
      <c r="M489" s="181"/>
      <c r="N489" s="67"/>
      <c r="O489" s="183">
        <v>44</v>
      </c>
    </row>
    <row r="490" spans="1:16" s="66" customFormat="1" ht="30" customHeight="1" x14ac:dyDescent="0.2">
      <c r="B490" s="163" t="s">
        <v>789</v>
      </c>
      <c r="C490" s="1086" t="s">
        <v>383</v>
      </c>
      <c r="D490" s="1086"/>
      <c r="E490" s="1086"/>
      <c r="F490" s="1086"/>
      <c r="G490" s="1086"/>
      <c r="H490" s="1086"/>
      <c r="I490" s="682">
        <v>800</v>
      </c>
      <c r="J490" s="199">
        <v>0.5</v>
      </c>
      <c r="K490" s="226" t="s">
        <v>370</v>
      </c>
      <c r="L490" s="183">
        <v>44</v>
      </c>
      <c r="M490" s="181"/>
      <c r="N490" s="182"/>
      <c r="O490" s="183">
        <v>44</v>
      </c>
    </row>
    <row r="491" spans="1:16" ht="20.100000000000001" customHeight="1" x14ac:dyDescent="0.2">
      <c r="A491" s="45"/>
      <c r="B491" s="648"/>
      <c r="C491" s="648"/>
      <c r="D491" s="648"/>
      <c r="E491" s="648"/>
      <c r="F491" s="648"/>
      <c r="G491" s="648"/>
      <c r="H491" s="648"/>
      <c r="I491" s="591"/>
      <c r="J491" s="128"/>
      <c r="L491" s="561"/>
      <c r="M491" s="181"/>
      <c r="O491" s="561"/>
      <c r="P491" s="45"/>
    </row>
    <row r="492" spans="1:16" ht="30" customHeight="1" x14ac:dyDescent="0.2">
      <c r="A492" s="45"/>
      <c r="B492" s="1087" t="s">
        <v>391</v>
      </c>
      <c r="C492" s="1088"/>
      <c r="D492" s="1088"/>
      <c r="E492" s="1088"/>
      <c r="F492" s="1088"/>
      <c r="G492" s="1088"/>
      <c r="H492" s="1088"/>
      <c r="I492" s="201" t="s">
        <v>130</v>
      </c>
      <c r="J492" s="35" t="s">
        <v>18</v>
      </c>
      <c r="K492" s="686" t="s">
        <v>392</v>
      </c>
      <c r="L492" s="183">
        <v>46</v>
      </c>
      <c r="N492" s="182" t="s">
        <v>30</v>
      </c>
      <c r="O492" s="183">
        <v>46</v>
      </c>
      <c r="P492" s="45"/>
    </row>
    <row r="493" spans="1:16" ht="60" customHeight="1" x14ac:dyDescent="0.2">
      <c r="A493" s="45"/>
      <c r="B493" s="1089" t="s">
        <v>886</v>
      </c>
      <c r="C493" s="1090"/>
      <c r="D493" s="1090"/>
      <c r="E493" s="1090"/>
      <c r="F493" s="1090"/>
      <c r="G493" s="1090"/>
      <c r="H493" s="1090"/>
      <c r="I493" s="1090"/>
      <c r="J493" s="1091"/>
      <c r="K493" s="686" t="s">
        <v>392</v>
      </c>
      <c r="L493" s="183">
        <v>46</v>
      </c>
      <c r="N493" s="182"/>
      <c r="O493" s="183">
        <v>46</v>
      </c>
      <c r="P493" s="45"/>
    </row>
    <row r="494" spans="1:16" ht="30" customHeight="1" x14ac:dyDescent="0.2">
      <c r="A494" s="45"/>
      <c r="B494" s="1073" t="s">
        <v>394</v>
      </c>
      <c r="C494" s="1074"/>
      <c r="D494" s="1074"/>
      <c r="E494" s="1074"/>
      <c r="F494" s="1074"/>
      <c r="G494" s="1074"/>
      <c r="H494" s="1074"/>
      <c r="I494" s="1074"/>
      <c r="J494" s="1075"/>
      <c r="K494" s="686" t="s">
        <v>392</v>
      </c>
      <c r="L494" s="183">
        <v>46</v>
      </c>
      <c r="N494" s="182"/>
      <c r="O494" s="183">
        <v>46</v>
      </c>
      <c r="P494" s="45"/>
    </row>
    <row r="495" spans="1:16" ht="35.25" customHeight="1" x14ac:dyDescent="0.2">
      <c r="A495" s="45"/>
      <c r="B495" s="209" t="s">
        <v>395</v>
      </c>
      <c r="C495" s="1076" t="s">
        <v>74</v>
      </c>
      <c r="D495" s="1077"/>
      <c r="E495" s="1077" t="s">
        <v>399</v>
      </c>
      <c r="F495" s="1077"/>
      <c r="G495" s="658"/>
      <c r="H495" s="45"/>
      <c r="I495" s="214">
        <v>60</v>
      </c>
      <c r="J495" s="109">
        <v>0.6</v>
      </c>
      <c r="K495" s="686" t="s">
        <v>392</v>
      </c>
      <c r="L495" s="183">
        <v>46</v>
      </c>
      <c r="N495" s="182"/>
      <c r="O495" s="183">
        <v>46</v>
      </c>
      <c r="P495" s="45"/>
    </row>
    <row r="496" spans="1:16" ht="30" customHeight="1" x14ac:dyDescent="0.2">
      <c r="A496" s="45"/>
      <c r="B496" s="1164" t="s">
        <v>396</v>
      </c>
      <c r="C496" s="1728" t="s">
        <v>378</v>
      </c>
      <c r="D496" s="1729"/>
      <c r="E496" s="933" t="s">
        <v>42</v>
      </c>
      <c r="F496" s="933"/>
      <c r="G496" s="933" t="s">
        <v>63</v>
      </c>
      <c r="H496" s="934"/>
      <c r="I496" s="1083">
        <v>60</v>
      </c>
      <c r="J496" s="962">
        <v>0.6</v>
      </c>
      <c r="K496" s="686" t="s">
        <v>392</v>
      </c>
      <c r="L496" s="183">
        <v>46</v>
      </c>
      <c r="N496" s="182"/>
      <c r="O496" s="183">
        <v>46</v>
      </c>
      <c r="P496" s="45"/>
    </row>
    <row r="497" spans="1:25" ht="30" customHeight="1" x14ac:dyDescent="0.2">
      <c r="A497" s="45"/>
      <c r="B497" s="1753"/>
      <c r="C497" s="1747" t="s">
        <v>379</v>
      </c>
      <c r="D497" s="1748"/>
      <c r="E497" s="1748" t="s">
        <v>380</v>
      </c>
      <c r="F497" s="1748"/>
      <c r="G497" s="1748" t="s">
        <v>287</v>
      </c>
      <c r="H497" s="1749"/>
      <c r="I497" s="1084"/>
      <c r="J497" s="963"/>
      <c r="K497" s="686" t="s">
        <v>392</v>
      </c>
      <c r="L497" s="183">
        <v>46</v>
      </c>
      <c r="N497" s="182"/>
      <c r="O497" s="183">
        <v>46</v>
      </c>
      <c r="P497" s="45"/>
    </row>
    <row r="498" spans="1:25" ht="30" customHeight="1" x14ac:dyDescent="0.2">
      <c r="A498" s="45"/>
      <c r="B498" s="1165"/>
      <c r="C498" s="687" t="s">
        <v>43</v>
      </c>
      <c r="D498" s="688"/>
      <c r="E498" s="1750" t="s">
        <v>381</v>
      </c>
      <c r="F498" s="1750"/>
      <c r="G498" s="1750"/>
      <c r="H498" s="1751"/>
      <c r="I498" s="1085"/>
      <c r="J498" s="964"/>
      <c r="K498" s="686" t="s">
        <v>392</v>
      </c>
      <c r="L498" s="183">
        <v>46</v>
      </c>
      <c r="N498" s="182"/>
      <c r="O498" s="183">
        <v>46</v>
      </c>
      <c r="P498" s="45"/>
    </row>
    <row r="499" spans="1:25" ht="30" customHeight="1" x14ac:dyDescent="0.2">
      <c r="A499" s="45"/>
      <c r="B499" s="1073" t="s">
        <v>397</v>
      </c>
      <c r="C499" s="1074"/>
      <c r="D499" s="1074"/>
      <c r="E499" s="1074"/>
      <c r="F499" s="1074"/>
      <c r="G499" s="1074"/>
      <c r="H499" s="1074"/>
      <c r="I499" s="1074"/>
      <c r="J499" s="1075"/>
      <c r="K499" s="686" t="s">
        <v>392</v>
      </c>
      <c r="L499" s="183">
        <v>46</v>
      </c>
      <c r="N499" s="182" t="s">
        <v>30</v>
      </c>
      <c r="O499" s="183">
        <v>46</v>
      </c>
      <c r="P499" s="45"/>
    </row>
    <row r="500" spans="1:25" ht="45" customHeight="1" x14ac:dyDescent="0.2">
      <c r="A500" s="45"/>
      <c r="B500" s="202" t="s">
        <v>398</v>
      </c>
      <c r="C500" s="1076" t="s">
        <v>74</v>
      </c>
      <c r="D500" s="1077"/>
      <c r="E500" s="1077" t="s">
        <v>399</v>
      </c>
      <c r="F500" s="1077"/>
      <c r="G500" s="1077"/>
      <c r="H500" s="1078"/>
      <c r="I500" s="217">
        <v>75</v>
      </c>
      <c r="J500" s="75">
        <v>1</v>
      </c>
      <c r="K500" s="686" t="s">
        <v>392</v>
      </c>
      <c r="L500" s="183">
        <v>46</v>
      </c>
      <c r="N500" s="182"/>
      <c r="O500" s="183">
        <v>46</v>
      </c>
      <c r="P500" s="45"/>
    </row>
    <row r="501" spans="1:25" ht="30" customHeight="1" x14ac:dyDescent="0.2">
      <c r="A501" s="45"/>
      <c r="B501" s="1081" t="s">
        <v>400</v>
      </c>
      <c r="C501" s="928" t="s">
        <v>378</v>
      </c>
      <c r="D501" s="928"/>
      <c r="E501" s="986" t="s">
        <v>42</v>
      </c>
      <c r="F501" s="986"/>
      <c r="G501" s="986" t="s">
        <v>63</v>
      </c>
      <c r="H501" s="986"/>
      <c r="I501" s="1083">
        <v>75</v>
      </c>
      <c r="J501" s="962">
        <v>1</v>
      </c>
      <c r="K501" s="213" t="s">
        <v>392</v>
      </c>
      <c r="L501" s="37">
        <v>46</v>
      </c>
      <c r="N501" s="182"/>
      <c r="O501" s="37">
        <v>46</v>
      </c>
      <c r="U501" s="70"/>
      <c r="V501" s="70"/>
      <c r="W501" s="187"/>
      <c r="X501" s="69"/>
      <c r="Y501" s="69"/>
    </row>
    <row r="502" spans="1:25" ht="30" customHeight="1" x14ac:dyDescent="0.2">
      <c r="A502" s="45"/>
      <c r="B502" s="1082"/>
      <c r="C502" s="957" t="s">
        <v>379</v>
      </c>
      <c r="D502" s="957"/>
      <c r="E502" s="957" t="s">
        <v>380</v>
      </c>
      <c r="F502" s="957"/>
      <c r="G502" s="957" t="s">
        <v>401</v>
      </c>
      <c r="H502" s="957"/>
      <c r="I502" s="1084"/>
      <c r="J502" s="963"/>
      <c r="K502" s="213" t="s">
        <v>392</v>
      </c>
      <c r="L502" s="37">
        <v>46</v>
      </c>
      <c r="N502" s="182"/>
      <c r="O502" s="37">
        <v>46</v>
      </c>
      <c r="U502" s="70"/>
      <c r="V502" s="70"/>
      <c r="W502" s="187"/>
      <c r="X502" s="69"/>
      <c r="Y502" s="69"/>
    </row>
    <row r="503" spans="1:25" ht="30" customHeight="1" x14ac:dyDescent="0.2">
      <c r="B503" s="1082"/>
      <c r="C503" s="207" t="s">
        <v>43</v>
      </c>
      <c r="D503" s="207"/>
      <c r="E503" s="957" t="s">
        <v>381</v>
      </c>
      <c r="F503" s="957"/>
      <c r="G503" s="957" t="s">
        <v>287</v>
      </c>
      <c r="H503" s="957"/>
      <c r="I503" s="1084"/>
      <c r="J503" s="963"/>
      <c r="K503" s="213" t="s">
        <v>392</v>
      </c>
      <c r="L503" s="37">
        <v>46</v>
      </c>
      <c r="N503" s="182"/>
      <c r="O503" s="37">
        <v>46</v>
      </c>
      <c r="U503" s="70"/>
      <c r="V503" s="70"/>
      <c r="W503" s="187"/>
      <c r="X503" s="69"/>
      <c r="Y503" s="69"/>
    </row>
    <row r="504" spans="1:25" ht="30" customHeight="1" x14ac:dyDescent="0.2">
      <c r="B504" s="1082"/>
      <c r="C504" s="957" t="s">
        <v>402</v>
      </c>
      <c r="D504" s="957"/>
      <c r="E504" s="957" t="s">
        <v>403</v>
      </c>
      <c r="F504" s="957"/>
      <c r="G504" s="957" t="s">
        <v>66</v>
      </c>
      <c r="H504" s="958"/>
      <c r="I504" s="1084"/>
      <c r="J504" s="963"/>
      <c r="K504" s="213" t="s">
        <v>392</v>
      </c>
      <c r="L504" s="37">
        <v>46</v>
      </c>
      <c r="N504" s="182"/>
      <c r="O504" s="37">
        <v>46</v>
      </c>
      <c r="U504" s="70"/>
      <c r="V504" s="70"/>
      <c r="W504" s="187"/>
      <c r="X504" s="69"/>
      <c r="Y504" s="69"/>
    </row>
    <row r="505" spans="1:25" ht="30" customHeight="1" x14ac:dyDescent="0.2">
      <c r="A505" s="45"/>
      <c r="B505" s="976" t="s">
        <v>404</v>
      </c>
      <c r="C505" s="977"/>
      <c r="D505" s="977"/>
      <c r="E505" s="977"/>
      <c r="F505" s="977"/>
      <c r="G505" s="977"/>
      <c r="H505" s="977"/>
      <c r="I505" s="977"/>
      <c r="J505" s="978"/>
      <c r="K505" s="686" t="s">
        <v>392</v>
      </c>
      <c r="L505" s="183">
        <v>46</v>
      </c>
      <c r="N505" s="182" t="s">
        <v>30</v>
      </c>
      <c r="O505" s="183">
        <v>46</v>
      </c>
      <c r="P505" s="45"/>
    </row>
    <row r="506" spans="1:25" ht="30" customHeight="1" x14ac:dyDescent="0.2">
      <c r="A506" s="45"/>
      <c r="B506" s="538" t="s">
        <v>405</v>
      </c>
      <c r="C506" s="689" t="s">
        <v>406</v>
      </c>
      <c r="D506" s="690"/>
      <c r="E506" s="690" t="s">
        <v>407</v>
      </c>
      <c r="F506" s="691"/>
      <c r="G506" s="690"/>
      <c r="H506" s="692"/>
      <c r="I506" s="539">
        <v>0</v>
      </c>
      <c r="J506" s="75">
        <v>0.7</v>
      </c>
      <c r="K506" s="686" t="s">
        <v>392</v>
      </c>
      <c r="L506" s="183">
        <v>46</v>
      </c>
      <c r="N506" s="182"/>
      <c r="O506" s="183">
        <v>46</v>
      </c>
      <c r="P506" s="45"/>
    </row>
    <row r="507" spans="1:25" ht="30" customHeight="1" x14ac:dyDescent="0.2">
      <c r="A507" s="45"/>
      <c r="B507" s="1073" t="s">
        <v>408</v>
      </c>
      <c r="C507" s="1074"/>
      <c r="D507" s="1074"/>
      <c r="E507" s="1074"/>
      <c r="F507" s="1074"/>
      <c r="G507" s="1074"/>
      <c r="H507" s="1074"/>
      <c r="I507" s="1074"/>
      <c r="J507" s="1075"/>
      <c r="K507" s="686" t="s">
        <v>392</v>
      </c>
      <c r="L507" s="183">
        <v>46</v>
      </c>
      <c r="N507" s="182" t="s">
        <v>30</v>
      </c>
      <c r="O507" s="183">
        <v>46</v>
      </c>
      <c r="P507" s="45"/>
    </row>
    <row r="508" spans="1:25" ht="40.5" customHeight="1" x14ac:dyDescent="0.2">
      <c r="A508" s="45"/>
      <c r="B508" s="222" t="s">
        <v>395</v>
      </c>
      <c r="C508" s="1076" t="s">
        <v>74</v>
      </c>
      <c r="D508" s="1077"/>
      <c r="E508" s="1077" t="s">
        <v>399</v>
      </c>
      <c r="F508" s="1077"/>
      <c r="G508" s="1077"/>
      <c r="H508" s="1078"/>
      <c r="I508" s="223" t="s">
        <v>409</v>
      </c>
      <c r="J508" s="224">
        <v>0.6</v>
      </c>
      <c r="K508" s="686" t="s">
        <v>392</v>
      </c>
      <c r="L508" s="183">
        <v>46</v>
      </c>
      <c r="N508" s="182"/>
      <c r="O508" s="183">
        <v>46</v>
      </c>
      <c r="P508" s="45"/>
    </row>
    <row r="509" spans="1:25" ht="30" customHeight="1" x14ac:dyDescent="0.2">
      <c r="A509" s="45"/>
      <c r="B509" s="1164" t="s">
        <v>396</v>
      </c>
      <c r="C509" s="1729" t="s">
        <v>378</v>
      </c>
      <c r="D509" s="1729"/>
      <c r="E509" s="933" t="s">
        <v>42</v>
      </c>
      <c r="F509" s="933"/>
      <c r="G509" s="933" t="s">
        <v>63</v>
      </c>
      <c r="H509" s="933"/>
      <c r="I509" s="1079" t="s">
        <v>409</v>
      </c>
      <c r="J509" s="1071">
        <v>0.6</v>
      </c>
      <c r="K509" s="686" t="s">
        <v>392</v>
      </c>
      <c r="L509" s="183">
        <v>46</v>
      </c>
      <c r="N509" s="182"/>
      <c r="O509" s="183">
        <v>46</v>
      </c>
      <c r="P509" s="45"/>
    </row>
    <row r="510" spans="1:25" ht="30" customHeight="1" x14ac:dyDescent="0.2">
      <c r="A510" s="45"/>
      <c r="B510" s="1753"/>
      <c r="C510" s="1748" t="s">
        <v>379</v>
      </c>
      <c r="D510" s="1748"/>
      <c r="E510" s="1748" t="s">
        <v>380</v>
      </c>
      <c r="F510" s="1748"/>
      <c r="G510" s="1748" t="s">
        <v>403</v>
      </c>
      <c r="H510" s="1748"/>
      <c r="I510" s="1080"/>
      <c r="J510" s="1072"/>
      <c r="K510" s="686" t="s">
        <v>392</v>
      </c>
      <c r="L510" s="183">
        <v>46</v>
      </c>
      <c r="N510" s="182"/>
      <c r="O510" s="183">
        <v>46</v>
      </c>
      <c r="P510" s="45"/>
    </row>
    <row r="511" spans="1:25" ht="30" customHeight="1" x14ac:dyDescent="0.2">
      <c r="A511" s="45"/>
      <c r="B511" s="1753"/>
      <c r="C511" s="1747" t="s">
        <v>402</v>
      </c>
      <c r="D511" s="1748"/>
      <c r="E511" s="1748" t="s">
        <v>381</v>
      </c>
      <c r="F511" s="1748"/>
      <c r="G511" s="1748" t="s">
        <v>287</v>
      </c>
      <c r="H511" s="1748"/>
      <c r="I511" s="1080"/>
      <c r="J511" s="1072"/>
      <c r="K511" s="686" t="s">
        <v>392</v>
      </c>
      <c r="L511" s="183">
        <v>46</v>
      </c>
      <c r="N511" s="182"/>
      <c r="O511" s="183">
        <v>46</v>
      </c>
      <c r="P511" s="45"/>
    </row>
    <row r="512" spans="1:25" ht="30" customHeight="1" x14ac:dyDescent="0.2">
      <c r="A512" s="45"/>
      <c r="B512" s="1067" t="s">
        <v>411</v>
      </c>
      <c r="C512" s="1068"/>
      <c r="D512" s="1068"/>
      <c r="E512" s="1068"/>
      <c r="F512" s="1068"/>
      <c r="G512" s="1068"/>
      <c r="H512" s="1068"/>
      <c r="I512" s="1068"/>
      <c r="J512" s="1069"/>
      <c r="K512" s="686" t="s">
        <v>392</v>
      </c>
      <c r="L512" s="183">
        <v>46</v>
      </c>
      <c r="N512" s="182"/>
      <c r="O512" s="183">
        <v>46</v>
      </c>
      <c r="P512" s="45"/>
    </row>
    <row r="513" spans="1:25" ht="20.100000000000001" customHeight="1" x14ac:dyDescent="0.2">
      <c r="A513" s="45"/>
      <c r="B513" s="648"/>
      <c r="C513" s="648"/>
      <c r="D513" s="648"/>
      <c r="E513" s="648"/>
      <c r="F513" s="648"/>
      <c r="G513" s="648"/>
      <c r="H513" s="648"/>
      <c r="I513" s="591"/>
      <c r="J513" s="128"/>
      <c r="L513" s="561"/>
      <c r="M513" s="181"/>
      <c r="O513" s="561"/>
      <c r="P513" s="45"/>
    </row>
    <row r="514" spans="1:25" ht="30" customHeight="1" x14ac:dyDescent="0.2">
      <c r="A514" s="45"/>
      <c r="B514" s="1807" t="s">
        <v>412</v>
      </c>
      <c r="C514" s="1807"/>
      <c r="D514" s="1807"/>
      <c r="E514" s="1807"/>
      <c r="F514" s="1807"/>
      <c r="G514" s="1807"/>
      <c r="H514" s="1807"/>
      <c r="I514" s="679" t="s">
        <v>152</v>
      </c>
      <c r="J514" s="35" t="s">
        <v>18</v>
      </c>
      <c r="K514" s="226" t="s">
        <v>413</v>
      </c>
      <c r="L514" s="183">
        <v>16</v>
      </c>
      <c r="M514" s="225"/>
      <c r="N514" s="182" t="s">
        <v>30</v>
      </c>
      <c r="O514" s="183">
        <v>16</v>
      </c>
    </row>
    <row r="515" spans="1:25" ht="30" customHeight="1" x14ac:dyDescent="0.2">
      <c r="A515" s="45"/>
      <c r="B515" s="1725" t="s">
        <v>414</v>
      </c>
      <c r="C515" s="1726"/>
      <c r="D515" s="1726"/>
      <c r="E515" s="1726"/>
      <c r="F515" s="1726"/>
      <c r="G515" s="1726"/>
      <c r="H515" s="1726"/>
      <c r="I515" s="1726"/>
      <c r="J515" s="1727"/>
      <c r="K515" s="226" t="s">
        <v>413</v>
      </c>
      <c r="L515" s="183">
        <v>16</v>
      </c>
      <c r="O515" s="183">
        <v>16</v>
      </c>
      <c r="U515" s="70"/>
      <c r="V515" s="184"/>
      <c r="W515" s="693"/>
      <c r="X515" s="694"/>
      <c r="Y515" s="69"/>
    </row>
    <row r="516" spans="1:25" ht="30" customHeight="1" x14ac:dyDescent="0.2">
      <c r="B516" s="581" t="s">
        <v>415</v>
      </c>
      <c r="C516" s="1808" t="s">
        <v>416</v>
      </c>
      <c r="D516" s="1809"/>
      <c r="E516" s="1809"/>
      <c r="F516" s="1809"/>
      <c r="G516" s="1809"/>
      <c r="H516" s="1810"/>
      <c r="I516" s="582">
        <v>50</v>
      </c>
      <c r="J516" s="121">
        <v>1</v>
      </c>
      <c r="K516" s="226" t="s">
        <v>413</v>
      </c>
      <c r="L516" s="183">
        <v>16</v>
      </c>
      <c r="O516" s="183">
        <v>16</v>
      </c>
      <c r="U516" s="70"/>
      <c r="V516" s="70"/>
      <c r="W516" s="187"/>
      <c r="X516" s="69"/>
      <c r="Y516" s="69"/>
    </row>
    <row r="517" spans="1:25" ht="30" customHeight="1" x14ac:dyDescent="0.2">
      <c r="A517" s="45"/>
      <c r="B517" s="1725" t="s">
        <v>417</v>
      </c>
      <c r="C517" s="1726"/>
      <c r="D517" s="1726"/>
      <c r="E517" s="1726"/>
      <c r="F517" s="1726"/>
      <c r="G517" s="1726"/>
      <c r="H517" s="1726"/>
      <c r="I517" s="1726"/>
      <c r="J517" s="1727"/>
      <c r="K517" s="226" t="s">
        <v>413</v>
      </c>
      <c r="L517" s="183">
        <v>16</v>
      </c>
      <c r="N517" s="182" t="s">
        <v>30</v>
      </c>
      <c r="O517" s="183">
        <v>16</v>
      </c>
      <c r="U517" s="70"/>
      <c r="V517" s="70"/>
      <c r="W517" s="187"/>
      <c r="X517" s="69"/>
      <c r="Y517" s="69"/>
    </row>
    <row r="518" spans="1:25" ht="30" customHeight="1" x14ac:dyDescent="0.2">
      <c r="A518" s="45"/>
      <c r="B518" s="695" t="s">
        <v>418</v>
      </c>
      <c r="C518" s="696" t="s">
        <v>419</v>
      </c>
      <c r="D518" s="697"/>
      <c r="E518" s="697"/>
      <c r="F518" s="697"/>
      <c r="G518" s="697"/>
      <c r="H518" s="698"/>
      <c r="I518" s="409">
        <v>50</v>
      </c>
      <c r="J518" s="42">
        <v>1</v>
      </c>
      <c r="K518" s="226" t="s">
        <v>413</v>
      </c>
      <c r="L518" s="183">
        <v>16</v>
      </c>
      <c r="N518" s="182"/>
      <c r="O518" s="183">
        <v>16</v>
      </c>
      <c r="U518" s="70"/>
      <c r="V518" s="70"/>
      <c r="W518" s="187"/>
      <c r="X518" s="69"/>
      <c r="Y518" s="69"/>
    </row>
    <row r="519" spans="1:25" ht="30" customHeight="1" x14ac:dyDescent="0.2">
      <c r="A519" s="45"/>
      <c r="B519" s="699" t="s">
        <v>420</v>
      </c>
      <c r="C519" s="1798" t="s">
        <v>416</v>
      </c>
      <c r="D519" s="1781"/>
      <c r="E519" s="1781"/>
      <c r="F519" s="1781"/>
      <c r="G519" s="1781"/>
      <c r="H519" s="1782"/>
      <c r="I519" s="409">
        <v>75</v>
      </c>
      <c r="J519" s="42">
        <v>1</v>
      </c>
      <c r="K519" s="226" t="s">
        <v>413</v>
      </c>
      <c r="L519" s="183">
        <v>16</v>
      </c>
      <c r="N519" s="182"/>
      <c r="O519" s="183">
        <v>16</v>
      </c>
      <c r="U519" s="70"/>
      <c r="V519" s="70"/>
      <c r="W519" s="187"/>
      <c r="X519" s="69"/>
      <c r="Y519" s="69"/>
    </row>
    <row r="520" spans="1:25" ht="30" customHeight="1" x14ac:dyDescent="0.2">
      <c r="A520" s="45"/>
      <c r="B520" s="699" t="s">
        <v>421</v>
      </c>
      <c r="C520" s="1805" t="s">
        <v>422</v>
      </c>
      <c r="D520" s="1806"/>
      <c r="E520" s="1806"/>
      <c r="F520" s="1806"/>
      <c r="G520" s="1806"/>
      <c r="H520" s="1806"/>
      <c r="I520" s="164">
        <v>40</v>
      </c>
      <c r="J520" s="42">
        <v>1</v>
      </c>
      <c r="K520" s="226" t="s">
        <v>413</v>
      </c>
      <c r="L520" s="183">
        <v>16</v>
      </c>
      <c r="N520" s="182"/>
      <c r="O520" s="183">
        <v>16</v>
      </c>
      <c r="U520" s="70"/>
      <c r="V520" s="70"/>
      <c r="W520" s="187"/>
      <c r="X520" s="69"/>
      <c r="Y520" s="69"/>
    </row>
    <row r="521" spans="1:25" ht="30" customHeight="1" x14ac:dyDescent="0.2">
      <c r="A521" s="45"/>
      <c r="B521" s="1725" t="s">
        <v>423</v>
      </c>
      <c r="C521" s="1726"/>
      <c r="D521" s="1726"/>
      <c r="E521" s="1726"/>
      <c r="F521" s="1726"/>
      <c r="G521" s="1726"/>
      <c r="H521" s="1726"/>
      <c r="I521" s="1726"/>
      <c r="J521" s="1727"/>
      <c r="K521" s="226" t="s">
        <v>413</v>
      </c>
      <c r="L521" s="183">
        <v>16</v>
      </c>
      <c r="N521" s="182" t="s">
        <v>30</v>
      </c>
      <c r="O521" s="183">
        <v>16</v>
      </c>
      <c r="U521" s="70"/>
      <c r="V521" s="70"/>
      <c r="W521" s="187"/>
      <c r="X521" s="69"/>
      <c r="Y521" s="69"/>
    </row>
    <row r="522" spans="1:25" ht="30" customHeight="1" x14ac:dyDescent="0.2">
      <c r="A522" s="45"/>
      <c r="B522" s="695" t="s">
        <v>418</v>
      </c>
      <c r="C522" s="1798" t="s">
        <v>419</v>
      </c>
      <c r="D522" s="1781"/>
      <c r="E522" s="1781"/>
      <c r="F522" s="1781"/>
      <c r="G522" s="1781"/>
      <c r="H522" s="1782"/>
      <c r="I522" s="409">
        <v>70</v>
      </c>
      <c r="J522" s="199">
        <v>1</v>
      </c>
      <c r="K522" s="226" t="s">
        <v>413</v>
      </c>
      <c r="L522" s="183">
        <v>16</v>
      </c>
      <c r="N522" s="182"/>
      <c r="O522" s="183">
        <v>16</v>
      </c>
      <c r="U522" s="70"/>
      <c r="V522" s="70"/>
      <c r="W522" s="187"/>
      <c r="X522" s="69"/>
      <c r="Y522" s="69"/>
    </row>
    <row r="523" spans="1:25" ht="30" customHeight="1" x14ac:dyDescent="0.2">
      <c r="A523" s="45"/>
      <c r="B523" s="540" t="s">
        <v>420</v>
      </c>
      <c r="C523" s="1798" t="s">
        <v>416</v>
      </c>
      <c r="D523" s="1781"/>
      <c r="E523" s="1781"/>
      <c r="F523" s="1781"/>
      <c r="G523" s="1781"/>
      <c r="H523" s="1782"/>
      <c r="I523" s="409">
        <v>75</v>
      </c>
      <c r="J523" s="199">
        <v>1</v>
      </c>
      <c r="K523" s="226" t="s">
        <v>413</v>
      </c>
      <c r="L523" s="183">
        <v>16</v>
      </c>
      <c r="N523" s="182"/>
      <c r="O523" s="183">
        <v>16</v>
      </c>
      <c r="U523" s="70"/>
      <c r="V523" s="70"/>
      <c r="W523" s="187"/>
      <c r="X523" s="69"/>
      <c r="Y523" s="69"/>
    </row>
    <row r="524" spans="1:25" ht="30" customHeight="1" x14ac:dyDescent="0.2">
      <c r="A524" s="45"/>
      <c r="B524" s="1795" t="s">
        <v>424</v>
      </c>
      <c r="C524" s="1796"/>
      <c r="D524" s="1796"/>
      <c r="E524" s="1796"/>
      <c r="F524" s="1796"/>
      <c r="G524" s="1796"/>
      <c r="H524" s="1796"/>
      <c r="I524" s="1796"/>
      <c r="J524" s="1797"/>
      <c r="K524" s="226" t="s">
        <v>413</v>
      </c>
      <c r="L524" s="183">
        <v>16</v>
      </c>
      <c r="N524" s="182" t="s">
        <v>30</v>
      </c>
      <c r="O524" s="183">
        <v>16</v>
      </c>
      <c r="U524" s="70"/>
      <c r="V524" s="70"/>
      <c r="W524" s="187"/>
      <c r="X524" s="69"/>
      <c r="Y524" s="69"/>
    </row>
    <row r="525" spans="1:25" ht="30" customHeight="1" x14ac:dyDescent="0.2">
      <c r="A525" s="45"/>
      <c r="B525" s="540" t="s">
        <v>418</v>
      </c>
      <c r="C525" s="1798" t="s">
        <v>419</v>
      </c>
      <c r="D525" s="1781"/>
      <c r="E525" s="1781"/>
      <c r="F525" s="1781"/>
      <c r="G525" s="1781"/>
      <c r="H525" s="1782"/>
      <c r="I525" s="164">
        <v>50</v>
      </c>
      <c r="J525" s="199">
        <v>1</v>
      </c>
      <c r="K525" s="226" t="s">
        <v>413</v>
      </c>
      <c r="L525" s="183">
        <v>16</v>
      </c>
      <c r="N525" s="182"/>
      <c r="O525" s="183">
        <v>16</v>
      </c>
      <c r="U525" s="70"/>
      <c r="V525" s="70"/>
      <c r="W525" s="187"/>
      <c r="X525" s="69"/>
      <c r="Y525" s="69"/>
    </row>
    <row r="526" spans="1:25" ht="30" customHeight="1" x14ac:dyDescent="0.2">
      <c r="A526" s="45"/>
      <c r="B526" s="540" t="s">
        <v>425</v>
      </c>
      <c r="C526" s="1798" t="s">
        <v>416</v>
      </c>
      <c r="D526" s="1781"/>
      <c r="E526" s="1781"/>
      <c r="F526" s="1781"/>
      <c r="G526" s="1781"/>
      <c r="H526" s="1782"/>
      <c r="I526" s="409">
        <v>75</v>
      </c>
      <c r="J526" s="199">
        <v>1</v>
      </c>
      <c r="K526" s="226" t="s">
        <v>413</v>
      </c>
      <c r="L526" s="183">
        <v>16</v>
      </c>
      <c r="N526" s="182"/>
      <c r="O526" s="183">
        <v>16</v>
      </c>
      <c r="U526" s="70"/>
      <c r="V526" s="70"/>
      <c r="W526" s="187"/>
      <c r="X526" s="69"/>
      <c r="Y526" s="69"/>
    </row>
    <row r="527" spans="1:25" ht="30" customHeight="1" x14ac:dyDescent="0.2">
      <c r="B527" s="540" t="s">
        <v>426</v>
      </c>
      <c r="C527" s="1706" t="s">
        <v>427</v>
      </c>
      <c r="D527" s="1792"/>
      <c r="E527" s="1792"/>
      <c r="F527" s="1792"/>
      <c r="G527" s="1792"/>
      <c r="H527" s="1792"/>
      <c r="I527" s="164">
        <v>70</v>
      </c>
      <c r="J527" s="199">
        <v>1</v>
      </c>
      <c r="K527" s="226" t="s">
        <v>413</v>
      </c>
      <c r="L527" s="183">
        <v>16</v>
      </c>
      <c r="N527" s="182"/>
      <c r="O527" s="183">
        <v>16</v>
      </c>
      <c r="U527" s="70"/>
      <c r="V527" s="70"/>
      <c r="W527" s="187"/>
      <c r="X527" s="69"/>
      <c r="Y527" s="69"/>
    </row>
    <row r="528" spans="1:25" ht="30" customHeight="1" x14ac:dyDescent="0.2">
      <c r="B528" s="1801" t="s">
        <v>428</v>
      </c>
      <c r="C528" s="1802"/>
      <c r="D528" s="1802"/>
      <c r="E528" s="1802"/>
      <c r="F528" s="1802"/>
      <c r="G528" s="1802"/>
      <c r="H528" s="1802"/>
      <c r="I528" s="1802"/>
      <c r="J528" s="1803"/>
      <c r="K528" s="226" t="s">
        <v>413</v>
      </c>
      <c r="L528" s="183">
        <v>16</v>
      </c>
      <c r="N528" s="182" t="s">
        <v>30</v>
      </c>
      <c r="O528" s="183">
        <v>16</v>
      </c>
      <c r="U528" s="70"/>
      <c r="V528" s="70"/>
      <c r="W528" s="187"/>
      <c r="X528" s="69"/>
      <c r="Y528" s="69"/>
    </row>
    <row r="529" spans="2:25" ht="30" customHeight="1" x14ac:dyDescent="0.2">
      <c r="B529" s="695" t="s">
        <v>418</v>
      </c>
      <c r="C529" s="1798" t="s">
        <v>419</v>
      </c>
      <c r="D529" s="1781"/>
      <c r="E529" s="1781"/>
      <c r="F529" s="1781"/>
      <c r="G529" s="1781"/>
      <c r="H529" s="1782"/>
      <c r="I529" s="409">
        <v>40</v>
      </c>
      <c r="J529" s="199">
        <v>1</v>
      </c>
      <c r="K529" s="226" t="s">
        <v>413</v>
      </c>
      <c r="L529" s="183">
        <v>16</v>
      </c>
      <c r="N529" s="182"/>
      <c r="O529" s="183">
        <v>16</v>
      </c>
      <c r="U529" s="70"/>
      <c r="V529" s="70"/>
      <c r="W529" s="187"/>
      <c r="X529" s="69"/>
      <c r="Y529" s="69"/>
    </row>
    <row r="530" spans="2:25" ht="30" customHeight="1" x14ac:dyDescent="0.2">
      <c r="B530" s="540" t="s">
        <v>420</v>
      </c>
      <c r="C530" s="1798" t="s">
        <v>416</v>
      </c>
      <c r="D530" s="1781"/>
      <c r="E530" s="1781"/>
      <c r="F530" s="1781"/>
      <c r="G530" s="1781"/>
      <c r="H530" s="1782"/>
      <c r="I530" s="409">
        <v>150</v>
      </c>
      <c r="J530" s="199">
        <v>1</v>
      </c>
      <c r="K530" s="226" t="s">
        <v>413</v>
      </c>
      <c r="L530" s="183">
        <v>16</v>
      </c>
      <c r="N530" s="182"/>
      <c r="O530" s="183">
        <v>16</v>
      </c>
      <c r="U530" s="70"/>
      <c r="V530" s="70"/>
      <c r="W530" s="187"/>
      <c r="X530" s="69"/>
      <c r="Y530" s="69"/>
    </row>
    <row r="531" spans="2:25" ht="30" customHeight="1" x14ac:dyDescent="0.2">
      <c r="B531" s="620" t="s">
        <v>429</v>
      </c>
      <c r="C531" s="1252" t="s">
        <v>422</v>
      </c>
      <c r="D531" s="1804"/>
      <c r="E531" s="1804"/>
      <c r="F531" s="1804"/>
      <c r="G531" s="1804"/>
      <c r="H531" s="1804"/>
      <c r="I531" s="539">
        <v>40</v>
      </c>
      <c r="J531" s="199">
        <v>1</v>
      </c>
      <c r="K531" s="226" t="s">
        <v>413</v>
      </c>
      <c r="L531" s="183">
        <v>16</v>
      </c>
      <c r="N531" s="182"/>
      <c r="O531" s="183">
        <v>16</v>
      </c>
      <c r="U531" s="70"/>
      <c r="V531" s="70"/>
      <c r="W531" s="187"/>
      <c r="X531" s="69"/>
      <c r="Y531" s="69"/>
    </row>
    <row r="532" spans="2:25" ht="30" customHeight="1" x14ac:dyDescent="0.2">
      <c r="B532" s="1795" t="s">
        <v>430</v>
      </c>
      <c r="C532" s="1796"/>
      <c r="D532" s="1796"/>
      <c r="E532" s="1796"/>
      <c r="F532" s="1796"/>
      <c r="G532" s="1796"/>
      <c r="H532" s="1796"/>
      <c r="I532" s="1796"/>
      <c r="J532" s="1797"/>
      <c r="K532" s="226" t="s">
        <v>413</v>
      </c>
      <c r="L532" s="183">
        <v>16</v>
      </c>
      <c r="N532" s="182" t="s">
        <v>30</v>
      </c>
      <c r="O532" s="183">
        <v>16</v>
      </c>
      <c r="U532" s="70"/>
      <c r="V532" s="70"/>
      <c r="W532" s="187"/>
      <c r="X532" s="69"/>
      <c r="Y532" s="69"/>
    </row>
    <row r="533" spans="2:25" ht="30" customHeight="1" x14ac:dyDescent="0.2">
      <c r="B533" s="695" t="s">
        <v>418</v>
      </c>
      <c r="C533" s="1798" t="s">
        <v>419</v>
      </c>
      <c r="D533" s="1781"/>
      <c r="E533" s="1781"/>
      <c r="F533" s="1781"/>
      <c r="G533" s="1781"/>
      <c r="H533" s="1782"/>
      <c r="I533" s="409">
        <v>50</v>
      </c>
      <c r="J533" s="42">
        <v>1</v>
      </c>
      <c r="K533" s="226" t="s">
        <v>413</v>
      </c>
      <c r="L533" s="183">
        <v>16</v>
      </c>
      <c r="N533" s="182"/>
      <c r="O533" s="183">
        <v>16</v>
      </c>
      <c r="U533" s="70"/>
      <c r="V533" s="70"/>
      <c r="W533" s="187"/>
      <c r="X533" s="69"/>
      <c r="Y533" s="69"/>
    </row>
    <row r="534" spans="2:25" ht="30" customHeight="1" x14ac:dyDescent="0.2">
      <c r="B534" s="540" t="s">
        <v>420</v>
      </c>
      <c r="C534" s="1798" t="s">
        <v>416</v>
      </c>
      <c r="D534" s="1781"/>
      <c r="E534" s="1781"/>
      <c r="F534" s="1781"/>
      <c r="G534" s="1781"/>
      <c r="H534" s="1782"/>
      <c r="I534" s="409">
        <v>100</v>
      </c>
      <c r="J534" s="42">
        <v>1</v>
      </c>
      <c r="K534" s="226" t="s">
        <v>413</v>
      </c>
      <c r="L534" s="183">
        <v>16</v>
      </c>
      <c r="N534" s="182"/>
      <c r="O534" s="183">
        <v>16</v>
      </c>
      <c r="U534" s="70"/>
      <c r="V534" s="70"/>
      <c r="W534" s="187"/>
      <c r="X534" s="69"/>
      <c r="Y534" s="69"/>
    </row>
    <row r="535" spans="2:25" ht="30" customHeight="1" x14ac:dyDescent="0.2">
      <c r="B535" s="1788" t="s">
        <v>431</v>
      </c>
      <c r="C535" s="1799"/>
      <c r="D535" s="1799"/>
      <c r="E535" s="1799"/>
      <c r="F535" s="1799"/>
      <c r="G535" s="1799"/>
      <c r="H535" s="1799"/>
      <c r="I535" s="1799"/>
      <c r="J535" s="1800"/>
      <c r="K535" s="226" t="s">
        <v>413</v>
      </c>
      <c r="L535" s="183">
        <v>16</v>
      </c>
      <c r="N535" s="182" t="s">
        <v>30</v>
      </c>
      <c r="O535" s="183">
        <v>16</v>
      </c>
      <c r="U535" s="70"/>
      <c r="V535" s="70"/>
      <c r="W535" s="187"/>
      <c r="X535" s="69"/>
      <c r="Y535" s="69"/>
    </row>
    <row r="536" spans="2:25" ht="24.75" customHeight="1" x14ac:dyDescent="0.2">
      <c r="B536" s="1791" t="s">
        <v>432</v>
      </c>
      <c r="C536" s="1706" t="s">
        <v>433</v>
      </c>
      <c r="D536" s="1706"/>
      <c r="E536" s="1706"/>
      <c r="F536" s="1706"/>
      <c r="G536" s="1706"/>
      <c r="H536" s="1706"/>
      <c r="I536" s="409">
        <v>50</v>
      </c>
      <c r="J536" s="42">
        <v>1</v>
      </c>
      <c r="K536" s="226" t="s">
        <v>413</v>
      </c>
      <c r="L536" s="183">
        <v>16</v>
      </c>
      <c r="N536" s="182"/>
      <c r="O536" s="183">
        <v>16</v>
      </c>
      <c r="U536" s="70"/>
      <c r="V536" s="70"/>
      <c r="W536" s="187"/>
      <c r="X536" s="69"/>
      <c r="Y536" s="69"/>
    </row>
    <row r="537" spans="2:25" ht="24.75" customHeight="1" x14ac:dyDescent="0.2">
      <c r="B537" s="1644"/>
      <c r="C537" s="1706" t="s">
        <v>434</v>
      </c>
      <c r="D537" s="1706"/>
      <c r="E537" s="1706"/>
      <c r="F537" s="1706"/>
      <c r="G537" s="1706"/>
      <c r="H537" s="1706"/>
      <c r="I537" s="409">
        <v>50</v>
      </c>
      <c r="J537" s="42">
        <v>1</v>
      </c>
      <c r="K537" s="226" t="s">
        <v>413</v>
      </c>
      <c r="L537" s="183">
        <v>16</v>
      </c>
      <c r="N537" s="182"/>
      <c r="O537" s="183">
        <v>16</v>
      </c>
      <c r="U537" s="70"/>
      <c r="V537" s="70"/>
      <c r="W537" s="187"/>
      <c r="X537" s="69"/>
      <c r="Y537" s="69"/>
    </row>
    <row r="538" spans="2:25" ht="24.75" customHeight="1" x14ac:dyDescent="0.2">
      <c r="B538" s="1644"/>
      <c r="C538" s="1706" t="s">
        <v>435</v>
      </c>
      <c r="D538" s="1706"/>
      <c r="E538" s="1706"/>
      <c r="F538" s="1706"/>
      <c r="G538" s="1706"/>
      <c r="H538" s="1706"/>
      <c r="I538" s="409">
        <v>50</v>
      </c>
      <c r="J538" s="42">
        <v>1</v>
      </c>
      <c r="K538" s="226" t="s">
        <v>413</v>
      </c>
      <c r="L538" s="183">
        <v>16</v>
      </c>
      <c r="N538" s="182"/>
      <c r="O538" s="183">
        <v>16</v>
      </c>
      <c r="U538" s="70"/>
      <c r="V538" s="70"/>
      <c r="W538" s="187"/>
      <c r="X538" s="69"/>
      <c r="Y538" s="69"/>
    </row>
    <row r="539" spans="2:25" ht="24.75" customHeight="1" x14ac:dyDescent="0.2">
      <c r="B539" s="1644"/>
      <c r="C539" s="1706" t="s">
        <v>436</v>
      </c>
      <c r="D539" s="1706"/>
      <c r="E539" s="1706"/>
      <c r="F539" s="1706"/>
      <c r="G539" s="1706"/>
      <c r="H539" s="1706"/>
      <c r="I539" s="409">
        <v>50</v>
      </c>
      <c r="J539" s="42">
        <v>1</v>
      </c>
      <c r="K539" s="226" t="s">
        <v>413</v>
      </c>
      <c r="L539" s="183">
        <v>16</v>
      </c>
      <c r="N539" s="182"/>
      <c r="O539" s="183">
        <v>16</v>
      </c>
      <c r="U539" s="70"/>
      <c r="V539" s="70"/>
      <c r="W539" s="187"/>
      <c r="X539" s="69"/>
      <c r="Y539" s="69"/>
    </row>
    <row r="540" spans="2:25" ht="24.75" customHeight="1" x14ac:dyDescent="0.2">
      <c r="B540" s="1644"/>
      <c r="C540" s="1706" t="s">
        <v>437</v>
      </c>
      <c r="D540" s="1706"/>
      <c r="E540" s="1706"/>
      <c r="F540" s="1706"/>
      <c r="G540" s="1706"/>
      <c r="H540" s="1706"/>
      <c r="I540" s="409">
        <v>50</v>
      </c>
      <c r="J540" s="42">
        <v>1</v>
      </c>
      <c r="K540" s="226" t="s">
        <v>413</v>
      </c>
      <c r="L540" s="183">
        <v>16</v>
      </c>
      <c r="N540" s="182"/>
      <c r="O540" s="183">
        <v>16</v>
      </c>
      <c r="U540" s="70"/>
      <c r="V540" s="70"/>
      <c r="W540" s="187"/>
      <c r="X540" s="69"/>
      <c r="Y540" s="69"/>
    </row>
    <row r="541" spans="2:25" ht="24.75" customHeight="1" x14ac:dyDescent="0.2">
      <c r="B541" s="1644"/>
      <c r="C541" s="1706" t="s">
        <v>438</v>
      </c>
      <c r="D541" s="1706"/>
      <c r="E541" s="1706"/>
      <c r="F541" s="1706"/>
      <c r="G541" s="1706"/>
      <c r="H541" s="1706"/>
      <c r="I541" s="409">
        <v>50</v>
      </c>
      <c r="J541" s="42">
        <v>1</v>
      </c>
      <c r="K541" s="226" t="s">
        <v>413</v>
      </c>
      <c r="L541" s="183">
        <v>16</v>
      </c>
      <c r="N541" s="182"/>
      <c r="O541" s="183">
        <v>16</v>
      </c>
      <c r="U541" s="70"/>
      <c r="V541" s="70"/>
      <c r="W541" s="187"/>
      <c r="X541" s="69"/>
      <c r="Y541" s="69"/>
    </row>
    <row r="542" spans="2:25" ht="24.75" customHeight="1" x14ac:dyDescent="0.2">
      <c r="B542" s="1644"/>
      <c r="C542" s="1706" t="s">
        <v>439</v>
      </c>
      <c r="D542" s="1706"/>
      <c r="E542" s="1706"/>
      <c r="F542" s="1706"/>
      <c r="G542" s="1706"/>
      <c r="H542" s="1706"/>
      <c r="I542" s="409">
        <v>50</v>
      </c>
      <c r="J542" s="42">
        <v>1</v>
      </c>
      <c r="K542" s="226" t="s">
        <v>413</v>
      </c>
      <c r="L542" s="183">
        <v>16</v>
      </c>
      <c r="N542" s="182"/>
      <c r="O542" s="183">
        <v>16</v>
      </c>
      <c r="U542" s="70"/>
      <c r="V542" s="70"/>
      <c r="W542" s="187"/>
      <c r="X542" s="69"/>
      <c r="Y542" s="69"/>
    </row>
    <row r="543" spans="2:25" ht="30" customHeight="1" x14ac:dyDescent="0.2">
      <c r="B543" s="1783" t="s">
        <v>440</v>
      </c>
      <c r="C543" s="1635" t="s">
        <v>441</v>
      </c>
      <c r="D543" s="1636"/>
      <c r="E543" s="1636"/>
      <c r="F543" s="1636"/>
      <c r="G543" s="1636"/>
      <c r="H543" s="1637"/>
      <c r="I543" s="409">
        <v>500</v>
      </c>
      <c r="J543" s="42">
        <v>1</v>
      </c>
      <c r="K543" s="226" t="s">
        <v>413</v>
      </c>
      <c r="L543" s="183">
        <v>16</v>
      </c>
      <c r="N543" s="182" t="s">
        <v>30</v>
      </c>
      <c r="O543" s="183">
        <v>16</v>
      </c>
      <c r="U543" s="70"/>
      <c r="V543" s="70"/>
      <c r="W543" s="187"/>
      <c r="X543" s="69"/>
      <c r="Y543" s="69"/>
    </row>
    <row r="544" spans="2:25" ht="30" customHeight="1" x14ac:dyDescent="0.2">
      <c r="B544" s="1793"/>
      <c r="C544" s="1635" t="s">
        <v>438</v>
      </c>
      <c r="D544" s="1636"/>
      <c r="E544" s="1636"/>
      <c r="F544" s="1636"/>
      <c r="G544" s="1636"/>
      <c r="H544" s="1637"/>
      <c r="I544" s="409">
        <v>100</v>
      </c>
      <c r="J544" s="42">
        <v>1</v>
      </c>
      <c r="K544" s="226" t="s">
        <v>413</v>
      </c>
      <c r="L544" s="183">
        <v>16</v>
      </c>
      <c r="O544" s="183">
        <v>16</v>
      </c>
      <c r="U544" s="70"/>
      <c r="V544" s="70"/>
      <c r="W544" s="187"/>
      <c r="X544" s="69"/>
      <c r="Y544" s="69"/>
    </row>
    <row r="545" spans="1:25" ht="30" customHeight="1" x14ac:dyDescent="0.2">
      <c r="B545" s="1794"/>
      <c r="C545" s="1635" t="s">
        <v>442</v>
      </c>
      <c r="D545" s="1636"/>
      <c r="E545" s="1636"/>
      <c r="F545" s="1636"/>
      <c r="G545" s="1636"/>
      <c r="H545" s="1637"/>
      <c r="I545" s="409">
        <v>75</v>
      </c>
      <c r="J545" s="42">
        <v>1</v>
      </c>
      <c r="K545" s="226" t="s">
        <v>413</v>
      </c>
      <c r="L545" s="183">
        <v>16</v>
      </c>
      <c r="O545" s="183">
        <v>16</v>
      </c>
      <c r="U545" s="70"/>
      <c r="V545" s="70"/>
      <c r="W545" s="187"/>
      <c r="X545" s="69"/>
      <c r="Y545" s="69"/>
    </row>
    <row r="546" spans="1:25" ht="30" customHeight="1" x14ac:dyDescent="0.2">
      <c r="B546" s="1788" t="s">
        <v>443</v>
      </c>
      <c r="C546" s="1789"/>
      <c r="D546" s="1789"/>
      <c r="E546" s="1789"/>
      <c r="F546" s="1789"/>
      <c r="G546" s="1789"/>
      <c r="H546" s="1789"/>
      <c r="I546" s="1789"/>
      <c r="J546" s="1790"/>
      <c r="K546" s="226" t="s">
        <v>413</v>
      </c>
      <c r="L546" s="183">
        <v>16</v>
      </c>
      <c r="N546" s="182" t="s">
        <v>30</v>
      </c>
      <c r="O546" s="183">
        <v>16</v>
      </c>
      <c r="U546" s="70"/>
      <c r="V546" s="70"/>
      <c r="W546" s="187"/>
      <c r="X546" s="69"/>
      <c r="Y546" s="69"/>
    </row>
    <row r="547" spans="1:25" ht="30" customHeight="1" x14ac:dyDescent="0.2">
      <c r="B547" s="1791" t="s">
        <v>432</v>
      </c>
      <c r="C547" s="1706" t="s">
        <v>433</v>
      </c>
      <c r="D547" s="1706"/>
      <c r="E547" s="1706"/>
      <c r="F547" s="1706"/>
      <c r="G547" s="1706"/>
      <c r="H547" s="1706"/>
      <c r="I547" s="409">
        <v>50</v>
      </c>
      <c r="J547" s="42">
        <v>1</v>
      </c>
      <c r="K547" s="226" t="s">
        <v>413</v>
      </c>
      <c r="L547" s="183">
        <v>16</v>
      </c>
      <c r="O547" s="183">
        <v>16</v>
      </c>
      <c r="U547" s="70"/>
      <c r="V547" s="70"/>
      <c r="W547" s="187"/>
      <c r="X547" s="69"/>
      <c r="Y547" s="69"/>
    </row>
    <row r="548" spans="1:25" ht="30" customHeight="1" x14ac:dyDescent="0.2">
      <c r="B548" s="1644"/>
      <c r="C548" s="1706" t="s">
        <v>434</v>
      </c>
      <c r="D548" s="1706"/>
      <c r="E548" s="1706"/>
      <c r="F548" s="1706"/>
      <c r="G548" s="1706"/>
      <c r="H548" s="1706"/>
      <c r="I548" s="409">
        <v>50</v>
      </c>
      <c r="J548" s="42">
        <v>1</v>
      </c>
      <c r="K548" s="226" t="s">
        <v>413</v>
      </c>
      <c r="L548" s="183">
        <v>16</v>
      </c>
      <c r="O548" s="183">
        <v>16</v>
      </c>
      <c r="U548" s="70"/>
      <c r="V548" s="70"/>
      <c r="W548" s="187"/>
      <c r="X548" s="69"/>
      <c r="Y548" s="69"/>
    </row>
    <row r="549" spans="1:25" ht="30" customHeight="1" x14ac:dyDescent="0.2">
      <c r="B549" s="1644"/>
      <c r="C549" s="1706" t="s">
        <v>444</v>
      </c>
      <c r="D549" s="1706"/>
      <c r="E549" s="1706"/>
      <c r="F549" s="1706"/>
      <c r="G549" s="1706"/>
      <c r="H549" s="1706"/>
      <c r="I549" s="409">
        <v>50</v>
      </c>
      <c r="J549" s="42">
        <v>1</v>
      </c>
      <c r="K549" s="226" t="s">
        <v>413</v>
      </c>
      <c r="L549" s="183">
        <v>16</v>
      </c>
      <c r="O549" s="183">
        <v>16</v>
      </c>
      <c r="U549" s="70"/>
      <c r="V549" s="70"/>
      <c r="W549" s="187"/>
      <c r="X549" s="69"/>
      <c r="Y549" s="69"/>
    </row>
    <row r="550" spans="1:25" ht="30" customHeight="1" x14ac:dyDescent="0.2">
      <c r="B550" s="1644"/>
      <c r="C550" s="1706" t="s">
        <v>436</v>
      </c>
      <c r="D550" s="1706"/>
      <c r="E550" s="1706"/>
      <c r="F550" s="1706"/>
      <c r="G550" s="1706"/>
      <c r="H550" s="1706"/>
      <c r="I550" s="409">
        <v>50</v>
      </c>
      <c r="J550" s="42">
        <v>1</v>
      </c>
      <c r="K550" s="226" t="s">
        <v>413</v>
      </c>
      <c r="L550" s="183">
        <v>16</v>
      </c>
      <c r="N550" s="45"/>
      <c r="O550" s="183">
        <v>16</v>
      </c>
      <c r="U550" s="70"/>
      <c r="V550" s="70"/>
      <c r="W550" s="187"/>
      <c r="X550" s="69"/>
      <c r="Y550" s="69"/>
    </row>
    <row r="551" spans="1:25" ht="30" customHeight="1" x14ac:dyDescent="0.2">
      <c r="B551" s="1644"/>
      <c r="C551" s="1792" t="s">
        <v>439</v>
      </c>
      <c r="D551" s="1792"/>
      <c r="E551" s="1792"/>
      <c r="F551" s="1792"/>
      <c r="G551" s="1792"/>
      <c r="H551" s="1792"/>
      <c r="I551" s="409">
        <v>50</v>
      </c>
      <c r="J551" s="42">
        <v>1</v>
      </c>
      <c r="K551" s="226" t="s">
        <v>413</v>
      </c>
      <c r="L551" s="183">
        <v>16</v>
      </c>
      <c r="O551" s="183">
        <v>16</v>
      </c>
      <c r="U551" s="70"/>
      <c r="V551" s="70"/>
      <c r="W551" s="187"/>
      <c r="X551" s="69"/>
      <c r="Y551" s="69"/>
    </row>
    <row r="552" spans="1:25" ht="30" customHeight="1" x14ac:dyDescent="0.2">
      <c r="B552" s="1783" t="s">
        <v>440</v>
      </c>
      <c r="C552" s="1635" t="s">
        <v>438</v>
      </c>
      <c r="D552" s="1636"/>
      <c r="E552" s="1636"/>
      <c r="F552" s="1636"/>
      <c r="G552" s="1636"/>
      <c r="H552" s="1637"/>
      <c r="I552" s="409">
        <v>100</v>
      </c>
      <c r="J552" s="42">
        <v>1</v>
      </c>
      <c r="K552" s="226" t="s">
        <v>413</v>
      </c>
      <c r="L552" s="183">
        <v>16</v>
      </c>
      <c r="N552" s="182" t="s">
        <v>30</v>
      </c>
      <c r="O552" s="183">
        <v>16</v>
      </c>
      <c r="U552" s="70"/>
      <c r="V552" s="70"/>
      <c r="W552" s="187"/>
      <c r="X552" s="69"/>
      <c r="Y552" s="69"/>
    </row>
    <row r="553" spans="1:25" ht="30" customHeight="1" x14ac:dyDescent="0.2">
      <c r="B553" s="1785"/>
      <c r="C553" s="1635" t="s">
        <v>439</v>
      </c>
      <c r="D553" s="1636"/>
      <c r="E553" s="1636"/>
      <c r="F553" s="1636"/>
      <c r="G553" s="1636"/>
      <c r="H553" s="1637"/>
      <c r="I553" s="409">
        <v>75</v>
      </c>
      <c r="J553" s="42">
        <v>1</v>
      </c>
      <c r="K553" s="226" t="s">
        <v>413</v>
      </c>
      <c r="L553" s="183">
        <v>16</v>
      </c>
      <c r="O553" s="183">
        <v>16</v>
      </c>
      <c r="U553" s="70"/>
      <c r="V553" s="70"/>
      <c r="W553" s="187"/>
      <c r="X553" s="69"/>
      <c r="Y553" s="69"/>
    </row>
    <row r="554" spans="1:25" ht="45" customHeight="1" x14ac:dyDescent="0.2">
      <c r="B554" s="1635" t="s">
        <v>445</v>
      </c>
      <c r="C554" s="1636"/>
      <c r="D554" s="1636"/>
      <c r="E554" s="1636"/>
      <c r="F554" s="1636"/>
      <c r="G554" s="1636"/>
      <c r="H554" s="1636"/>
      <c r="I554" s="1636"/>
      <c r="J554" s="1637"/>
      <c r="K554" s="226" t="s">
        <v>413</v>
      </c>
      <c r="L554" s="183">
        <v>16</v>
      </c>
      <c r="O554" s="183">
        <v>16</v>
      </c>
      <c r="U554" s="70"/>
      <c r="V554" s="70"/>
      <c r="W554" s="187"/>
      <c r="X554" s="69"/>
      <c r="Y554" s="69"/>
    </row>
    <row r="555" spans="1:25" ht="20.100000000000001" customHeight="1" x14ac:dyDescent="0.2">
      <c r="B555" s="648"/>
      <c r="C555" s="648"/>
      <c r="D555" s="648"/>
      <c r="E555" s="648"/>
      <c r="F555" s="648"/>
      <c r="G555" s="648"/>
      <c r="H555" s="593"/>
      <c r="I555" s="700"/>
      <c r="N555" s="149"/>
    </row>
    <row r="556" spans="1:25" ht="30" customHeight="1" x14ac:dyDescent="0.2">
      <c r="A556" s="45"/>
      <c r="B556" s="1662" t="s">
        <v>446</v>
      </c>
      <c r="C556" s="1663"/>
      <c r="D556" s="1663"/>
      <c r="E556" s="1663"/>
      <c r="F556" s="1663"/>
      <c r="G556" s="1663"/>
      <c r="H556" s="1664"/>
      <c r="I556" s="406" t="s">
        <v>17</v>
      </c>
      <c r="J556" s="35" t="s">
        <v>18</v>
      </c>
      <c r="K556" s="226" t="s">
        <v>447</v>
      </c>
      <c r="L556" s="183">
        <v>17</v>
      </c>
      <c r="N556" s="182" t="s">
        <v>30</v>
      </c>
      <c r="O556" s="183">
        <v>17</v>
      </c>
    </row>
    <row r="557" spans="1:25" ht="30" customHeight="1" x14ac:dyDescent="0.2">
      <c r="A557" s="45"/>
      <c r="B557" s="1725" t="s">
        <v>448</v>
      </c>
      <c r="C557" s="1726"/>
      <c r="D557" s="1726"/>
      <c r="E557" s="1726"/>
      <c r="F557" s="1726"/>
      <c r="G557" s="1726"/>
      <c r="H557" s="1726"/>
      <c r="I557" s="1726"/>
      <c r="J557" s="1727"/>
      <c r="K557" s="226" t="s">
        <v>447</v>
      </c>
      <c r="L557" s="183">
        <v>17</v>
      </c>
      <c r="O557" s="183">
        <v>17</v>
      </c>
    </row>
    <row r="558" spans="1:25" ht="39.950000000000003" customHeight="1" x14ac:dyDescent="0.2">
      <c r="A558" s="45"/>
      <c r="B558" s="538" t="s">
        <v>449</v>
      </c>
      <c r="C558" s="1169" t="s">
        <v>450</v>
      </c>
      <c r="D558" s="1170"/>
      <c r="E558" s="1170"/>
      <c r="F558" s="1170"/>
      <c r="G558" s="1170"/>
      <c r="H558" s="1171"/>
      <c r="I558" s="409">
        <v>0</v>
      </c>
      <c r="J558" s="42">
        <v>1</v>
      </c>
      <c r="K558" s="226" t="s">
        <v>447</v>
      </c>
      <c r="L558" s="183">
        <v>17</v>
      </c>
      <c r="O558" s="183">
        <v>17</v>
      </c>
    </row>
    <row r="559" spans="1:25" ht="39.950000000000003" customHeight="1" x14ac:dyDescent="0.2">
      <c r="A559" s="45"/>
      <c r="B559" s="538" t="s">
        <v>451</v>
      </c>
      <c r="C559" s="1635" t="s">
        <v>887</v>
      </c>
      <c r="D559" s="1636"/>
      <c r="E559" s="1636"/>
      <c r="F559" s="1636"/>
      <c r="G559" s="1636"/>
      <c r="H559" s="1637"/>
      <c r="I559" s="409">
        <v>0</v>
      </c>
      <c r="J559" s="42">
        <v>1</v>
      </c>
      <c r="K559" s="226" t="s">
        <v>447</v>
      </c>
      <c r="L559" s="183">
        <v>17</v>
      </c>
      <c r="O559" s="183">
        <v>17</v>
      </c>
    </row>
    <row r="560" spans="1:25" ht="20.100000000000001" customHeight="1" x14ac:dyDescent="0.2">
      <c r="A560" s="45"/>
      <c r="B560" s="591"/>
      <c r="C560" s="648"/>
      <c r="D560" s="648"/>
      <c r="E560" s="648"/>
      <c r="F560" s="648"/>
      <c r="G560" s="648"/>
      <c r="H560" s="648"/>
      <c r="I560" s="593"/>
      <c r="J560" s="65"/>
    </row>
    <row r="561" spans="1:25" ht="30" customHeight="1" x14ac:dyDescent="0.2">
      <c r="A561" s="45"/>
      <c r="B561" s="1662" t="s">
        <v>453</v>
      </c>
      <c r="C561" s="1663"/>
      <c r="D561" s="1663"/>
      <c r="E561" s="1663"/>
      <c r="F561" s="1663"/>
      <c r="G561" s="1663"/>
      <c r="H561" s="1664"/>
      <c r="I561" s="406" t="s">
        <v>17</v>
      </c>
      <c r="J561" s="35" t="s">
        <v>18</v>
      </c>
      <c r="K561" s="237" t="s">
        <v>454</v>
      </c>
      <c r="L561" s="238">
        <v>18</v>
      </c>
      <c r="N561" s="182" t="s">
        <v>30</v>
      </c>
      <c r="O561" s="238">
        <v>18</v>
      </c>
    </row>
    <row r="562" spans="1:25" ht="30" customHeight="1" x14ac:dyDescent="0.2">
      <c r="A562" s="45"/>
      <c r="B562" s="1635" t="s">
        <v>455</v>
      </c>
      <c r="C562" s="1781"/>
      <c r="D562" s="1781"/>
      <c r="E562" s="1781"/>
      <c r="F562" s="1781"/>
      <c r="G562" s="1781"/>
      <c r="H562" s="1781"/>
      <c r="I562" s="1781"/>
      <c r="J562" s="1782"/>
      <c r="K562" s="237" t="s">
        <v>454</v>
      </c>
      <c r="L562" s="238">
        <v>18</v>
      </c>
      <c r="O562" s="238">
        <v>18</v>
      </c>
    </row>
    <row r="563" spans="1:25" ht="30" customHeight="1" x14ac:dyDescent="0.2">
      <c r="B563" s="1783" t="s">
        <v>456</v>
      </c>
      <c r="C563" s="542" t="s">
        <v>458</v>
      </c>
      <c r="D563" s="235"/>
      <c r="E563" s="235" t="s">
        <v>92</v>
      </c>
      <c r="F563" s="235"/>
      <c r="G563" s="1786" t="s">
        <v>457</v>
      </c>
      <c r="H563" s="1787"/>
      <c r="I563" s="1698">
        <v>0</v>
      </c>
      <c r="J563" s="915">
        <v>1</v>
      </c>
      <c r="K563" s="237" t="s">
        <v>454</v>
      </c>
      <c r="L563" s="238">
        <v>18</v>
      </c>
      <c r="O563" s="238">
        <v>18</v>
      </c>
      <c r="U563" s="70"/>
      <c r="W563" s="239"/>
      <c r="X563" s="694"/>
      <c r="Y563" s="69"/>
    </row>
    <row r="564" spans="1:25" ht="30" customHeight="1" x14ac:dyDescent="0.2">
      <c r="B564" s="1784"/>
      <c r="C564" s="1774" t="s">
        <v>459</v>
      </c>
      <c r="D564" s="1775"/>
      <c r="E564" s="1779" t="s">
        <v>27</v>
      </c>
      <c r="F564" s="1779"/>
      <c r="G564" s="1775" t="s">
        <v>460</v>
      </c>
      <c r="H564" s="1776"/>
      <c r="I564" s="1699"/>
      <c r="J564" s="1045"/>
      <c r="K564" s="237" t="s">
        <v>454</v>
      </c>
      <c r="L564" s="238">
        <v>18</v>
      </c>
      <c r="O564" s="238">
        <v>18</v>
      </c>
      <c r="U564" s="70"/>
      <c r="V564" s="701"/>
      <c r="W564" s="239"/>
      <c r="X564" s="694"/>
      <c r="Y564" s="69"/>
    </row>
    <row r="565" spans="1:25" ht="30" customHeight="1" x14ac:dyDescent="0.2">
      <c r="A565" s="45"/>
      <c r="B565" s="1784"/>
      <c r="C565" s="1778" t="s">
        <v>72</v>
      </c>
      <c r="D565" s="1779"/>
      <c r="E565" s="1775" t="s">
        <v>461</v>
      </c>
      <c r="F565" s="1775"/>
      <c r="G565" s="1775" t="s">
        <v>462</v>
      </c>
      <c r="H565" s="1776"/>
      <c r="I565" s="1699"/>
      <c r="J565" s="1045"/>
      <c r="K565" s="237" t="s">
        <v>454</v>
      </c>
      <c r="L565" s="238">
        <v>18</v>
      </c>
      <c r="O565" s="238">
        <v>18</v>
      </c>
      <c r="U565" s="70"/>
      <c r="V565" s="1780"/>
      <c r="W565" s="702"/>
      <c r="X565" s="703"/>
      <c r="Y565" s="69"/>
    </row>
    <row r="566" spans="1:25" ht="30" customHeight="1" x14ac:dyDescent="0.2">
      <c r="A566" s="45"/>
      <c r="B566" s="1784"/>
      <c r="C566" s="1778" t="s">
        <v>323</v>
      </c>
      <c r="D566" s="1779"/>
      <c r="E566" s="1775" t="s">
        <v>88</v>
      </c>
      <c r="F566" s="1775"/>
      <c r="G566" s="1775" t="s">
        <v>80</v>
      </c>
      <c r="H566" s="1776"/>
      <c r="I566" s="1699"/>
      <c r="J566" s="1045"/>
      <c r="K566" s="237" t="s">
        <v>454</v>
      </c>
      <c r="L566" s="238">
        <v>18</v>
      </c>
      <c r="O566" s="238">
        <v>18</v>
      </c>
      <c r="U566" s="70"/>
      <c r="V566" s="1780"/>
      <c r="W566" s="239"/>
      <c r="X566" s="243"/>
      <c r="Y566" s="69"/>
    </row>
    <row r="567" spans="1:25" ht="30" customHeight="1" x14ac:dyDescent="0.2">
      <c r="A567" s="45"/>
      <c r="B567" s="1784"/>
      <c r="C567" s="1774" t="s">
        <v>663</v>
      </c>
      <c r="D567" s="1775"/>
      <c r="E567" s="45" t="s">
        <v>587</v>
      </c>
      <c r="F567" s="543"/>
      <c r="G567" s="1775" t="s">
        <v>662</v>
      </c>
      <c r="H567" s="1776"/>
      <c r="I567" s="1699"/>
      <c r="J567" s="1045"/>
      <c r="K567" s="237" t="s">
        <v>454</v>
      </c>
      <c r="L567" s="238">
        <v>18</v>
      </c>
      <c r="O567" s="238">
        <v>18</v>
      </c>
      <c r="U567" s="70"/>
      <c r="V567" s="701"/>
      <c r="W567" s="239"/>
      <c r="X567" s="243"/>
      <c r="Y567" s="69"/>
    </row>
    <row r="568" spans="1:25" ht="30" customHeight="1" x14ac:dyDescent="0.2">
      <c r="A568" s="45"/>
      <c r="B568" s="1784"/>
      <c r="C568" s="1774" t="s">
        <v>593</v>
      </c>
      <c r="D568" s="1775"/>
      <c r="E568" s="1283" t="s">
        <v>592</v>
      </c>
      <c r="F568" s="1283"/>
      <c r="G568" s="644"/>
      <c r="H568" s="646"/>
      <c r="I568" s="1700"/>
      <c r="J568" s="916"/>
      <c r="K568" s="237" t="s">
        <v>454</v>
      </c>
      <c r="L568" s="238">
        <v>18</v>
      </c>
      <c r="O568" s="238"/>
      <c r="U568" s="70"/>
      <c r="V568" s="701"/>
      <c r="W568" s="239"/>
      <c r="X568" s="243"/>
      <c r="Y568" s="69"/>
    </row>
    <row r="569" spans="1:25" s="66" customFormat="1" ht="39.950000000000003" customHeight="1" x14ac:dyDescent="0.2">
      <c r="A569" s="45"/>
      <c r="B569" s="60" t="s">
        <v>463</v>
      </c>
      <c r="C569" s="901" t="s">
        <v>464</v>
      </c>
      <c r="D569" s="902"/>
      <c r="E569" s="902"/>
      <c r="F569" s="902"/>
      <c r="G569" s="902"/>
      <c r="H569" s="903"/>
      <c r="I569" s="175">
        <v>0</v>
      </c>
      <c r="J569" s="42">
        <v>1</v>
      </c>
      <c r="K569" s="237" t="s">
        <v>454</v>
      </c>
      <c r="L569" s="238">
        <v>18</v>
      </c>
      <c r="M569" s="67"/>
      <c r="O569" s="238">
        <v>18</v>
      </c>
    </row>
    <row r="570" spans="1:25" ht="20.100000000000001" customHeight="1" x14ac:dyDescent="0.2">
      <c r="A570" s="45"/>
      <c r="B570" s="591"/>
      <c r="C570" s="648"/>
      <c r="D570" s="648"/>
      <c r="E570" s="648"/>
      <c r="F570" s="648"/>
      <c r="G570" s="648"/>
      <c r="H570" s="648"/>
      <c r="I570" s="593"/>
      <c r="J570" s="65"/>
    </row>
    <row r="571" spans="1:25" ht="30" customHeight="1" x14ac:dyDescent="0.2">
      <c r="A571" s="45"/>
      <c r="B571" s="1355" t="s">
        <v>505</v>
      </c>
      <c r="C571" s="1673"/>
      <c r="D571" s="1673"/>
      <c r="E571" s="1673"/>
      <c r="F571" s="1673"/>
      <c r="G571" s="1673"/>
      <c r="H571" s="1673"/>
      <c r="I571" s="679" t="s">
        <v>466</v>
      </c>
      <c r="J571" s="704" t="s">
        <v>18</v>
      </c>
      <c r="K571" s="226" t="s">
        <v>506</v>
      </c>
      <c r="L571" s="183">
        <v>47</v>
      </c>
      <c r="M571" s="181"/>
      <c r="N571" s="182" t="s">
        <v>30</v>
      </c>
      <c r="O571" s="183">
        <v>47</v>
      </c>
    </row>
    <row r="572" spans="1:25" ht="39.950000000000003" customHeight="1" x14ac:dyDescent="0.2">
      <c r="A572" s="45"/>
      <c r="B572" s="1105" t="s">
        <v>507</v>
      </c>
      <c r="C572" s="1106"/>
      <c r="D572" s="1106"/>
      <c r="E572" s="1106"/>
      <c r="F572" s="1106"/>
      <c r="G572" s="1106"/>
      <c r="H572" s="1106"/>
      <c r="I572" s="1106"/>
      <c r="J572" s="1107"/>
      <c r="K572" s="226" t="s">
        <v>506</v>
      </c>
      <c r="L572" s="183">
        <v>47</v>
      </c>
      <c r="M572" s="181"/>
      <c r="O572" s="183">
        <v>47</v>
      </c>
    </row>
    <row r="573" spans="1:25" ht="52.5" customHeight="1" x14ac:dyDescent="0.2">
      <c r="A573" s="45"/>
      <c r="B573" s="1756" t="s">
        <v>508</v>
      </c>
      <c r="C573" s="1757"/>
      <c r="D573" s="1757"/>
      <c r="E573" s="1757"/>
      <c r="F573" s="1757"/>
      <c r="G573" s="1757"/>
      <c r="H573" s="1757"/>
      <c r="I573" s="1758"/>
      <c r="J573" s="1759"/>
      <c r="K573" s="226" t="s">
        <v>506</v>
      </c>
      <c r="L573" s="183">
        <v>47</v>
      </c>
      <c r="M573" s="181"/>
      <c r="O573" s="183">
        <v>47</v>
      </c>
    </row>
    <row r="574" spans="1:25" ht="30" customHeight="1" x14ac:dyDescent="0.2">
      <c r="A574" s="45"/>
      <c r="B574" s="1760" t="s">
        <v>395</v>
      </c>
      <c r="C574" s="932" t="s">
        <v>133</v>
      </c>
      <c r="D574" s="933"/>
      <c r="E574" s="933" t="s">
        <v>135</v>
      </c>
      <c r="F574" s="933"/>
      <c r="G574" s="1763" t="s">
        <v>915</v>
      </c>
      <c r="H574" s="1764"/>
      <c r="I574" s="1765">
        <v>35</v>
      </c>
      <c r="J574" s="1768">
        <v>1</v>
      </c>
      <c r="K574" s="226" t="s">
        <v>506</v>
      </c>
      <c r="L574" s="183">
        <v>47</v>
      </c>
      <c r="M574" s="181"/>
      <c r="O574" s="183">
        <v>47</v>
      </c>
    </row>
    <row r="575" spans="1:25" ht="30" customHeight="1" x14ac:dyDescent="0.2">
      <c r="A575" s="45"/>
      <c r="B575" s="1761"/>
      <c r="C575" s="1771" t="s">
        <v>82</v>
      </c>
      <c r="D575" s="1772"/>
      <c r="E575" s="1748" t="s">
        <v>92</v>
      </c>
      <c r="F575" s="1748"/>
      <c r="G575" s="1755" t="s">
        <v>29</v>
      </c>
      <c r="H575" s="1773"/>
      <c r="I575" s="1766"/>
      <c r="J575" s="1769"/>
      <c r="K575" s="226" t="s">
        <v>506</v>
      </c>
      <c r="L575" s="183">
        <v>47</v>
      </c>
      <c r="M575" s="181"/>
      <c r="O575" s="183">
        <v>47</v>
      </c>
    </row>
    <row r="576" spans="1:25" ht="30" customHeight="1" x14ac:dyDescent="0.2">
      <c r="A576" s="45"/>
      <c r="B576" s="1762"/>
      <c r="C576" s="1752" t="s">
        <v>81</v>
      </c>
      <c r="D576" s="1750"/>
      <c r="E576" s="1750" t="s">
        <v>32</v>
      </c>
      <c r="F576" s="1750"/>
      <c r="G576" s="705"/>
      <c r="H576" s="706"/>
      <c r="I576" s="1767"/>
      <c r="J576" s="1770"/>
      <c r="K576" s="226" t="s">
        <v>506</v>
      </c>
      <c r="L576" s="183">
        <v>47</v>
      </c>
      <c r="M576" s="181"/>
      <c r="O576" s="183">
        <v>47</v>
      </c>
    </row>
    <row r="577" spans="1:31" ht="30" customHeight="1" x14ac:dyDescent="0.2">
      <c r="A577" s="45"/>
      <c r="B577" s="1164" t="s">
        <v>396</v>
      </c>
      <c r="C577" s="1754" t="s">
        <v>378</v>
      </c>
      <c r="D577" s="1755"/>
      <c r="E577" s="1748" t="s">
        <v>42</v>
      </c>
      <c r="F577" s="1748"/>
      <c r="G577" s="1748" t="s">
        <v>63</v>
      </c>
      <c r="H577" s="1749"/>
      <c r="I577" s="959">
        <v>35</v>
      </c>
      <c r="J577" s="1744">
        <v>1</v>
      </c>
      <c r="K577" s="226" t="s">
        <v>506</v>
      </c>
      <c r="L577" s="183">
        <v>47</v>
      </c>
      <c r="M577" s="181"/>
      <c r="O577" s="183">
        <v>47</v>
      </c>
    </row>
    <row r="578" spans="1:31" ht="30" customHeight="1" x14ac:dyDescent="0.2">
      <c r="A578" s="45"/>
      <c r="B578" s="1753"/>
      <c r="C578" s="1747" t="s">
        <v>379</v>
      </c>
      <c r="D578" s="1748"/>
      <c r="E578" s="1748" t="s">
        <v>380</v>
      </c>
      <c r="F578" s="1748"/>
      <c r="G578" s="1748" t="s">
        <v>56</v>
      </c>
      <c r="H578" s="1749"/>
      <c r="I578" s="960"/>
      <c r="J578" s="1745"/>
      <c r="K578" s="226" t="s">
        <v>506</v>
      </c>
      <c r="L578" s="183">
        <v>47</v>
      </c>
      <c r="M578" s="181"/>
      <c r="O578" s="183">
        <v>47</v>
      </c>
    </row>
    <row r="579" spans="1:31" ht="30" customHeight="1" x14ac:dyDescent="0.2">
      <c r="A579" s="45"/>
      <c r="B579" s="1165"/>
      <c r="C579" s="917" t="s">
        <v>43</v>
      </c>
      <c r="D579" s="918"/>
      <c r="E579" s="1750" t="s">
        <v>381</v>
      </c>
      <c r="F579" s="1750"/>
      <c r="G579" s="1750" t="s">
        <v>287</v>
      </c>
      <c r="H579" s="1751"/>
      <c r="I579" s="961"/>
      <c r="J579" s="1746"/>
      <c r="K579" s="226" t="s">
        <v>506</v>
      </c>
      <c r="L579" s="183">
        <v>47</v>
      </c>
      <c r="M579" s="181"/>
      <c r="O579" s="183">
        <v>47</v>
      </c>
    </row>
    <row r="580" spans="1:31" ht="30" customHeight="1" x14ac:dyDescent="0.2">
      <c r="A580" s="45"/>
      <c r="B580" s="1736" t="s">
        <v>509</v>
      </c>
      <c r="C580" s="1737"/>
      <c r="D580" s="1737"/>
      <c r="E580" s="1737"/>
      <c r="F580" s="1737"/>
      <c r="G580" s="1737"/>
      <c r="H580" s="1737"/>
      <c r="I580" s="1737"/>
      <c r="J580" s="1738"/>
      <c r="K580" s="226" t="s">
        <v>506</v>
      </c>
      <c r="L580" s="183">
        <v>47</v>
      </c>
      <c r="M580" s="181"/>
      <c r="N580" s="182" t="s">
        <v>30</v>
      </c>
      <c r="O580" s="183">
        <v>47</v>
      </c>
    </row>
    <row r="581" spans="1:31" ht="30" customHeight="1" x14ac:dyDescent="0.2">
      <c r="A581" s="45"/>
      <c r="B581" s="1161" t="s">
        <v>510</v>
      </c>
      <c r="C581" s="1162"/>
      <c r="D581" s="1162"/>
      <c r="E581" s="1162"/>
      <c r="F581" s="1162"/>
      <c r="G581" s="1162"/>
      <c r="H581" s="1162"/>
      <c r="I581" s="1162"/>
      <c r="J581" s="1163"/>
      <c r="K581" s="226" t="s">
        <v>506</v>
      </c>
      <c r="L581" s="183">
        <v>47</v>
      </c>
      <c r="M581" s="181"/>
      <c r="O581" s="183">
        <v>47</v>
      </c>
    </row>
    <row r="582" spans="1:31" ht="30" customHeight="1" x14ac:dyDescent="0.2">
      <c r="A582" s="45"/>
      <c r="B582" s="707" t="s">
        <v>373</v>
      </c>
      <c r="C582" s="1728" t="s">
        <v>32</v>
      </c>
      <c r="D582" s="1729"/>
      <c r="E582" s="1729" t="s">
        <v>29</v>
      </c>
      <c r="F582" s="1729"/>
      <c r="G582" s="1729"/>
      <c r="H582" s="1730"/>
      <c r="I582" s="708">
        <v>200</v>
      </c>
      <c r="J582" s="709">
        <v>0.8</v>
      </c>
      <c r="K582" s="226" t="s">
        <v>506</v>
      </c>
      <c r="L582" s="183">
        <v>47</v>
      </c>
      <c r="M582" s="181"/>
      <c r="O582" s="183">
        <v>47</v>
      </c>
    </row>
    <row r="583" spans="1:31" ht="30" customHeight="1" x14ac:dyDescent="0.2">
      <c r="A583" s="45"/>
      <c r="B583" s="930" t="s">
        <v>375</v>
      </c>
      <c r="C583" s="932" t="s">
        <v>82</v>
      </c>
      <c r="D583" s="933"/>
      <c r="E583" s="933" t="s">
        <v>92</v>
      </c>
      <c r="F583" s="933"/>
      <c r="G583" s="933" t="s">
        <v>81</v>
      </c>
      <c r="H583" s="934"/>
      <c r="I583" s="1742">
        <v>300</v>
      </c>
      <c r="J583" s="1723">
        <v>0.8</v>
      </c>
      <c r="K583" s="226" t="s">
        <v>506</v>
      </c>
      <c r="L583" s="183">
        <v>47</v>
      </c>
      <c r="M583" s="181"/>
      <c r="O583" s="183">
        <v>47</v>
      </c>
    </row>
    <row r="584" spans="1:31" ht="39.950000000000003" customHeight="1" x14ac:dyDescent="0.2">
      <c r="A584" s="45"/>
      <c r="B584" s="931"/>
      <c r="C584" s="917" t="s">
        <v>511</v>
      </c>
      <c r="D584" s="918"/>
      <c r="E584" s="82" t="s">
        <v>376</v>
      </c>
      <c r="F584" s="82"/>
      <c r="G584" s="82"/>
      <c r="H584" s="83"/>
      <c r="I584" s="1743"/>
      <c r="J584" s="1724"/>
      <c r="K584" s="226" t="s">
        <v>506</v>
      </c>
      <c r="L584" s="183">
        <v>47</v>
      </c>
      <c r="M584" s="181"/>
      <c r="O584" s="183">
        <v>47</v>
      </c>
    </row>
    <row r="585" spans="1:31" ht="30" customHeight="1" x14ac:dyDescent="0.2">
      <c r="A585" s="45"/>
      <c r="B585" s="710" t="s">
        <v>512</v>
      </c>
      <c r="C585" s="923" t="s">
        <v>383</v>
      </c>
      <c r="D585" s="923"/>
      <c r="E585" s="923"/>
      <c r="F585" s="923"/>
      <c r="G585" s="923"/>
      <c r="H585" s="923"/>
      <c r="I585" s="711">
        <v>400</v>
      </c>
      <c r="J585" s="712">
        <v>0.8</v>
      </c>
      <c r="K585" s="226" t="s">
        <v>506</v>
      </c>
      <c r="L585" s="183">
        <v>47</v>
      </c>
      <c r="M585" s="181"/>
      <c r="O585" s="183">
        <v>47</v>
      </c>
    </row>
    <row r="586" spans="1:31" s="547" customFormat="1" ht="30" customHeight="1" x14ac:dyDescent="0.2">
      <c r="A586" s="45"/>
      <c r="B586" s="710" t="s">
        <v>650</v>
      </c>
      <c r="C586" s="919" t="s">
        <v>651</v>
      </c>
      <c r="D586" s="919"/>
      <c r="E586" s="919"/>
      <c r="F586" s="919"/>
      <c r="G586" s="919"/>
      <c r="H586" s="919"/>
      <c r="I586" s="713">
        <v>400</v>
      </c>
      <c r="J586" s="714">
        <v>0.5</v>
      </c>
      <c r="K586" s="226" t="s">
        <v>506</v>
      </c>
      <c r="L586" s="183">
        <v>47</v>
      </c>
      <c r="M586" s="181"/>
      <c r="N586" s="67"/>
      <c r="O586" s="183">
        <v>47</v>
      </c>
      <c r="P586" s="66"/>
      <c r="Q586" s="45"/>
      <c r="R586" s="45"/>
      <c r="S586" s="45"/>
      <c r="T586" s="45"/>
      <c r="U586" s="45"/>
      <c r="V586" s="45"/>
      <c r="W586" s="45"/>
      <c r="X586" s="45"/>
      <c r="Y586" s="45"/>
      <c r="Z586" s="45"/>
      <c r="AA586" s="45"/>
      <c r="AB586" s="45"/>
      <c r="AC586" s="45"/>
      <c r="AD586" s="45"/>
      <c r="AE586" s="45"/>
    </row>
    <row r="587" spans="1:31" s="547" customFormat="1" ht="30" customHeight="1" x14ac:dyDescent="0.2">
      <c r="A587" s="45"/>
      <c r="B587" s="710" t="s">
        <v>782</v>
      </c>
      <c r="C587" s="919" t="s">
        <v>651</v>
      </c>
      <c r="D587" s="919"/>
      <c r="E587" s="919"/>
      <c r="F587" s="919"/>
      <c r="G587" s="919"/>
      <c r="H587" s="919"/>
      <c r="I587" s="715">
        <v>600</v>
      </c>
      <c r="J587" s="716">
        <v>0.5</v>
      </c>
      <c r="K587" s="226" t="s">
        <v>506</v>
      </c>
      <c r="L587" s="183">
        <v>47</v>
      </c>
      <c r="M587" s="181"/>
      <c r="N587" s="67"/>
      <c r="O587" s="183">
        <v>47</v>
      </c>
      <c r="P587" s="66"/>
      <c r="Q587" s="45"/>
      <c r="R587" s="45"/>
      <c r="S587" s="45"/>
      <c r="T587" s="45"/>
      <c r="U587" s="45"/>
      <c r="V587" s="45"/>
      <c r="W587" s="45"/>
      <c r="X587" s="45"/>
      <c r="Y587" s="45"/>
      <c r="Z587" s="45"/>
      <c r="AA587" s="45"/>
      <c r="AB587" s="45"/>
      <c r="AC587" s="45"/>
      <c r="AD587" s="45"/>
      <c r="AE587" s="45"/>
    </row>
    <row r="588" spans="1:31" s="547" customFormat="1" ht="30" customHeight="1" x14ac:dyDescent="0.2">
      <c r="A588" s="45"/>
      <c r="B588" s="710" t="s">
        <v>396</v>
      </c>
      <c r="C588" s="919" t="s">
        <v>514</v>
      </c>
      <c r="D588" s="919"/>
      <c r="E588" s="919"/>
      <c r="F588" s="919"/>
      <c r="G588" s="919"/>
      <c r="H588" s="919"/>
      <c r="I588" s="711">
        <v>300</v>
      </c>
      <c r="J588" s="712">
        <v>0.8</v>
      </c>
      <c r="K588" s="226" t="s">
        <v>506</v>
      </c>
      <c r="L588" s="183">
        <v>47</v>
      </c>
      <c r="M588" s="181"/>
      <c r="N588" s="67"/>
      <c r="O588" s="183">
        <v>47</v>
      </c>
      <c r="P588" s="66"/>
      <c r="Q588" s="45"/>
      <c r="R588" s="45"/>
      <c r="S588" s="45"/>
      <c r="T588" s="45"/>
      <c r="U588" s="45"/>
      <c r="V588" s="45"/>
      <c r="W588" s="45"/>
      <c r="X588" s="45"/>
      <c r="Y588" s="45"/>
      <c r="Z588" s="45"/>
      <c r="AA588" s="45"/>
      <c r="AB588" s="45"/>
      <c r="AC588" s="45"/>
      <c r="AD588" s="45"/>
      <c r="AE588" s="45"/>
    </row>
    <row r="589" spans="1:31" s="547" customFormat="1" ht="30" customHeight="1" x14ac:dyDescent="0.2">
      <c r="A589" s="45"/>
      <c r="B589" s="1731" t="s">
        <v>515</v>
      </c>
      <c r="C589" s="1732"/>
      <c r="D589" s="1732"/>
      <c r="E589" s="1732"/>
      <c r="F589" s="1732"/>
      <c r="G589" s="1732"/>
      <c r="H589" s="1732"/>
      <c r="I589" s="1732"/>
      <c r="J589" s="1733"/>
      <c r="K589" s="226" t="s">
        <v>506</v>
      </c>
      <c r="L589" s="183">
        <v>47</v>
      </c>
      <c r="M589" s="181"/>
      <c r="N589" s="182" t="s">
        <v>30</v>
      </c>
      <c r="O589" s="183">
        <v>47</v>
      </c>
      <c r="P589" s="66"/>
      <c r="Q589" s="45"/>
      <c r="R589" s="45"/>
      <c r="S589" s="45"/>
      <c r="T589" s="45"/>
      <c r="U589" s="45"/>
      <c r="V589" s="45"/>
      <c r="W589" s="45"/>
      <c r="X589" s="45"/>
      <c r="Y589" s="45"/>
      <c r="Z589" s="45"/>
      <c r="AA589" s="45"/>
      <c r="AB589" s="45"/>
      <c r="AC589" s="45"/>
      <c r="AD589" s="45"/>
      <c r="AE589" s="45"/>
    </row>
    <row r="590" spans="1:31" s="547" customFormat="1" ht="30" customHeight="1" x14ac:dyDescent="0.2">
      <c r="A590" s="45"/>
      <c r="B590" s="707" t="s">
        <v>373</v>
      </c>
      <c r="C590" s="1728" t="s">
        <v>32</v>
      </c>
      <c r="D590" s="1729"/>
      <c r="E590" s="1729" t="s">
        <v>29</v>
      </c>
      <c r="F590" s="1729"/>
      <c r="G590" s="1729"/>
      <c r="H590" s="1730"/>
      <c r="I590" s="708">
        <v>400</v>
      </c>
      <c r="J590" s="709">
        <v>0.8</v>
      </c>
      <c r="K590" s="226" t="s">
        <v>506</v>
      </c>
      <c r="L590" s="183">
        <v>47</v>
      </c>
      <c r="M590" s="181"/>
      <c r="N590" s="67"/>
      <c r="O590" s="183">
        <v>47</v>
      </c>
      <c r="P590" s="66"/>
      <c r="Q590" s="45"/>
      <c r="R590" s="45"/>
      <c r="S590" s="45"/>
      <c r="T590" s="45"/>
      <c r="U590" s="45"/>
      <c r="V590" s="45"/>
      <c r="W590" s="45"/>
      <c r="X590" s="45"/>
      <c r="Y590" s="45"/>
      <c r="Z590" s="45"/>
      <c r="AA590" s="45"/>
      <c r="AB590" s="45"/>
      <c r="AC590" s="45"/>
      <c r="AD590" s="45"/>
      <c r="AE590" s="45"/>
    </row>
    <row r="591" spans="1:31" s="547" customFormat="1" ht="30" customHeight="1" x14ac:dyDescent="0.2">
      <c r="A591" s="45"/>
      <c r="B591" s="930" t="s">
        <v>375</v>
      </c>
      <c r="C591" s="932" t="s">
        <v>82</v>
      </c>
      <c r="D591" s="933"/>
      <c r="E591" s="933" t="s">
        <v>92</v>
      </c>
      <c r="F591" s="933"/>
      <c r="G591" s="933" t="s">
        <v>81</v>
      </c>
      <c r="H591" s="934"/>
      <c r="I591" s="1734">
        <v>450</v>
      </c>
      <c r="J591" s="1735">
        <v>0.75</v>
      </c>
      <c r="K591" s="226" t="s">
        <v>506</v>
      </c>
      <c r="L591" s="183">
        <v>47</v>
      </c>
      <c r="M591" s="181"/>
      <c r="N591" s="67"/>
      <c r="O591" s="183">
        <v>47</v>
      </c>
      <c r="P591" s="66"/>
      <c r="Q591" s="45"/>
      <c r="R591" s="45"/>
      <c r="S591" s="45"/>
      <c r="T591" s="45"/>
      <c r="U591" s="45"/>
      <c r="V591" s="45"/>
      <c r="W591" s="45"/>
      <c r="X591" s="45"/>
      <c r="Y591" s="45"/>
      <c r="Z591" s="45"/>
      <c r="AA591" s="45"/>
      <c r="AB591" s="45"/>
      <c r="AC591" s="45"/>
      <c r="AD591" s="45"/>
      <c r="AE591" s="45"/>
    </row>
    <row r="592" spans="1:31" s="547" customFormat="1" ht="30" customHeight="1" x14ac:dyDescent="0.2">
      <c r="A592" s="45"/>
      <c r="B592" s="931"/>
      <c r="C592" s="917" t="s">
        <v>511</v>
      </c>
      <c r="D592" s="918"/>
      <c r="E592" s="82" t="s">
        <v>376</v>
      </c>
      <c r="F592" s="82"/>
      <c r="G592" s="82"/>
      <c r="H592" s="83"/>
      <c r="I592" s="1734"/>
      <c r="J592" s="1735"/>
      <c r="K592" s="226" t="s">
        <v>506</v>
      </c>
      <c r="L592" s="183">
        <v>47</v>
      </c>
      <c r="M592" s="181"/>
      <c r="N592" s="67"/>
      <c r="O592" s="183">
        <v>47</v>
      </c>
      <c r="P592" s="66"/>
      <c r="Q592" s="45"/>
      <c r="R592" s="45"/>
      <c r="S592" s="45"/>
      <c r="T592" s="45"/>
      <c r="U592" s="45"/>
      <c r="V592" s="45"/>
      <c r="W592" s="45"/>
      <c r="X592" s="45"/>
      <c r="Y592" s="45"/>
      <c r="Z592" s="45"/>
      <c r="AA592" s="45"/>
      <c r="AB592" s="45"/>
      <c r="AC592" s="45"/>
      <c r="AD592" s="45"/>
      <c r="AE592" s="45"/>
    </row>
    <row r="593" spans="1:31" s="547" customFormat="1" ht="30" customHeight="1" x14ac:dyDescent="0.2">
      <c r="A593" s="45"/>
      <c r="B593" s="717" t="s">
        <v>396</v>
      </c>
      <c r="C593" s="919" t="s">
        <v>514</v>
      </c>
      <c r="D593" s="919"/>
      <c r="E593" s="919"/>
      <c r="F593" s="919"/>
      <c r="G593" s="919"/>
      <c r="H593" s="919"/>
      <c r="I593" s="718">
        <v>450</v>
      </c>
      <c r="J593" s="719">
        <v>0.75</v>
      </c>
      <c r="K593" s="226" t="s">
        <v>506</v>
      </c>
      <c r="L593" s="183">
        <v>47</v>
      </c>
      <c r="M593" s="181"/>
      <c r="N593" s="67"/>
      <c r="O593" s="183">
        <v>47</v>
      </c>
      <c r="P593" s="66"/>
      <c r="Q593" s="45"/>
      <c r="R593" s="45"/>
      <c r="S593" s="45"/>
      <c r="T593" s="45"/>
      <c r="U593" s="45"/>
      <c r="V593" s="45"/>
      <c r="W593" s="45"/>
      <c r="X593" s="45"/>
      <c r="Y593" s="45"/>
      <c r="Z593" s="45"/>
      <c r="AA593" s="45"/>
      <c r="AB593" s="45"/>
      <c r="AC593" s="45"/>
      <c r="AD593" s="45"/>
      <c r="AE593" s="45"/>
    </row>
    <row r="594" spans="1:31" s="547" customFormat="1" ht="30" customHeight="1" x14ac:dyDescent="0.2">
      <c r="A594" s="45"/>
      <c r="B594" s="1725" t="s">
        <v>516</v>
      </c>
      <c r="C594" s="1726"/>
      <c r="D594" s="1726"/>
      <c r="E594" s="1726"/>
      <c r="F594" s="1726"/>
      <c r="G594" s="1726"/>
      <c r="H594" s="1726"/>
      <c r="I594" s="1726"/>
      <c r="J594" s="1727"/>
      <c r="K594" s="226" t="s">
        <v>506</v>
      </c>
      <c r="L594" s="183">
        <v>47</v>
      </c>
      <c r="M594" s="181"/>
      <c r="N594" s="182" t="s">
        <v>30</v>
      </c>
      <c r="O594" s="183">
        <v>47</v>
      </c>
      <c r="P594" s="66"/>
      <c r="Q594" s="45"/>
      <c r="R594" s="45"/>
      <c r="S594" s="45"/>
      <c r="T594" s="45"/>
      <c r="U594" s="45"/>
      <c r="V594" s="45"/>
      <c r="W594" s="45"/>
      <c r="X594" s="45"/>
      <c r="Y594" s="45"/>
      <c r="Z594" s="45"/>
      <c r="AA594" s="45"/>
      <c r="AB594" s="45"/>
      <c r="AC594" s="45"/>
      <c r="AD594" s="45"/>
      <c r="AE594" s="45"/>
    </row>
    <row r="595" spans="1:31" s="547" customFormat="1" ht="30" customHeight="1" x14ac:dyDescent="0.2">
      <c r="A595" s="45"/>
      <c r="B595" s="707" t="s">
        <v>26</v>
      </c>
      <c r="C595" s="1728" t="s">
        <v>32</v>
      </c>
      <c r="D595" s="1729"/>
      <c r="E595" s="1729" t="s">
        <v>29</v>
      </c>
      <c r="F595" s="1729"/>
      <c r="G595" s="1729"/>
      <c r="H595" s="1730"/>
      <c r="I595" s="708">
        <v>400</v>
      </c>
      <c r="J595" s="709">
        <v>0.8</v>
      </c>
      <c r="K595" s="226" t="s">
        <v>506</v>
      </c>
      <c r="L595" s="183">
        <v>47</v>
      </c>
      <c r="M595" s="181"/>
      <c r="N595" s="67"/>
      <c r="O595" s="183">
        <v>47</v>
      </c>
      <c r="P595" s="66"/>
      <c r="Q595" s="45"/>
      <c r="R595" s="45"/>
      <c r="S595" s="45"/>
      <c r="T595" s="45"/>
      <c r="U595" s="45"/>
      <c r="V595" s="45"/>
      <c r="W595" s="45"/>
      <c r="X595" s="45"/>
      <c r="Y595" s="45"/>
      <c r="Z595" s="45"/>
      <c r="AA595" s="45"/>
      <c r="AB595" s="45"/>
      <c r="AC595" s="45"/>
      <c r="AD595" s="45"/>
      <c r="AE595" s="45"/>
    </row>
    <row r="596" spans="1:31" s="547" customFormat="1" ht="30" customHeight="1" x14ac:dyDescent="0.2">
      <c r="A596" s="45"/>
      <c r="B596" s="1720" t="s">
        <v>71</v>
      </c>
      <c r="C596" s="932" t="s">
        <v>82</v>
      </c>
      <c r="D596" s="933"/>
      <c r="E596" s="933" t="s">
        <v>92</v>
      </c>
      <c r="F596" s="933"/>
      <c r="G596" s="933" t="s">
        <v>81</v>
      </c>
      <c r="H596" s="934"/>
      <c r="I596" s="1722">
        <v>450</v>
      </c>
      <c r="J596" s="1723">
        <v>0.75</v>
      </c>
      <c r="K596" s="226" t="s">
        <v>506</v>
      </c>
      <c r="L596" s="183">
        <v>47</v>
      </c>
      <c r="M596" s="181"/>
      <c r="N596" s="67"/>
      <c r="O596" s="183">
        <v>47</v>
      </c>
      <c r="P596" s="66"/>
      <c r="Q596" s="45"/>
      <c r="R596" s="45"/>
      <c r="S596" s="45"/>
      <c r="T596" s="45"/>
      <c r="U596" s="45"/>
      <c r="V596" s="45"/>
      <c r="W596" s="45"/>
      <c r="X596" s="45"/>
      <c r="Y596" s="45"/>
      <c r="Z596" s="45"/>
      <c r="AA596" s="45"/>
      <c r="AB596" s="45"/>
      <c r="AC596" s="45"/>
      <c r="AD596" s="45"/>
      <c r="AE596" s="45"/>
    </row>
    <row r="597" spans="1:31" s="547" customFormat="1" ht="30" customHeight="1" x14ac:dyDescent="0.2">
      <c r="A597" s="45"/>
      <c r="B597" s="1721"/>
      <c r="C597" s="917" t="s">
        <v>511</v>
      </c>
      <c r="D597" s="918"/>
      <c r="E597" s="82" t="s">
        <v>376</v>
      </c>
      <c r="F597" s="82"/>
      <c r="G597" s="82"/>
      <c r="H597" s="83"/>
      <c r="I597" s="1722"/>
      <c r="J597" s="1724"/>
      <c r="K597" s="226" t="s">
        <v>506</v>
      </c>
      <c r="L597" s="183">
        <v>47</v>
      </c>
      <c r="M597" s="181"/>
      <c r="N597" s="67"/>
      <c r="O597" s="183">
        <v>47</v>
      </c>
      <c r="P597" s="66"/>
      <c r="Q597" s="45"/>
      <c r="R597" s="45"/>
      <c r="S597" s="45"/>
      <c r="T597" s="45"/>
      <c r="U597" s="45"/>
      <c r="V597" s="45"/>
      <c r="W597" s="45"/>
      <c r="X597" s="45"/>
      <c r="Y597" s="45"/>
      <c r="Z597" s="45"/>
      <c r="AA597" s="45"/>
      <c r="AB597" s="45"/>
      <c r="AC597" s="45"/>
      <c r="AD597" s="45"/>
      <c r="AE597" s="45"/>
    </row>
    <row r="598" spans="1:31" s="547" customFormat="1" ht="30" customHeight="1" x14ac:dyDescent="0.2">
      <c r="A598" s="45"/>
      <c r="B598" s="717" t="s">
        <v>396</v>
      </c>
      <c r="C598" s="923" t="s">
        <v>514</v>
      </c>
      <c r="D598" s="923"/>
      <c r="E598" s="923"/>
      <c r="F598" s="923"/>
      <c r="G598" s="923"/>
      <c r="H598" s="923"/>
      <c r="I598" s="711">
        <v>450</v>
      </c>
      <c r="J598" s="716">
        <v>0.75</v>
      </c>
      <c r="K598" s="226" t="s">
        <v>506</v>
      </c>
      <c r="L598" s="183">
        <v>47</v>
      </c>
      <c r="M598" s="181"/>
      <c r="N598" s="67"/>
      <c r="O598" s="183">
        <v>47</v>
      </c>
      <c r="P598" s="66"/>
      <c r="Q598" s="45"/>
      <c r="R598" s="45"/>
      <c r="S598" s="45"/>
      <c r="T598" s="45"/>
      <c r="U598" s="45"/>
      <c r="V598" s="45"/>
      <c r="W598" s="45"/>
      <c r="X598" s="45"/>
      <c r="Y598" s="45"/>
      <c r="Z598" s="45"/>
      <c r="AA598" s="45"/>
      <c r="AB598" s="45"/>
      <c r="AC598" s="45"/>
      <c r="AD598" s="45"/>
      <c r="AE598" s="45"/>
    </row>
    <row r="599" spans="1:31" ht="20.100000000000001" customHeight="1" x14ac:dyDescent="0.2">
      <c r="A599" s="45"/>
      <c r="B599" s="149"/>
      <c r="C599" s="844"/>
      <c r="D599" s="844"/>
      <c r="E599" s="844"/>
      <c r="F599" s="844"/>
      <c r="G599" s="844"/>
      <c r="H599" s="844"/>
      <c r="I599" s="845"/>
      <c r="J599" s="417"/>
      <c r="K599" s="45"/>
      <c r="L599" s="149"/>
      <c r="M599" s="181"/>
      <c r="O599" s="183"/>
    </row>
    <row r="600" spans="1:31" ht="30" customHeight="1" x14ac:dyDescent="0.2">
      <c r="A600" s="45"/>
      <c r="B600" s="1662" t="s">
        <v>465</v>
      </c>
      <c r="C600" s="1663"/>
      <c r="D600" s="1663"/>
      <c r="E600" s="1663"/>
      <c r="F600" s="1663"/>
      <c r="G600" s="1663"/>
      <c r="H600" s="1663"/>
      <c r="I600" s="406" t="s">
        <v>466</v>
      </c>
      <c r="J600" s="244" t="s">
        <v>18</v>
      </c>
    </row>
    <row r="601" spans="1:31" ht="36" customHeight="1" x14ac:dyDescent="0.2">
      <c r="A601" s="45"/>
      <c r="B601" s="976" t="s">
        <v>916</v>
      </c>
      <c r="C601" s="977"/>
      <c r="D601" s="977"/>
      <c r="E601" s="977"/>
      <c r="F601" s="977"/>
      <c r="G601" s="977"/>
      <c r="H601" s="977"/>
      <c r="I601" s="977"/>
      <c r="J601" s="978"/>
    </row>
    <row r="602" spans="1:31" ht="36" customHeight="1" x14ac:dyDescent="0.2">
      <c r="A602" s="45"/>
      <c r="B602" s="1166" t="s">
        <v>467</v>
      </c>
      <c r="C602" s="1167"/>
      <c r="D602" s="1167"/>
      <c r="E602" s="1167"/>
      <c r="F602" s="1167"/>
      <c r="G602" s="1167"/>
      <c r="H602" s="1167"/>
      <c r="I602" s="1167"/>
      <c r="J602" s="1168"/>
    </row>
    <row r="603" spans="1:31" ht="47.1" customHeight="1" x14ac:dyDescent="0.2">
      <c r="A603" s="45"/>
      <c r="B603" s="245" t="s">
        <v>468</v>
      </c>
      <c r="C603" s="1026" t="s">
        <v>323</v>
      </c>
      <c r="D603" s="1027"/>
      <c r="E603" s="1027" t="s">
        <v>917</v>
      </c>
      <c r="F603" s="1027"/>
      <c r="G603" s="1027" t="s">
        <v>918</v>
      </c>
      <c r="H603" s="1027"/>
      <c r="I603" s="214">
        <v>35</v>
      </c>
      <c r="J603" s="109">
        <v>1</v>
      </c>
    </row>
    <row r="604" spans="1:31" ht="30" customHeight="1" x14ac:dyDescent="0.2">
      <c r="A604" s="45"/>
      <c r="B604" s="1164" t="s">
        <v>471</v>
      </c>
      <c r="C604" s="1898" t="s">
        <v>472</v>
      </c>
      <c r="D604" s="1899"/>
      <c r="E604" s="1824" t="s">
        <v>473</v>
      </c>
      <c r="F604" s="1824"/>
      <c r="G604" s="933" t="s">
        <v>63</v>
      </c>
      <c r="H604" s="934"/>
      <c r="I604" s="1083">
        <v>35</v>
      </c>
      <c r="J604" s="962">
        <v>1</v>
      </c>
    </row>
    <row r="605" spans="1:31" ht="30" customHeight="1" x14ac:dyDescent="0.2">
      <c r="A605" s="45"/>
      <c r="B605" s="1753"/>
      <c r="C605" s="1774" t="s">
        <v>919</v>
      </c>
      <c r="D605" s="1775"/>
      <c r="E605" s="1775" t="s">
        <v>380</v>
      </c>
      <c r="F605" s="1775"/>
      <c r="G605" s="1748" t="s">
        <v>287</v>
      </c>
      <c r="H605" s="1749"/>
      <c r="I605" s="1084"/>
      <c r="J605" s="963"/>
    </row>
    <row r="606" spans="1:31" ht="30" customHeight="1" x14ac:dyDescent="0.2">
      <c r="A606" s="45"/>
      <c r="B606" s="1165"/>
      <c r="C606" s="917" t="s">
        <v>381</v>
      </c>
      <c r="D606" s="918"/>
      <c r="E606" s="1750"/>
      <c r="F606" s="1750"/>
      <c r="G606" s="2068"/>
      <c r="H606" s="2069"/>
      <c r="I606" s="1085"/>
      <c r="J606" s="964"/>
    </row>
    <row r="607" spans="1:31" ht="20.100000000000001" customHeight="1" x14ac:dyDescent="0.2">
      <c r="A607" s="45"/>
      <c r="B607" s="591"/>
      <c r="C607" s="648"/>
      <c r="D607" s="648"/>
      <c r="E607" s="648"/>
      <c r="F607" s="648"/>
      <c r="G607" s="648"/>
      <c r="H607" s="648"/>
      <c r="I607" s="593"/>
      <c r="J607" s="65"/>
    </row>
    <row r="608" spans="1:31" ht="30" customHeight="1" x14ac:dyDescent="0.2">
      <c r="A608" s="45"/>
      <c r="B608" s="1662" t="s">
        <v>475</v>
      </c>
      <c r="C608" s="1663"/>
      <c r="D608" s="1663"/>
      <c r="E608" s="1663"/>
      <c r="F608" s="1663"/>
      <c r="G608" s="1663"/>
      <c r="H608" s="1664"/>
      <c r="I608" s="406" t="s">
        <v>17</v>
      </c>
      <c r="J608" s="35" t="s">
        <v>18</v>
      </c>
      <c r="K608" s="226" t="s">
        <v>476</v>
      </c>
      <c r="L608" s="183">
        <v>19</v>
      </c>
      <c r="M608" s="181"/>
      <c r="N608" s="182" t="s">
        <v>30</v>
      </c>
      <c r="O608" s="183">
        <v>19</v>
      </c>
      <c r="P608" s="45"/>
    </row>
    <row r="609" spans="1:31" ht="30" customHeight="1" x14ac:dyDescent="0.2">
      <c r="A609" s="45"/>
      <c r="B609" s="1161" t="s">
        <v>477</v>
      </c>
      <c r="C609" s="1162"/>
      <c r="D609" s="1162"/>
      <c r="E609" s="1162"/>
      <c r="F609" s="1162"/>
      <c r="G609" s="1162"/>
      <c r="H609" s="1162"/>
      <c r="I609" s="1162"/>
      <c r="J609" s="1163"/>
      <c r="K609" s="226" t="s">
        <v>476</v>
      </c>
      <c r="L609" s="183">
        <v>19</v>
      </c>
      <c r="O609" s="183">
        <v>19</v>
      </c>
    </row>
    <row r="610" spans="1:31" ht="168" customHeight="1" x14ac:dyDescent="0.2">
      <c r="A610" s="45"/>
      <c r="B610" s="471"/>
      <c r="C610" s="1169" t="s">
        <v>835</v>
      </c>
      <c r="D610" s="1170"/>
      <c r="E610" s="1170"/>
      <c r="F610" s="1170"/>
      <c r="G610" s="1170"/>
      <c r="H610" s="1171"/>
      <c r="I610" s="249" t="s">
        <v>253</v>
      </c>
      <c r="J610" s="42" t="s">
        <v>253</v>
      </c>
      <c r="K610" s="226" t="s">
        <v>476</v>
      </c>
      <c r="L610" s="183">
        <v>19</v>
      </c>
      <c r="O610" s="183">
        <v>19</v>
      </c>
    </row>
    <row r="611" spans="1:31" ht="20.100000000000001" customHeight="1" x14ac:dyDescent="0.2">
      <c r="A611" s="45"/>
      <c r="B611" s="591"/>
      <c r="C611" s="648"/>
      <c r="D611" s="648"/>
      <c r="E611" s="648"/>
      <c r="F611" s="648"/>
      <c r="G611" s="648"/>
      <c r="H611" s="648"/>
      <c r="I611" s="593"/>
      <c r="J611" s="65"/>
    </row>
    <row r="612" spans="1:31" ht="30" customHeight="1" x14ac:dyDescent="0.2">
      <c r="A612" s="45"/>
      <c r="B612" s="1716" t="s">
        <v>479</v>
      </c>
      <c r="C612" s="1717"/>
      <c r="D612" s="1717"/>
      <c r="E612" s="1717"/>
      <c r="F612" s="1717"/>
      <c r="G612" s="1717"/>
      <c r="H612" s="1717"/>
      <c r="I612" s="406" t="s">
        <v>229</v>
      </c>
      <c r="J612" s="35" t="s">
        <v>18</v>
      </c>
      <c r="N612" s="182" t="s">
        <v>30</v>
      </c>
    </row>
    <row r="613" spans="1:31" ht="300.75" customHeight="1" x14ac:dyDescent="0.2">
      <c r="A613" s="45"/>
      <c r="B613" s="1783" t="s">
        <v>480</v>
      </c>
      <c r="C613" s="1006" t="s">
        <v>481</v>
      </c>
      <c r="D613" s="1007"/>
      <c r="E613" s="1007"/>
      <c r="F613" s="1007"/>
      <c r="G613" s="1007"/>
      <c r="H613" s="1008"/>
      <c r="I613" s="1009" t="s">
        <v>482</v>
      </c>
      <c r="J613" s="915">
        <v>0.8</v>
      </c>
    </row>
    <row r="614" spans="1:31" ht="145.5" customHeight="1" x14ac:dyDescent="0.2">
      <c r="A614" s="45"/>
      <c r="B614" s="1785"/>
      <c r="C614" s="1011" t="s">
        <v>483</v>
      </c>
      <c r="D614" s="1012"/>
      <c r="E614" s="1012"/>
      <c r="F614" s="1012"/>
      <c r="G614" s="1012"/>
      <c r="H614" s="1013"/>
      <c r="I614" s="1010"/>
      <c r="J614" s="916"/>
    </row>
    <row r="615" spans="1:31" ht="20.100000000000001" customHeight="1" x14ac:dyDescent="0.2">
      <c r="A615" s="45"/>
      <c r="B615" s="583"/>
      <c r="C615" s="644"/>
      <c r="D615" s="644"/>
      <c r="E615" s="644"/>
      <c r="F615" s="644"/>
      <c r="G615" s="644"/>
      <c r="H615" s="644"/>
      <c r="I615" s="720"/>
      <c r="J615" s="248"/>
    </row>
    <row r="616" spans="1:31" ht="30" customHeight="1" x14ac:dyDescent="0.2">
      <c r="A616" s="45"/>
      <c r="B616" s="1715" t="s">
        <v>484</v>
      </c>
      <c r="C616" s="1715"/>
      <c r="D616" s="1715"/>
      <c r="E616" s="1715"/>
      <c r="F616" s="1715"/>
      <c r="G616" s="1715"/>
      <c r="H616" s="1715"/>
      <c r="I616" s="406" t="s">
        <v>17</v>
      </c>
      <c r="J616" s="35" t="s">
        <v>18</v>
      </c>
      <c r="N616" s="182" t="s">
        <v>30</v>
      </c>
    </row>
    <row r="617" spans="1:31" ht="54.95" customHeight="1" x14ac:dyDescent="0.2">
      <c r="A617" s="45"/>
      <c r="B617" s="538" t="s">
        <v>485</v>
      </c>
      <c r="C617" s="998" t="s">
        <v>486</v>
      </c>
      <c r="D617" s="999"/>
      <c r="E617" s="999"/>
      <c r="F617" s="999"/>
      <c r="G617" s="999"/>
      <c r="H617" s="1000"/>
      <c r="I617" s="249" t="s">
        <v>253</v>
      </c>
      <c r="J617" s="42" t="s">
        <v>253</v>
      </c>
    </row>
    <row r="618" spans="1:31" ht="19.5" customHeight="1" x14ac:dyDescent="0.2">
      <c r="A618" s="45"/>
      <c r="B618" s="583"/>
      <c r="C618" s="644"/>
      <c r="D618" s="644"/>
      <c r="E618" s="644"/>
      <c r="F618" s="644"/>
      <c r="G618" s="644"/>
      <c r="H618" s="644"/>
      <c r="I618" s="720"/>
      <c r="J618" s="248"/>
    </row>
    <row r="619" spans="1:31" s="547" customFormat="1" ht="30" customHeight="1" x14ac:dyDescent="0.2">
      <c r="A619" s="45"/>
      <c r="B619" s="1623" t="s">
        <v>489</v>
      </c>
      <c r="C619" s="1624"/>
      <c r="D619" s="1624"/>
      <c r="E619" s="1624"/>
      <c r="F619" s="1624"/>
      <c r="G619" s="1624"/>
      <c r="H619" s="1624"/>
      <c r="I619" s="1624"/>
      <c r="J619" s="1625"/>
      <c r="K619" s="148"/>
      <c r="M619" s="68"/>
      <c r="N619" s="182" t="s">
        <v>30</v>
      </c>
      <c r="P619" s="66"/>
      <c r="Q619" s="45"/>
      <c r="R619" s="45"/>
      <c r="S619" s="45"/>
      <c r="T619" s="45"/>
      <c r="U619" s="45"/>
      <c r="V619" s="45"/>
      <c r="W619" s="45"/>
      <c r="X619" s="45"/>
      <c r="Y619" s="45"/>
      <c r="Z619" s="45"/>
      <c r="AA619" s="45"/>
      <c r="AB619" s="45"/>
      <c r="AC619" s="45"/>
      <c r="AD619" s="45"/>
      <c r="AE619" s="45"/>
    </row>
    <row r="620" spans="1:31" s="547" customFormat="1" ht="52.5" customHeight="1" x14ac:dyDescent="0.2">
      <c r="A620" s="45"/>
      <c r="B620" s="1169" t="s">
        <v>490</v>
      </c>
      <c r="C620" s="1170"/>
      <c r="D620" s="1170"/>
      <c r="E620" s="1170"/>
      <c r="F620" s="1170"/>
      <c r="G620" s="1170"/>
      <c r="H620" s="1170"/>
      <c r="I620" s="1170"/>
      <c r="J620" s="1171"/>
      <c r="K620" s="148"/>
      <c r="M620" s="68"/>
      <c r="N620" s="67"/>
      <c r="P620" s="66"/>
      <c r="Q620" s="45"/>
      <c r="R620" s="45"/>
      <c r="S620" s="45"/>
      <c r="T620" s="45"/>
      <c r="U620" s="45"/>
      <c r="V620" s="45"/>
      <c r="W620" s="45"/>
      <c r="X620" s="45"/>
      <c r="Y620" s="45"/>
      <c r="Z620" s="45"/>
      <c r="AA620" s="45"/>
      <c r="AB620" s="45"/>
      <c r="AC620" s="45"/>
      <c r="AD620" s="45"/>
      <c r="AE620" s="45"/>
    </row>
    <row r="621" spans="1:31" s="547" customFormat="1" ht="20.100000000000001" customHeight="1" x14ac:dyDescent="0.2">
      <c r="A621" s="45"/>
      <c r="B621" s="621"/>
      <c r="C621" s="150"/>
      <c r="D621" s="150"/>
      <c r="E621" s="150"/>
      <c r="F621" s="150"/>
      <c r="G621" s="150"/>
      <c r="H621" s="150"/>
      <c r="I621" s="147"/>
      <c r="J621" s="128"/>
      <c r="K621" s="148"/>
      <c r="M621" s="68"/>
      <c r="N621" s="67"/>
      <c r="P621" s="66"/>
      <c r="Q621" s="45"/>
      <c r="R621" s="45"/>
      <c r="S621" s="45"/>
      <c r="T621" s="45"/>
      <c r="U621" s="45"/>
      <c r="V621" s="45"/>
      <c r="W621" s="45"/>
      <c r="X621" s="45"/>
      <c r="Y621" s="45"/>
      <c r="Z621" s="45"/>
      <c r="AA621" s="45"/>
      <c r="AB621" s="45"/>
      <c r="AC621" s="45"/>
      <c r="AD621" s="45"/>
      <c r="AE621" s="45"/>
    </row>
    <row r="622" spans="1:31" s="547" customFormat="1" ht="30" customHeight="1" x14ac:dyDescent="0.2">
      <c r="A622" s="45"/>
      <c r="B622" s="1623" t="s">
        <v>491</v>
      </c>
      <c r="C622" s="1624"/>
      <c r="D622" s="1624"/>
      <c r="E622" s="1624"/>
      <c r="F622" s="1624"/>
      <c r="G622" s="1624"/>
      <c r="H622" s="1624"/>
      <c r="I622" s="1624"/>
      <c r="J622" s="1625"/>
      <c r="K622" s="148"/>
      <c r="M622" s="68"/>
      <c r="N622" s="182" t="s">
        <v>30</v>
      </c>
      <c r="P622" s="66"/>
      <c r="Q622" s="45"/>
      <c r="R622" s="45"/>
      <c r="S622" s="45"/>
      <c r="T622" s="45"/>
      <c r="U622" s="45"/>
      <c r="V622" s="45"/>
      <c r="W622" s="45"/>
      <c r="X622" s="45"/>
      <c r="Y622" s="45"/>
      <c r="Z622" s="45"/>
      <c r="AA622" s="45"/>
      <c r="AB622" s="45"/>
      <c r="AC622" s="45"/>
      <c r="AD622" s="45"/>
      <c r="AE622" s="45"/>
    </row>
    <row r="623" spans="1:31" s="547" customFormat="1" ht="43.5" customHeight="1" x14ac:dyDescent="0.2">
      <c r="A623" s="45"/>
      <c r="B623" s="1169" t="s">
        <v>492</v>
      </c>
      <c r="C623" s="1170"/>
      <c r="D623" s="1170"/>
      <c r="E623" s="1170"/>
      <c r="F623" s="1170"/>
      <c r="G623" s="1170"/>
      <c r="H623" s="1170"/>
      <c r="I623" s="1170"/>
      <c r="J623" s="1171"/>
      <c r="K623" s="148"/>
      <c r="M623" s="68"/>
      <c r="N623" s="67"/>
      <c r="P623" s="66"/>
      <c r="Q623" s="45"/>
      <c r="R623" s="45"/>
      <c r="S623" s="45"/>
      <c r="T623" s="45"/>
      <c r="U623" s="45"/>
      <c r="V623" s="45"/>
      <c r="W623" s="45"/>
      <c r="X623" s="45"/>
      <c r="Y623" s="45"/>
      <c r="Z623" s="45"/>
      <c r="AA623" s="45"/>
      <c r="AB623" s="45"/>
      <c r="AC623" s="45"/>
      <c r="AD623" s="45"/>
      <c r="AE623" s="45"/>
    </row>
    <row r="624" spans="1:31" s="547" customFormat="1" ht="20.100000000000001" customHeight="1" x14ac:dyDescent="0.2">
      <c r="A624" s="45"/>
      <c r="B624" s="621"/>
      <c r="C624" s="150"/>
      <c r="D624" s="150"/>
      <c r="E624" s="150"/>
      <c r="F624" s="150"/>
      <c r="G624" s="150"/>
      <c r="H624" s="150"/>
      <c r="I624" s="147"/>
      <c r="J624" s="128"/>
      <c r="K624" s="148"/>
      <c r="M624" s="68"/>
      <c r="N624" s="67"/>
      <c r="P624" s="66"/>
      <c r="Q624" s="45"/>
      <c r="R624" s="45"/>
      <c r="S624" s="45"/>
      <c r="T624" s="45"/>
      <c r="U624" s="45"/>
      <c r="V624" s="45"/>
      <c r="W624" s="45"/>
      <c r="X624" s="45"/>
      <c r="Y624" s="45"/>
      <c r="Z624" s="45"/>
      <c r="AA624" s="45"/>
      <c r="AB624" s="45"/>
      <c r="AC624" s="45"/>
      <c r="AD624" s="45"/>
      <c r="AE624" s="45"/>
    </row>
    <row r="625" spans="1:31" s="547" customFormat="1" ht="30" customHeight="1" x14ac:dyDescent="0.2">
      <c r="A625" s="45"/>
      <c r="B625" s="1623" t="s">
        <v>493</v>
      </c>
      <c r="C625" s="1624"/>
      <c r="D625" s="1624"/>
      <c r="E625" s="1624"/>
      <c r="F625" s="1624"/>
      <c r="G625" s="1624"/>
      <c r="H625" s="1624"/>
      <c r="I625" s="1624"/>
      <c r="J625" s="1625"/>
      <c r="K625" s="148"/>
      <c r="M625" s="68"/>
      <c r="N625" s="182" t="s">
        <v>30</v>
      </c>
      <c r="P625" s="66"/>
      <c r="Q625" s="45"/>
      <c r="R625" s="45"/>
      <c r="S625" s="45"/>
      <c r="T625" s="45"/>
      <c r="U625" s="45"/>
      <c r="V625" s="45"/>
      <c r="W625" s="45"/>
      <c r="X625" s="45"/>
      <c r="Y625" s="45"/>
      <c r="Z625" s="45"/>
      <c r="AA625" s="45"/>
      <c r="AB625" s="45"/>
      <c r="AC625" s="45"/>
      <c r="AD625" s="45"/>
      <c r="AE625" s="45"/>
    </row>
    <row r="626" spans="1:31" s="547" customFormat="1" ht="41.25" customHeight="1" x14ac:dyDescent="0.2">
      <c r="A626" s="45"/>
      <c r="B626" s="1169" t="s">
        <v>494</v>
      </c>
      <c r="C626" s="1170"/>
      <c r="D626" s="1170"/>
      <c r="E626" s="1170"/>
      <c r="F626" s="1170"/>
      <c r="G626" s="1170"/>
      <c r="H626" s="1170"/>
      <c r="I626" s="1170"/>
      <c r="J626" s="1171"/>
      <c r="K626" s="148"/>
      <c r="M626" s="68"/>
      <c r="N626" s="67"/>
      <c r="P626" s="66"/>
      <c r="Q626" s="45"/>
      <c r="R626" s="45"/>
      <c r="S626" s="45"/>
      <c r="T626" s="45"/>
      <c r="U626" s="45"/>
      <c r="V626" s="45"/>
      <c r="W626" s="45"/>
      <c r="X626" s="45"/>
      <c r="Y626" s="45"/>
      <c r="Z626" s="45"/>
      <c r="AA626" s="45"/>
      <c r="AB626" s="45"/>
      <c r="AC626" s="45"/>
      <c r="AD626" s="45"/>
      <c r="AE626" s="45"/>
    </row>
    <row r="627" spans="1:31" s="547" customFormat="1" ht="20.100000000000001" customHeight="1" x14ac:dyDescent="0.2">
      <c r="A627" s="45"/>
      <c r="B627" s="621"/>
      <c r="C627" s="150"/>
      <c r="D627" s="150"/>
      <c r="E627" s="150"/>
      <c r="F627" s="150"/>
      <c r="G627" s="150"/>
      <c r="H627" s="150"/>
      <c r="I627" s="147"/>
      <c r="J627" s="128"/>
      <c r="K627" s="148"/>
      <c r="M627" s="68"/>
      <c r="N627" s="67"/>
      <c r="P627" s="66"/>
      <c r="Q627" s="45"/>
      <c r="R627" s="45"/>
      <c r="S627" s="45"/>
      <c r="T627" s="45"/>
      <c r="U627" s="45"/>
      <c r="V627" s="45"/>
      <c r="W627" s="45"/>
      <c r="X627" s="45"/>
      <c r="Y627" s="45"/>
      <c r="Z627" s="45"/>
      <c r="AA627" s="45"/>
      <c r="AB627" s="45"/>
      <c r="AC627" s="45"/>
      <c r="AD627" s="45"/>
      <c r="AE627" s="45"/>
    </row>
    <row r="628" spans="1:31" s="547" customFormat="1" ht="34.5" customHeight="1" x14ac:dyDescent="0.2">
      <c r="A628" s="45"/>
      <c r="B628" s="1713" t="s">
        <v>495</v>
      </c>
      <c r="C628" s="1713"/>
      <c r="D628" s="1713"/>
      <c r="E628" s="1713"/>
      <c r="F628" s="1713"/>
      <c r="G628" s="1713"/>
      <c r="H628" s="1713"/>
      <c r="I628" s="704" t="s">
        <v>496</v>
      </c>
      <c r="J628" s="35" t="s">
        <v>18</v>
      </c>
      <c r="K628" s="148"/>
      <c r="M628" s="68"/>
      <c r="N628" s="182" t="s">
        <v>30</v>
      </c>
      <c r="P628" s="66"/>
      <c r="Q628" s="45"/>
      <c r="R628" s="45"/>
      <c r="S628" s="45"/>
      <c r="T628" s="45"/>
      <c r="U628" s="45"/>
      <c r="V628" s="45"/>
      <c r="W628" s="45"/>
      <c r="X628" s="45"/>
      <c r="Y628" s="45"/>
      <c r="Z628" s="45"/>
      <c r="AA628" s="45"/>
      <c r="AB628" s="45"/>
      <c r="AC628" s="45"/>
      <c r="AD628" s="45"/>
      <c r="AE628" s="45"/>
    </row>
    <row r="629" spans="1:31" s="547" customFormat="1" ht="43.5" customHeight="1" x14ac:dyDescent="0.2">
      <c r="A629" s="45"/>
      <c r="B629" s="1714" t="s">
        <v>497</v>
      </c>
      <c r="C629" s="1714"/>
      <c r="D629" s="1714"/>
      <c r="E629" s="1714"/>
      <c r="F629" s="1714"/>
      <c r="G629" s="1714"/>
      <c r="H629" s="1714"/>
      <c r="I629" s="1714"/>
      <c r="J629" s="1714"/>
      <c r="K629" s="148"/>
      <c r="M629" s="68"/>
      <c r="N629" s="67"/>
      <c r="P629" s="66"/>
      <c r="Q629" s="45"/>
      <c r="R629" s="45"/>
      <c r="S629" s="45"/>
      <c r="T629" s="45"/>
      <c r="U629" s="45"/>
      <c r="V629" s="45"/>
      <c r="W629" s="45"/>
      <c r="X629" s="45"/>
      <c r="Y629" s="45"/>
      <c r="Z629" s="45"/>
      <c r="AA629" s="45"/>
      <c r="AB629" s="45"/>
      <c r="AC629" s="45"/>
      <c r="AD629" s="45"/>
      <c r="AE629" s="45"/>
    </row>
    <row r="630" spans="1:31" s="547" customFormat="1" ht="33.75" customHeight="1" x14ac:dyDescent="0.2">
      <c r="A630" s="45"/>
      <c r="B630" s="994" t="s">
        <v>328</v>
      </c>
      <c r="C630" s="1063" t="s">
        <v>498</v>
      </c>
      <c r="D630" s="1063"/>
      <c r="E630" s="1063"/>
      <c r="F630" s="1063"/>
      <c r="G630" s="1063"/>
      <c r="H630" s="1063"/>
      <c r="I630" s="1063"/>
      <c r="J630" s="1063"/>
      <c r="K630" s="148"/>
      <c r="M630" s="68"/>
      <c r="N630" s="67"/>
      <c r="P630" s="66"/>
      <c r="Q630" s="45"/>
      <c r="R630" s="45"/>
      <c r="S630" s="45"/>
      <c r="T630" s="45"/>
      <c r="U630" s="45"/>
      <c r="V630" s="45"/>
      <c r="W630" s="45"/>
      <c r="X630" s="45"/>
      <c r="Y630" s="45"/>
      <c r="Z630" s="45"/>
      <c r="AA630" s="45"/>
      <c r="AB630" s="45"/>
      <c r="AC630" s="45"/>
      <c r="AD630" s="45"/>
      <c r="AE630" s="45"/>
    </row>
    <row r="631" spans="1:31" s="547" customFormat="1" ht="186" customHeight="1" x14ac:dyDescent="0.2">
      <c r="A631" s="45"/>
      <c r="B631" s="994"/>
      <c r="C631" s="1063" t="s">
        <v>920</v>
      </c>
      <c r="D631" s="1063"/>
      <c r="E631" s="1063"/>
      <c r="F631" s="1063"/>
      <c r="G631" s="1063"/>
      <c r="H631" s="1063"/>
      <c r="I631" s="256">
        <v>0</v>
      </c>
      <c r="J631" s="846">
        <v>1</v>
      </c>
      <c r="K631" s="148"/>
      <c r="M631" s="68"/>
      <c r="N631" s="67"/>
      <c r="P631" s="66"/>
      <c r="Q631" s="45"/>
      <c r="R631" s="45"/>
      <c r="S631" s="45"/>
      <c r="T631" s="45"/>
      <c r="U631" s="45"/>
      <c r="V631" s="45"/>
      <c r="W631" s="45"/>
      <c r="X631" s="45"/>
      <c r="Y631" s="45"/>
      <c r="Z631" s="45"/>
      <c r="AA631" s="45"/>
      <c r="AB631" s="45"/>
      <c r="AC631" s="45"/>
      <c r="AD631" s="45"/>
      <c r="AE631" s="45"/>
    </row>
    <row r="632" spans="1:31" ht="30" customHeight="1" x14ac:dyDescent="0.2">
      <c r="A632" s="45"/>
      <c r="B632" s="994"/>
      <c r="C632" s="1714" t="s">
        <v>500</v>
      </c>
      <c r="D632" s="1714"/>
      <c r="E632" s="1714"/>
      <c r="F632" s="1714"/>
      <c r="G632" s="1714"/>
      <c r="H632" s="1714"/>
      <c r="I632" s="258" t="s">
        <v>501</v>
      </c>
      <c r="J632" s="258" t="s">
        <v>501</v>
      </c>
    </row>
    <row r="633" spans="1:31" ht="20.100000000000001" customHeight="1" x14ac:dyDescent="0.2">
      <c r="A633" s="45"/>
      <c r="B633" s="721"/>
      <c r="C633" s="648"/>
      <c r="D633" s="648"/>
      <c r="E633" s="648"/>
      <c r="F633" s="648"/>
      <c r="G633" s="648"/>
      <c r="H633" s="648"/>
      <c r="I633" s="618"/>
      <c r="J633" s="128"/>
    </row>
    <row r="634" spans="1:31" s="66" customFormat="1" ht="30" customHeight="1" x14ac:dyDescent="0.2">
      <c r="A634" s="149"/>
      <c r="B634" s="1711" t="s">
        <v>664</v>
      </c>
      <c r="C634" s="1711"/>
      <c r="D634" s="1711"/>
      <c r="E634" s="1711"/>
      <c r="F634" s="1711"/>
      <c r="G634" s="1711"/>
      <c r="H634" s="1711"/>
      <c r="I634" s="406" t="s">
        <v>17</v>
      </c>
      <c r="J634" s="193" t="s">
        <v>18</v>
      </c>
      <c r="K634" s="669" t="s">
        <v>665</v>
      </c>
      <c r="L634" s="238">
        <v>22</v>
      </c>
      <c r="M634" s="67"/>
      <c r="N634" s="182" t="s">
        <v>30</v>
      </c>
      <c r="O634" s="238">
        <v>22</v>
      </c>
    </row>
    <row r="635" spans="1:31" s="66" customFormat="1" ht="69.95" customHeight="1" x14ac:dyDescent="0.2">
      <c r="A635" s="149"/>
      <c r="B635" s="163" t="s">
        <v>666</v>
      </c>
      <c r="C635" s="1166" t="s">
        <v>667</v>
      </c>
      <c r="D635" s="1167"/>
      <c r="E635" s="1167"/>
      <c r="F635" s="1167"/>
      <c r="G635" s="1167"/>
      <c r="H635" s="1168"/>
      <c r="I635" s="164" t="s">
        <v>668</v>
      </c>
      <c r="J635" s="199" t="s">
        <v>668</v>
      </c>
      <c r="K635" s="669" t="s">
        <v>665</v>
      </c>
      <c r="L635" s="238">
        <v>22</v>
      </c>
      <c r="M635" s="67"/>
      <c r="O635" s="238">
        <v>22</v>
      </c>
    </row>
    <row r="636" spans="1:31" ht="19.5" customHeight="1" x14ac:dyDescent="0.2">
      <c r="A636" s="149"/>
      <c r="B636" s="664"/>
      <c r="C636" s="642"/>
      <c r="D636" s="642"/>
      <c r="E636" s="642"/>
      <c r="F636" s="642"/>
      <c r="G636" s="642"/>
      <c r="H636" s="642"/>
      <c r="I636" s="666"/>
      <c r="J636" s="180"/>
      <c r="K636" s="69"/>
      <c r="L636" s="722"/>
      <c r="M636" s="149"/>
      <c r="N636" s="45"/>
      <c r="O636" s="723"/>
      <c r="P636" s="45"/>
    </row>
    <row r="637" spans="1:31" s="66" customFormat="1" ht="30" customHeight="1" x14ac:dyDescent="0.2">
      <c r="A637" s="149"/>
      <c r="B637" s="1712" t="s">
        <v>673</v>
      </c>
      <c r="C637" s="1712"/>
      <c r="D637" s="1712"/>
      <c r="E637" s="1712"/>
      <c r="F637" s="1712"/>
      <c r="G637" s="1712"/>
      <c r="H637" s="1712"/>
      <c r="I637" s="1712"/>
      <c r="J637" s="1712"/>
      <c r="M637" s="67"/>
      <c r="N637" s="182" t="s">
        <v>30</v>
      </c>
    </row>
    <row r="638" spans="1:31" s="66" customFormat="1" ht="54.95" customHeight="1" x14ac:dyDescent="0.2">
      <c r="A638" s="149"/>
      <c r="B638" s="1252" t="s">
        <v>674</v>
      </c>
      <c r="C638" s="1252"/>
      <c r="D638" s="1252"/>
      <c r="E638" s="1252"/>
      <c r="F638" s="1252"/>
      <c r="G638" s="1252"/>
      <c r="H638" s="1252"/>
      <c r="I638" s="1252"/>
      <c r="J638" s="1252"/>
      <c r="M638" s="67"/>
    </row>
    <row r="639" spans="1:31" s="24" customFormat="1" ht="20.100000000000001" customHeight="1" x14ac:dyDescent="0.2">
      <c r="B639" s="544"/>
      <c r="C639" s="545"/>
      <c r="D639" s="545"/>
      <c r="E639" s="545"/>
      <c r="F639" s="545"/>
      <c r="G639" s="545"/>
      <c r="H639" s="544"/>
      <c r="I639" s="544"/>
      <c r="J639" s="546"/>
      <c r="L639" s="18"/>
      <c r="M639" s="4"/>
      <c r="N639" s="18"/>
      <c r="O639" s="18"/>
      <c r="P639" s="18"/>
    </row>
    <row r="640" spans="1:31" s="24" customFormat="1" ht="30" customHeight="1" x14ac:dyDescent="0.2">
      <c r="B640" s="1159" t="s">
        <v>675</v>
      </c>
      <c r="C640" s="1274"/>
      <c r="D640" s="1274"/>
      <c r="E640" s="1274"/>
      <c r="F640" s="1274"/>
      <c r="G640" s="1274"/>
      <c r="H640" s="1275"/>
      <c r="I640" s="1368" t="s">
        <v>676</v>
      </c>
      <c r="J640" s="1369"/>
      <c r="K640" s="18"/>
      <c r="L640" s="18"/>
      <c r="M640" s="4"/>
      <c r="N640" s="46" t="s">
        <v>30</v>
      </c>
      <c r="O640" s="18"/>
      <c r="P640" s="18"/>
    </row>
    <row r="641" spans="1:16" s="24" customFormat="1" ht="85.5" customHeight="1" x14ac:dyDescent="0.2">
      <c r="B641" s="1376" t="s">
        <v>677</v>
      </c>
      <c r="C641" s="1377"/>
      <c r="D641" s="1377"/>
      <c r="E641" s="1377"/>
      <c r="F641" s="1377"/>
      <c r="G641" s="1377"/>
      <c r="H641" s="1378"/>
      <c r="I641" s="1604" t="s">
        <v>678</v>
      </c>
      <c r="J641" s="1605"/>
      <c r="K641" s="18"/>
      <c r="L641" s="18"/>
      <c r="M641" s="4"/>
      <c r="N641" s="18"/>
      <c r="O641" s="18"/>
      <c r="P641" s="18"/>
    </row>
    <row r="642" spans="1:16" s="18" customFormat="1" ht="19.5" customHeight="1" x14ac:dyDescent="0.2">
      <c r="A642" s="24"/>
      <c r="B642" s="85"/>
      <c r="C642" s="85"/>
      <c r="D642" s="85"/>
      <c r="E642" s="85"/>
      <c r="F642" s="85"/>
      <c r="G642" s="85"/>
      <c r="H642" s="85"/>
      <c r="I642" s="85"/>
      <c r="J642" s="253"/>
      <c r="M642" s="4"/>
    </row>
    <row r="643" spans="1:16" s="24" customFormat="1" ht="30" customHeight="1" x14ac:dyDescent="0.2">
      <c r="B643" s="1159" t="s">
        <v>679</v>
      </c>
      <c r="C643" s="1274"/>
      <c r="D643" s="1274"/>
      <c r="E643" s="1274"/>
      <c r="F643" s="1274"/>
      <c r="G643" s="1274"/>
      <c r="H643" s="1275"/>
      <c r="I643" s="1368" t="s">
        <v>676</v>
      </c>
      <c r="J643" s="1369"/>
      <c r="K643" s="18"/>
      <c r="L643" s="18"/>
      <c r="M643" s="4"/>
      <c r="N643" s="46" t="s">
        <v>30</v>
      </c>
      <c r="O643" s="18"/>
      <c r="P643" s="18"/>
    </row>
    <row r="644" spans="1:16" s="24" customFormat="1" ht="161.25" customHeight="1" x14ac:dyDescent="0.2">
      <c r="A644" s="18"/>
      <c r="B644" s="1381" t="s">
        <v>680</v>
      </c>
      <c r="C644" s="1382"/>
      <c r="D644" s="1382"/>
      <c r="E644" s="1382"/>
      <c r="F644" s="1382"/>
      <c r="G644" s="1382"/>
      <c r="H644" s="1383"/>
      <c r="I644" s="1384" t="s">
        <v>681</v>
      </c>
      <c r="J644" s="1385"/>
      <c r="K644" s="18"/>
      <c r="L644" s="58"/>
      <c r="M644" s="79"/>
      <c r="N644" s="4"/>
      <c r="O644" s="4"/>
      <c r="P644" s="59"/>
    </row>
    <row r="645" spans="1:16" ht="20.100000000000001" customHeight="1" x14ac:dyDescent="0.2">
      <c r="A645" s="149"/>
      <c r="B645" s="644"/>
      <c r="C645" s="644"/>
      <c r="D645" s="644"/>
      <c r="E645" s="644"/>
      <c r="F645" s="644"/>
      <c r="G645" s="644"/>
      <c r="H645" s="644"/>
      <c r="I645" s="822"/>
      <c r="J645" s="78"/>
      <c r="K645" s="45"/>
      <c r="L645" s="45"/>
      <c r="M645" s="149"/>
      <c r="N645" s="45"/>
      <c r="O645" s="45"/>
      <c r="P645" s="45"/>
    </row>
    <row r="646" spans="1:16" s="66" customFormat="1" ht="30" customHeight="1" x14ac:dyDescent="0.2">
      <c r="A646" s="149"/>
      <c r="B646" s="1355" t="s">
        <v>682</v>
      </c>
      <c r="C646" s="1356"/>
      <c r="D646" s="1356"/>
      <c r="E646" s="1356"/>
      <c r="F646" s="1356"/>
      <c r="G646" s="1356"/>
      <c r="H646" s="1357"/>
      <c r="I646" s="406" t="s">
        <v>17</v>
      </c>
      <c r="J646" s="35" t="s">
        <v>18</v>
      </c>
      <c r="K646" s="226" t="s">
        <v>683</v>
      </c>
      <c r="L646" s="183">
        <v>23</v>
      </c>
      <c r="M646" s="67"/>
      <c r="N646" s="182" t="s">
        <v>30</v>
      </c>
      <c r="O646" s="183">
        <v>23</v>
      </c>
    </row>
    <row r="647" spans="1:16" s="66" customFormat="1" ht="30" customHeight="1" x14ac:dyDescent="0.2">
      <c r="A647" s="149"/>
      <c r="B647" s="1358" t="s">
        <v>684</v>
      </c>
      <c r="C647" s="1359"/>
      <c r="D647" s="1359"/>
      <c r="E647" s="1359"/>
      <c r="F647" s="1359"/>
      <c r="G647" s="1359"/>
      <c r="H647" s="1359"/>
      <c r="I647" s="1359"/>
      <c r="J647" s="1360"/>
      <c r="K647" s="226" t="s">
        <v>683</v>
      </c>
      <c r="L647" s="183">
        <v>23</v>
      </c>
      <c r="M647" s="67"/>
      <c r="O647" s="183">
        <v>23</v>
      </c>
    </row>
    <row r="648" spans="1:16" s="66" customFormat="1" ht="54.95" customHeight="1" x14ac:dyDescent="0.2">
      <c r="A648" s="149"/>
      <c r="B648" s="725"/>
      <c r="C648" s="1635" t="s">
        <v>685</v>
      </c>
      <c r="D648" s="1636"/>
      <c r="E648" s="1636"/>
      <c r="F648" s="1636"/>
      <c r="G648" s="1636"/>
      <c r="H648" s="1637"/>
      <c r="I648" s="409">
        <v>35</v>
      </c>
      <c r="J648" s="42">
        <v>1</v>
      </c>
      <c r="K648" s="226" t="s">
        <v>683</v>
      </c>
      <c r="L648" s="183">
        <v>23</v>
      </c>
      <c r="M648" s="67"/>
      <c r="O648" s="183">
        <v>23</v>
      </c>
    </row>
    <row r="649" spans="1:16" s="66" customFormat="1" ht="20.100000000000001" customHeight="1" x14ac:dyDescent="0.2">
      <c r="A649" s="149"/>
      <c r="B649" s="566"/>
      <c r="C649" s="566"/>
      <c r="D649" s="566"/>
      <c r="E649" s="566"/>
      <c r="F649" s="566"/>
      <c r="G649" s="566"/>
      <c r="H649" s="566"/>
      <c r="I649" s="827"/>
      <c r="J649" s="828"/>
      <c r="M649" s="67"/>
    </row>
    <row r="650" spans="1:16" s="66" customFormat="1" ht="30" customHeight="1" x14ac:dyDescent="0.2">
      <c r="A650" s="149"/>
      <c r="B650" s="1355" t="s">
        <v>686</v>
      </c>
      <c r="C650" s="1356"/>
      <c r="D650" s="1356"/>
      <c r="E650" s="1356"/>
      <c r="F650" s="1356"/>
      <c r="G650" s="1356"/>
      <c r="H650" s="1357"/>
      <c r="I650" s="406" t="s">
        <v>17</v>
      </c>
      <c r="J650" s="35" t="s">
        <v>18</v>
      </c>
      <c r="K650" s="226" t="s">
        <v>687</v>
      </c>
      <c r="L650" s="183">
        <v>24</v>
      </c>
      <c r="M650" s="67"/>
      <c r="N650" s="182" t="s">
        <v>30</v>
      </c>
      <c r="O650" s="183">
        <v>24</v>
      </c>
    </row>
    <row r="651" spans="1:16" s="66" customFormat="1" ht="30" customHeight="1" x14ac:dyDescent="0.2">
      <c r="A651" s="149"/>
      <c r="B651" s="1358" t="s">
        <v>688</v>
      </c>
      <c r="C651" s="1359"/>
      <c r="D651" s="1359"/>
      <c r="E651" s="1359"/>
      <c r="F651" s="1359"/>
      <c r="G651" s="1359"/>
      <c r="H651" s="1359"/>
      <c r="I651" s="1359"/>
      <c r="J651" s="1360"/>
      <c r="K651" s="226" t="s">
        <v>687</v>
      </c>
      <c r="L651" s="183">
        <v>24</v>
      </c>
      <c r="M651" s="67"/>
      <c r="O651" s="183">
        <v>24</v>
      </c>
    </row>
    <row r="652" spans="1:16" s="66" customFormat="1" ht="69.95" customHeight="1" x14ac:dyDescent="0.2">
      <c r="A652" s="149"/>
      <c r="B652" s="726"/>
      <c r="C652" s="1169" t="s">
        <v>689</v>
      </c>
      <c r="D652" s="1170"/>
      <c r="E652" s="1170"/>
      <c r="F652" s="1170"/>
      <c r="G652" s="1170"/>
      <c r="H652" s="1171"/>
      <c r="I652" s="539">
        <v>51</v>
      </c>
      <c r="J652" s="75">
        <v>1</v>
      </c>
      <c r="K652" s="226" t="s">
        <v>687</v>
      </c>
      <c r="L652" s="183">
        <v>24</v>
      </c>
      <c r="M652" s="67"/>
      <c r="O652" s="183">
        <v>24</v>
      </c>
    </row>
    <row r="653" spans="1:16" s="66" customFormat="1" ht="20.100000000000001" customHeight="1" x14ac:dyDescent="0.2">
      <c r="A653" s="149"/>
      <c r="B653" s="566"/>
      <c r="C653" s="566"/>
      <c r="D653" s="566"/>
      <c r="E653" s="566"/>
      <c r="F653" s="566"/>
      <c r="G653" s="566"/>
      <c r="H653" s="566"/>
      <c r="I653" s="827"/>
      <c r="J653" s="828"/>
      <c r="M653" s="67"/>
    </row>
    <row r="654" spans="1:16" s="66" customFormat="1" ht="30" customHeight="1" x14ac:dyDescent="0.2">
      <c r="A654" s="149"/>
      <c r="B654" s="1355" t="s">
        <v>690</v>
      </c>
      <c r="C654" s="1356"/>
      <c r="D654" s="1356"/>
      <c r="E654" s="1356"/>
      <c r="F654" s="1356"/>
      <c r="G654" s="1356"/>
      <c r="H654" s="1357"/>
      <c r="I654" s="406" t="s">
        <v>17</v>
      </c>
      <c r="J654" s="35" t="s">
        <v>18</v>
      </c>
      <c r="K654" s="669" t="s">
        <v>691</v>
      </c>
      <c r="L654" s="238">
        <v>25</v>
      </c>
      <c r="M654" s="67"/>
      <c r="N654" s="182" t="s">
        <v>30</v>
      </c>
      <c r="O654" s="238">
        <v>25</v>
      </c>
    </row>
    <row r="655" spans="1:16" s="66" customFormat="1" ht="24" customHeight="1" x14ac:dyDescent="0.2">
      <c r="A655" s="149"/>
      <c r="B655" s="1358" t="s">
        <v>692</v>
      </c>
      <c r="C655" s="1359"/>
      <c r="D655" s="1359"/>
      <c r="E655" s="1359"/>
      <c r="F655" s="1359"/>
      <c r="G655" s="1359"/>
      <c r="H655" s="1359"/>
      <c r="I655" s="1359"/>
      <c r="J655" s="1360"/>
      <c r="K655" s="669" t="s">
        <v>691</v>
      </c>
      <c r="L655" s="238">
        <v>25</v>
      </c>
      <c r="M655" s="67"/>
      <c r="O655" s="238">
        <v>25</v>
      </c>
    </row>
    <row r="656" spans="1:16" s="66" customFormat="1" ht="54.95" customHeight="1" x14ac:dyDescent="0.2">
      <c r="A656" s="149"/>
      <c r="B656" s="1692"/>
      <c r="C656" s="1695" t="s">
        <v>899</v>
      </c>
      <c r="D656" s="1696"/>
      <c r="E656" s="1696"/>
      <c r="F656" s="1696"/>
      <c r="G656" s="1696"/>
      <c r="H656" s="1697"/>
      <c r="I656" s="1698">
        <v>0</v>
      </c>
      <c r="J656" s="915">
        <v>1</v>
      </c>
      <c r="K656" s="669" t="s">
        <v>691</v>
      </c>
      <c r="L656" s="238">
        <v>25</v>
      </c>
      <c r="M656" s="67"/>
      <c r="O656" s="238">
        <v>25</v>
      </c>
    </row>
    <row r="657" spans="1:16" s="66" customFormat="1" ht="30" customHeight="1" x14ac:dyDescent="0.2">
      <c r="A657" s="149"/>
      <c r="B657" s="1693"/>
      <c r="C657" s="1701" t="s">
        <v>694</v>
      </c>
      <c r="D657" s="1702"/>
      <c r="E657" s="1702" t="s">
        <v>695</v>
      </c>
      <c r="F657" s="1702"/>
      <c r="G657" s="1702" t="s">
        <v>696</v>
      </c>
      <c r="H657" s="1703"/>
      <c r="I657" s="1699"/>
      <c r="J657" s="1045"/>
      <c r="K657" s="669" t="s">
        <v>691</v>
      </c>
      <c r="L657" s="238">
        <v>25</v>
      </c>
      <c r="M657" s="67"/>
      <c r="O657" s="238">
        <v>25</v>
      </c>
    </row>
    <row r="658" spans="1:16" s="66" customFormat="1" ht="30" customHeight="1" x14ac:dyDescent="0.2">
      <c r="A658" s="149"/>
      <c r="B658" s="1694"/>
      <c r="C658" s="1704" t="s">
        <v>697</v>
      </c>
      <c r="D658" s="1685"/>
      <c r="E658" s="1685"/>
      <c r="F658" s="1685"/>
      <c r="G658" s="1685"/>
      <c r="H658" s="1686"/>
      <c r="I658" s="1700"/>
      <c r="J658" s="916"/>
      <c r="K658" s="669" t="s">
        <v>691</v>
      </c>
      <c r="L658" s="238">
        <v>25</v>
      </c>
      <c r="M658" s="67"/>
      <c r="O658" s="238">
        <v>25</v>
      </c>
    </row>
    <row r="659" spans="1:16" ht="20.100000000000001" customHeight="1" x14ac:dyDescent="0.2">
      <c r="A659" s="149"/>
      <c r="B659" s="727"/>
      <c r="C659" s="649"/>
      <c r="D659" s="649"/>
      <c r="E659" s="649"/>
      <c r="F659" s="649"/>
      <c r="G659" s="649"/>
      <c r="H659" s="649"/>
      <c r="I659" s="618"/>
      <c r="J659" s="128"/>
      <c r="K659" s="728"/>
      <c r="L659" s="723"/>
      <c r="M659" s="149"/>
      <c r="N659" s="45"/>
      <c r="O659" s="723"/>
      <c r="P659" s="45"/>
    </row>
    <row r="660" spans="1:16" s="66" customFormat="1" ht="30" customHeight="1" x14ac:dyDescent="0.2">
      <c r="A660" s="45"/>
      <c r="B660" s="1687" t="s">
        <v>737</v>
      </c>
      <c r="C660" s="1688"/>
      <c r="D660" s="1688"/>
      <c r="E660" s="1688"/>
      <c r="F660" s="1688"/>
      <c r="G660" s="1688"/>
      <c r="H660" s="1689"/>
      <c r="I660" s="406" t="s">
        <v>17</v>
      </c>
      <c r="J660" s="193" t="s">
        <v>18</v>
      </c>
      <c r="K660" s="669" t="s">
        <v>738</v>
      </c>
      <c r="L660" s="238">
        <v>31</v>
      </c>
      <c r="M660" s="67"/>
      <c r="N660" s="182" t="s">
        <v>30</v>
      </c>
      <c r="O660" s="238">
        <v>31</v>
      </c>
    </row>
    <row r="661" spans="1:16" s="66" customFormat="1" ht="64.5" customHeight="1" x14ac:dyDescent="0.2">
      <c r="A661" s="45"/>
      <c r="B661" s="1166" t="s">
        <v>808</v>
      </c>
      <c r="C661" s="1167"/>
      <c r="D661" s="1167"/>
      <c r="E661" s="1167"/>
      <c r="F661" s="1167"/>
      <c r="G661" s="1167"/>
      <c r="H661" s="1168"/>
      <c r="I661" s="164">
        <v>0</v>
      </c>
      <c r="J661" s="199">
        <v>1</v>
      </c>
      <c r="K661" s="669" t="s">
        <v>738</v>
      </c>
      <c r="L661" s="238">
        <v>31</v>
      </c>
      <c r="M661" s="67"/>
      <c r="O661" s="238">
        <v>31</v>
      </c>
    </row>
    <row r="662" spans="1:16" s="66" customFormat="1" ht="20.100000000000001" customHeight="1" x14ac:dyDescent="0.2">
      <c r="A662" s="45"/>
      <c r="B662" s="642"/>
      <c r="C662" s="642"/>
      <c r="D662" s="642"/>
      <c r="E662" s="642"/>
      <c r="F662" s="642"/>
      <c r="G662" s="642"/>
      <c r="H662" s="642"/>
      <c r="I662" s="666"/>
      <c r="J662" s="180"/>
      <c r="K662" s="69"/>
      <c r="L662" s="722"/>
      <c r="M662" s="67"/>
      <c r="O662" s="238"/>
    </row>
    <row r="663" spans="1:16" s="66" customFormat="1" ht="30" customHeight="1" x14ac:dyDescent="0.2">
      <c r="A663" s="45"/>
      <c r="B663" s="1355" t="s">
        <v>804</v>
      </c>
      <c r="C663" s="1356"/>
      <c r="D663" s="1356"/>
      <c r="E663" s="1356"/>
      <c r="F663" s="1356"/>
      <c r="G663" s="1356"/>
      <c r="H663" s="1357"/>
      <c r="I663" s="406" t="s">
        <v>17</v>
      </c>
      <c r="J663" s="35" t="s">
        <v>18</v>
      </c>
      <c r="K663" s="669" t="s">
        <v>805</v>
      </c>
      <c r="L663" s="238">
        <v>34</v>
      </c>
      <c r="M663" s="67"/>
      <c r="N663" s="182" t="s">
        <v>30</v>
      </c>
      <c r="O663" s="238">
        <v>34</v>
      </c>
    </row>
    <row r="664" spans="1:16" s="66" customFormat="1" ht="30" customHeight="1" x14ac:dyDescent="0.2">
      <c r="A664" s="45"/>
      <c r="B664" s="1358" t="s">
        <v>806</v>
      </c>
      <c r="C664" s="1359"/>
      <c r="D664" s="1359"/>
      <c r="E664" s="1359"/>
      <c r="F664" s="1359"/>
      <c r="G664" s="1359"/>
      <c r="H664" s="1359"/>
      <c r="I664" s="1359"/>
      <c r="J664" s="1360"/>
      <c r="K664" s="669" t="s">
        <v>805</v>
      </c>
      <c r="L664" s="238">
        <v>34</v>
      </c>
      <c r="M664" s="67"/>
      <c r="O664" s="238">
        <v>34</v>
      </c>
    </row>
    <row r="665" spans="1:16" ht="90" customHeight="1" x14ac:dyDescent="0.2">
      <c r="A665" s="45"/>
      <c r="B665" s="726"/>
      <c r="C665" s="1252" t="s">
        <v>807</v>
      </c>
      <c r="D665" s="1252"/>
      <c r="E665" s="1252"/>
      <c r="F665" s="1252"/>
      <c r="G665" s="1252"/>
      <c r="H665" s="1252"/>
      <c r="I665" s="539">
        <v>0</v>
      </c>
      <c r="J665" s="75">
        <v>1</v>
      </c>
      <c r="K665" s="669" t="s">
        <v>805</v>
      </c>
      <c r="L665" s="238">
        <v>34</v>
      </c>
      <c r="M665" s="149"/>
      <c r="N665" s="45"/>
      <c r="O665" s="238">
        <v>34</v>
      </c>
      <c r="P665" s="45"/>
    </row>
    <row r="666" spans="1:16" ht="20.100000000000001" customHeight="1" x14ac:dyDescent="0.2">
      <c r="A666" s="45"/>
      <c r="B666" s="822"/>
      <c r="C666" s="644"/>
      <c r="D666" s="644"/>
      <c r="E666" s="644"/>
      <c r="F666" s="644"/>
      <c r="G666" s="644"/>
      <c r="H666" s="644"/>
      <c r="I666" s="585"/>
      <c r="J666" s="78"/>
      <c r="K666" s="728"/>
      <c r="L666" s="723"/>
      <c r="M666" s="149"/>
      <c r="N666" s="45"/>
      <c r="O666" s="723"/>
      <c r="P666" s="45"/>
    </row>
    <row r="667" spans="1:16" s="66" customFormat="1" ht="30" customHeight="1" x14ac:dyDescent="0.2">
      <c r="A667" s="67"/>
      <c r="B667" s="1355" t="s">
        <v>698</v>
      </c>
      <c r="C667" s="1673"/>
      <c r="D667" s="1673"/>
      <c r="E667" s="1673"/>
      <c r="F667" s="1673"/>
      <c r="G667" s="1673"/>
      <c r="H667" s="1674"/>
      <c r="I667" s="406" t="s">
        <v>17</v>
      </c>
      <c r="J667" s="35" t="s">
        <v>18</v>
      </c>
      <c r="K667" s="226" t="s">
        <v>699</v>
      </c>
      <c r="L667" s="183">
        <v>26</v>
      </c>
      <c r="M667" s="67"/>
      <c r="N667" s="182" t="s">
        <v>30</v>
      </c>
      <c r="O667" s="183">
        <v>26</v>
      </c>
    </row>
    <row r="668" spans="1:16" s="66" customFormat="1" ht="39.950000000000003" customHeight="1" x14ac:dyDescent="0.2">
      <c r="A668" s="67"/>
      <c r="B668" s="1161" t="s">
        <v>700</v>
      </c>
      <c r="C668" s="1359"/>
      <c r="D668" s="1359"/>
      <c r="E668" s="1359"/>
      <c r="F668" s="1359"/>
      <c r="G668" s="1359"/>
      <c r="H668" s="1359"/>
      <c r="I668" s="1359"/>
      <c r="J668" s="1360"/>
      <c r="K668" s="226" t="s">
        <v>699</v>
      </c>
      <c r="L668" s="183">
        <v>26</v>
      </c>
      <c r="M668" s="67"/>
      <c r="O668" s="183">
        <v>26</v>
      </c>
    </row>
    <row r="669" spans="1:16" s="66" customFormat="1" ht="56.25" customHeight="1" x14ac:dyDescent="0.2">
      <c r="A669" s="67"/>
      <c r="B669" s="725" t="s">
        <v>701</v>
      </c>
      <c r="C669" s="1682" t="s">
        <v>702</v>
      </c>
      <c r="D669" s="1649"/>
      <c r="E669" s="1649"/>
      <c r="F669" s="1649"/>
      <c r="G669" s="1649"/>
      <c r="H669" s="1649"/>
      <c r="I669" s="733">
        <v>0</v>
      </c>
      <c r="J669" s="405">
        <v>1</v>
      </c>
      <c r="K669" s="226" t="s">
        <v>699</v>
      </c>
      <c r="L669" s="183">
        <v>26</v>
      </c>
      <c r="M669" s="67"/>
      <c r="O669" s="183">
        <v>26</v>
      </c>
    </row>
    <row r="670" spans="1:16" s="66" customFormat="1" ht="20.100000000000001" customHeight="1" x14ac:dyDescent="0.2">
      <c r="A670" s="149"/>
      <c r="B670" s="591"/>
      <c r="C670" s="648"/>
      <c r="D670" s="648"/>
      <c r="E670" s="648"/>
      <c r="F670" s="648"/>
      <c r="G670" s="648"/>
      <c r="H670" s="648"/>
      <c r="I670" s="593"/>
      <c r="J670" s="65"/>
      <c r="M670" s="67"/>
    </row>
    <row r="671" spans="1:16" s="66" customFormat="1" ht="30" customHeight="1" x14ac:dyDescent="0.2">
      <c r="A671" s="149"/>
      <c r="B671" s="1355" t="s">
        <v>703</v>
      </c>
      <c r="C671" s="1673"/>
      <c r="D671" s="1673"/>
      <c r="E671" s="1673"/>
      <c r="F671" s="1673"/>
      <c r="G671" s="1673"/>
      <c r="H671" s="1674"/>
      <c r="I671" s="1683" t="s">
        <v>17</v>
      </c>
      <c r="J671" s="1684"/>
      <c r="K671" s="226" t="s">
        <v>704</v>
      </c>
      <c r="L671" s="183">
        <v>27</v>
      </c>
      <c r="M671" s="67"/>
      <c r="N671" s="182" t="s">
        <v>30</v>
      </c>
      <c r="O671" s="183">
        <v>27</v>
      </c>
      <c r="P671" s="45"/>
    </row>
    <row r="672" spans="1:16" ht="96" customHeight="1" x14ac:dyDescent="0.2">
      <c r="A672" s="149"/>
      <c r="B672" s="726" t="s">
        <v>705</v>
      </c>
      <c r="C672" s="1169" t="s">
        <v>706</v>
      </c>
      <c r="D672" s="1170"/>
      <c r="E672" s="1170"/>
      <c r="F672" s="1170"/>
      <c r="G672" s="1170"/>
      <c r="H672" s="1171"/>
      <c r="I672" s="1678">
        <v>145</v>
      </c>
      <c r="J672" s="1678"/>
      <c r="K672" s="226" t="s">
        <v>704</v>
      </c>
      <c r="L672" s="183">
        <v>27</v>
      </c>
      <c r="M672" s="149"/>
      <c r="N672" s="45"/>
      <c r="O672" s="183">
        <v>27</v>
      </c>
      <c r="P672" s="45"/>
    </row>
    <row r="673" spans="1:31" s="66" customFormat="1" ht="69.95" customHeight="1" x14ac:dyDescent="0.2">
      <c r="A673" s="149"/>
      <c r="B673" s="726" t="s">
        <v>707</v>
      </c>
      <c r="C673" s="1169" t="s">
        <v>708</v>
      </c>
      <c r="D673" s="1170"/>
      <c r="E673" s="1170"/>
      <c r="F673" s="1170"/>
      <c r="G673" s="1170"/>
      <c r="H673" s="1171"/>
      <c r="I673" s="1680">
        <v>120</v>
      </c>
      <c r="J673" s="1681"/>
      <c r="K673" s="226" t="s">
        <v>704</v>
      </c>
      <c r="L673" s="183">
        <v>27</v>
      </c>
      <c r="M673" s="67"/>
      <c r="N673" s="182" t="s">
        <v>30</v>
      </c>
      <c r="O673" s="183">
        <v>27</v>
      </c>
      <c r="P673" s="45"/>
    </row>
    <row r="674" spans="1:31" s="66" customFormat="1" ht="27" customHeight="1" x14ac:dyDescent="0.2">
      <c r="A674" s="149"/>
      <c r="B674" s="1365" t="s">
        <v>709</v>
      </c>
      <c r="C674" s="1169" t="s">
        <v>710</v>
      </c>
      <c r="D674" s="1170"/>
      <c r="E674" s="1170"/>
      <c r="F674" s="1170"/>
      <c r="G674" s="1170"/>
      <c r="H674" s="1171"/>
      <c r="I674" s="1680">
        <v>50</v>
      </c>
      <c r="J674" s="1681"/>
      <c r="K674" s="226" t="s">
        <v>704</v>
      </c>
      <c r="L674" s="183">
        <v>27</v>
      </c>
      <c r="M674" s="67"/>
      <c r="N674" s="182" t="s">
        <v>30</v>
      </c>
      <c r="O674" s="183">
        <v>27</v>
      </c>
    </row>
    <row r="675" spans="1:31" s="66" customFormat="1" ht="27" customHeight="1" x14ac:dyDescent="0.2">
      <c r="A675" s="149"/>
      <c r="B675" s="1366"/>
      <c r="C675" s="1170" t="s">
        <v>711</v>
      </c>
      <c r="D675" s="1170"/>
      <c r="E675" s="1170"/>
      <c r="F675" s="1170"/>
      <c r="G675" s="1170"/>
      <c r="H675" s="1170"/>
      <c r="I675" s="1678">
        <v>50</v>
      </c>
      <c r="J675" s="1678"/>
      <c r="K675" s="226" t="s">
        <v>704</v>
      </c>
      <c r="L675" s="183">
        <v>27</v>
      </c>
      <c r="M675" s="67"/>
      <c r="O675" s="183">
        <v>27</v>
      </c>
    </row>
    <row r="676" spans="1:31" s="66" customFormat="1" ht="27" customHeight="1" x14ac:dyDescent="0.2">
      <c r="A676" s="149"/>
      <c r="B676" s="1366"/>
      <c r="C676" s="1283" t="s">
        <v>712</v>
      </c>
      <c r="D676" s="1283"/>
      <c r="E676" s="1283"/>
      <c r="F676" s="1283"/>
      <c r="G676" s="1283"/>
      <c r="H676" s="1283"/>
      <c r="I676" s="1678">
        <v>40</v>
      </c>
      <c r="J676" s="1678"/>
      <c r="K676" s="226" t="s">
        <v>704</v>
      </c>
      <c r="L676" s="183">
        <v>27</v>
      </c>
      <c r="M676" s="67"/>
      <c r="O676" s="183">
        <v>27</v>
      </c>
    </row>
    <row r="677" spans="1:31" s="66" customFormat="1" ht="27" customHeight="1" x14ac:dyDescent="0.2">
      <c r="A677" s="149"/>
      <c r="B677" s="1366"/>
      <c r="C677" s="1170" t="s">
        <v>713</v>
      </c>
      <c r="D677" s="1170"/>
      <c r="E677" s="1170"/>
      <c r="F677" s="1170"/>
      <c r="G677" s="1170"/>
      <c r="H677" s="1170"/>
      <c r="I677" s="1678">
        <v>30</v>
      </c>
      <c r="J677" s="1678"/>
      <c r="K677" s="226" t="s">
        <v>704</v>
      </c>
      <c r="L677" s="183">
        <v>27</v>
      </c>
      <c r="M677" s="67"/>
      <c r="O677" s="183">
        <v>27</v>
      </c>
    </row>
    <row r="678" spans="1:31" s="66" customFormat="1" ht="27" customHeight="1" x14ac:dyDescent="0.2">
      <c r="A678" s="149"/>
      <c r="B678" s="1366"/>
      <c r="C678" s="1252" t="s">
        <v>714</v>
      </c>
      <c r="D678" s="1252"/>
      <c r="E678" s="1252"/>
      <c r="F678" s="1252"/>
      <c r="G678" s="1252"/>
      <c r="H678" s="1252"/>
      <c r="I678" s="1678">
        <v>25</v>
      </c>
      <c r="J678" s="1678"/>
      <c r="K678" s="226" t="s">
        <v>704</v>
      </c>
      <c r="L678" s="183">
        <v>27</v>
      </c>
      <c r="M678" s="67"/>
      <c r="N678" s="67"/>
      <c r="O678" s="183">
        <v>27</v>
      </c>
    </row>
    <row r="679" spans="1:31" s="66" customFormat="1" ht="27" customHeight="1" x14ac:dyDescent="0.2">
      <c r="A679" s="149"/>
      <c r="B679" s="1366"/>
      <c r="C679" s="1252" t="s">
        <v>715</v>
      </c>
      <c r="D679" s="1679"/>
      <c r="E679" s="1679"/>
      <c r="F679" s="1679"/>
      <c r="G679" s="1679"/>
      <c r="H679" s="1679"/>
      <c r="I679" s="1678">
        <v>30</v>
      </c>
      <c r="J679" s="1678"/>
      <c r="K679" s="226" t="s">
        <v>704</v>
      </c>
      <c r="L679" s="183">
        <v>27</v>
      </c>
      <c r="M679" s="67"/>
      <c r="O679" s="183">
        <v>27</v>
      </c>
    </row>
    <row r="680" spans="1:31" s="66" customFormat="1" ht="27" customHeight="1" x14ac:dyDescent="0.2">
      <c r="A680" s="149"/>
      <c r="B680" s="1366"/>
      <c r="C680" s="1252" t="s">
        <v>716</v>
      </c>
      <c r="D680" s="1679"/>
      <c r="E680" s="1679"/>
      <c r="F680" s="1679"/>
      <c r="G680" s="1679"/>
      <c r="H680" s="1679"/>
      <c r="I680" s="1678">
        <v>18</v>
      </c>
      <c r="J680" s="1678"/>
      <c r="K680" s="226" t="s">
        <v>704</v>
      </c>
      <c r="L680" s="183">
        <v>27</v>
      </c>
      <c r="M680" s="67"/>
      <c r="O680" s="183">
        <v>27</v>
      </c>
    </row>
    <row r="681" spans="1:31" s="66" customFormat="1" ht="27" customHeight="1" x14ac:dyDescent="0.2">
      <c r="A681" s="149"/>
      <c r="B681" s="1366"/>
      <c r="C681" s="1252" t="s">
        <v>717</v>
      </c>
      <c r="D681" s="1679"/>
      <c r="E681" s="1679"/>
      <c r="F681" s="1679"/>
      <c r="G681" s="1679"/>
      <c r="H681" s="1679"/>
      <c r="I681" s="1678">
        <v>18</v>
      </c>
      <c r="J681" s="1678"/>
      <c r="K681" s="226" t="s">
        <v>704</v>
      </c>
      <c r="L681" s="183">
        <v>27</v>
      </c>
      <c r="M681" s="67"/>
      <c r="O681" s="183">
        <v>27</v>
      </c>
    </row>
    <row r="682" spans="1:31" s="66" customFormat="1" ht="27" customHeight="1" x14ac:dyDescent="0.2">
      <c r="A682" s="149"/>
      <c r="B682" s="1366"/>
      <c r="C682" s="1252" t="s">
        <v>718</v>
      </c>
      <c r="D682" s="1252"/>
      <c r="E682" s="1252"/>
      <c r="F682" s="1252"/>
      <c r="G682" s="1252"/>
      <c r="H682" s="1252"/>
      <c r="I682" s="1678">
        <v>25</v>
      </c>
      <c r="J682" s="1678"/>
      <c r="K682" s="226" t="s">
        <v>704</v>
      </c>
      <c r="L682" s="183">
        <v>27</v>
      </c>
      <c r="M682" s="67"/>
      <c r="O682" s="183">
        <v>27</v>
      </c>
    </row>
    <row r="683" spans="1:31" s="66" customFormat="1" ht="27" customHeight="1" x14ac:dyDescent="0.2">
      <c r="A683" s="149"/>
      <c r="B683" s="1366"/>
      <c r="C683" s="1252" t="s">
        <v>719</v>
      </c>
      <c r="D683" s="1252"/>
      <c r="E683" s="1252"/>
      <c r="F683" s="1252"/>
      <c r="G683" s="1252"/>
      <c r="H683" s="1252"/>
      <c r="I683" s="1678">
        <v>18</v>
      </c>
      <c r="J683" s="1678"/>
      <c r="K683" s="226" t="s">
        <v>704</v>
      </c>
      <c r="L683" s="183">
        <v>27</v>
      </c>
      <c r="M683" s="67"/>
      <c r="O683" s="183">
        <v>27</v>
      </c>
    </row>
    <row r="684" spans="1:31" s="66" customFormat="1" ht="27" customHeight="1" x14ac:dyDescent="0.2">
      <c r="A684" s="149"/>
      <c r="B684" s="1366"/>
      <c r="C684" s="1252" t="s">
        <v>720</v>
      </c>
      <c r="D684" s="1252"/>
      <c r="E684" s="1252"/>
      <c r="F684" s="1252"/>
      <c r="G684" s="1252"/>
      <c r="H684" s="1252"/>
      <c r="I684" s="1678">
        <v>10</v>
      </c>
      <c r="J684" s="1678"/>
      <c r="K684" s="226" t="s">
        <v>704</v>
      </c>
      <c r="L684" s="183">
        <v>27</v>
      </c>
      <c r="M684" s="67"/>
      <c r="O684" s="183">
        <v>27</v>
      </c>
    </row>
    <row r="685" spans="1:31" s="66" customFormat="1" ht="27" customHeight="1" x14ac:dyDescent="0.2">
      <c r="A685" s="149"/>
      <c r="B685" s="1366"/>
      <c r="C685" s="1252" t="s">
        <v>721</v>
      </c>
      <c r="D685" s="1252"/>
      <c r="E685" s="1252"/>
      <c r="F685" s="1252"/>
      <c r="G685" s="1252"/>
      <c r="H685" s="1252"/>
      <c r="I685" s="1678">
        <v>18</v>
      </c>
      <c r="J685" s="1678"/>
      <c r="K685" s="226" t="s">
        <v>704</v>
      </c>
      <c r="L685" s="183">
        <v>27</v>
      </c>
      <c r="M685" s="67"/>
      <c r="O685" s="183">
        <v>27</v>
      </c>
    </row>
    <row r="686" spans="1:31" s="66" customFormat="1" ht="51.75" customHeight="1" x14ac:dyDescent="0.2">
      <c r="A686" s="149"/>
      <c r="B686" s="1352" t="s">
        <v>722</v>
      </c>
      <c r="C686" s="1353"/>
      <c r="D686" s="1353"/>
      <c r="E686" s="1353"/>
      <c r="F686" s="1353"/>
      <c r="G686" s="1353"/>
      <c r="H686" s="1353"/>
      <c r="I686" s="1353"/>
      <c r="J686" s="1354"/>
      <c r="K686" s="226" t="s">
        <v>704</v>
      </c>
      <c r="L686" s="183">
        <v>27</v>
      </c>
      <c r="M686" s="67"/>
      <c r="N686" s="182" t="s">
        <v>30</v>
      </c>
      <c r="O686" s="183">
        <v>27</v>
      </c>
    </row>
    <row r="687" spans="1:31" s="66" customFormat="1" ht="20.100000000000001" customHeight="1" x14ac:dyDescent="0.2">
      <c r="A687" s="149"/>
      <c r="B687" s="591"/>
      <c r="C687" s="648"/>
      <c r="D687" s="648"/>
      <c r="E687" s="648"/>
      <c r="F687" s="648"/>
      <c r="G687" s="648"/>
      <c r="H687" s="648"/>
      <c r="I687" s="593"/>
      <c r="J687" s="65"/>
      <c r="M687" s="67"/>
    </row>
    <row r="688" spans="1:31" s="66" customFormat="1" ht="30" customHeight="1" x14ac:dyDescent="0.2">
      <c r="A688" s="45"/>
      <c r="B688" s="1355" t="s">
        <v>723</v>
      </c>
      <c r="C688" s="1356"/>
      <c r="D688" s="1356"/>
      <c r="E688" s="1356"/>
      <c r="F688" s="1356"/>
      <c r="G688" s="1356"/>
      <c r="H688" s="1357"/>
      <c r="I688" s="406" t="s">
        <v>17</v>
      </c>
      <c r="J688" s="407" t="s">
        <v>18</v>
      </c>
      <c r="K688" s="226" t="s">
        <v>724</v>
      </c>
      <c r="L688" s="183">
        <v>28</v>
      </c>
      <c r="M688" s="67"/>
      <c r="N688" s="182" t="s">
        <v>30</v>
      </c>
      <c r="O688" s="183">
        <v>28</v>
      </c>
      <c r="Q688" s="45"/>
      <c r="R688" s="45"/>
      <c r="S688" s="45"/>
      <c r="T688" s="45"/>
      <c r="U688" s="45"/>
      <c r="V688" s="45"/>
      <c r="W688" s="45"/>
      <c r="X688" s="45"/>
      <c r="Y688" s="45"/>
      <c r="Z688" s="45"/>
      <c r="AA688" s="45"/>
      <c r="AB688" s="45"/>
      <c r="AC688" s="45"/>
      <c r="AD688" s="45"/>
      <c r="AE688" s="45"/>
    </row>
    <row r="689" spans="1:31" s="66" customFormat="1" ht="30" customHeight="1" x14ac:dyDescent="0.2">
      <c r="A689" s="45"/>
      <c r="B689" s="1358" t="s">
        <v>725</v>
      </c>
      <c r="C689" s="1359"/>
      <c r="D689" s="1359"/>
      <c r="E689" s="1359"/>
      <c r="F689" s="1359"/>
      <c r="G689" s="1359"/>
      <c r="H689" s="1359"/>
      <c r="I689" s="1359"/>
      <c r="J689" s="1360"/>
      <c r="K689" s="226" t="s">
        <v>724</v>
      </c>
      <c r="L689" s="183">
        <v>28</v>
      </c>
      <c r="M689" s="67"/>
      <c r="O689" s="183">
        <v>28</v>
      </c>
      <c r="Q689" s="45"/>
      <c r="R689" s="45"/>
      <c r="S689" s="45"/>
      <c r="T689" s="45"/>
      <c r="U689" s="45"/>
      <c r="V689" s="45"/>
      <c r="W689" s="45"/>
      <c r="X689" s="45"/>
      <c r="Y689" s="45"/>
      <c r="Z689" s="45"/>
      <c r="AA689" s="45"/>
      <c r="AB689" s="45"/>
      <c r="AC689" s="45"/>
      <c r="AD689" s="45"/>
      <c r="AE689" s="45"/>
    </row>
    <row r="690" spans="1:31" s="66" customFormat="1" ht="150" customHeight="1" x14ac:dyDescent="0.2">
      <c r="A690" s="45"/>
      <c r="B690" s="408"/>
      <c r="C690" s="1361" t="s">
        <v>889</v>
      </c>
      <c r="D690" s="1362"/>
      <c r="E690" s="1362"/>
      <c r="F690" s="1362"/>
      <c r="G690" s="1362"/>
      <c r="H690" s="1363"/>
      <c r="I690" s="409">
        <v>35</v>
      </c>
      <c r="J690" s="410">
        <v>1</v>
      </c>
      <c r="K690" s="226" t="s">
        <v>724</v>
      </c>
      <c r="L690" s="183">
        <v>28</v>
      </c>
      <c r="M690" s="67"/>
      <c r="O690" s="183">
        <v>28</v>
      </c>
      <c r="Q690" s="45"/>
      <c r="R690" s="45"/>
      <c r="S690" s="45"/>
      <c r="T690" s="45"/>
      <c r="U690" s="45"/>
      <c r="V690" s="45"/>
      <c r="W690" s="45"/>
      <c r="X690" s="45"/>
      <c r="Y690" s="45"/>
      <c r="Z690" s="45"/>
      <c r="AA690" s="45"/>
      <c r="AB690" s="45"/>
      <c r="AC690" s="45"/>
      <c r="AD690" s="45"/>
      <c r="AE690" s="45"/>
    </row>
    <row r="691" spans="1:31" s="66" customFormat="1" ht="30" customHeight="1" x14ac:dyDescent="0.2">
      <c r="A691" s="45"/>
      <c r="B691" s="1358" t="s">
        <v>727</v>
      </c>
      <c r="C691" s="1359"/>
      <c r="D691" s="1359"/>
      <c r="E691" s="1359"/>
      <c r="F691" s="1359"/>
      <c r="G691" s="1359"/>
      <c r="H691" s="1359"/>
      <c r="I691" s="1359"/>
      <c r="J691" s="1360"/>
      <c r="K691" s="226" t="s">
        <v>724</v>
      </c>
      <c r="L691" s="183">
        <v>28</v>
      </c>
      <c r="M691" s="67"/>
      <c r="N691" s="182" t="s">
        <v>30</v>
      </c>
      <c r="O691" s="183">
        <v>28</v>
      </c>
      <c r="Q691" s="45"/>
      <c r="R691" s="45"/>
      <c r="S691" s="45"/>
      <c r="T691" s="45"/>
      <c r="U691" s="45"/>
      <c r="V691" s="45"/>
      <c r="W691" s="45"/>
      <c r="X691" s="45"/>
      <c r="Y691" s="45"/>
      <c r="Z691" s="45"/>
      <c r="AA691" s="45"/>
      <c r="AB691" s="45"/>
      <c r="AC691" s="45"/>
      <c r="AD691" s="45"/>
      <c r="AE691" s="45"/>
    </row>
    <row r="692" spans="1:31" s="66" customFormat="1" ht="81.75" customHeight="1" x14ac:dyDescent="0.2">
      <c r="A692" s="45"/>
      <c r="B692" s="408"/>
      <c r="C692" s="1361" t="s">
        <v>728</v>
      </c>
      <c r="D692" s="1362"/>
      <c r="E692" s="1362"/>
      <c r="F692" s="1362"/>
      <c r="G692" s="1362"/>
      <c r="H692" s="1363"/>
      <c r="I692" s="409">
        <v>20</v>
      </c>
      <c r="J692" s="410">
        <v>1</v>
      </c>
      <c r="K692" s="226" t="s">
        <v>724</v>
      </c>
      <c r="L692" s="183">
        <v>28</v>
      </c>
      <c r="M692" s="67"/>
      <c r="O692" s="183">
        <v>28</v>
      </c>
      <c r="Q692" s="45"/>
      <c r="R692" s="45"/>
      <c r="S692" s="45"/>
      <c r="T692" s="45"/>
      <c r="U692" s="45"/>
      <c r="V692" s="45"/>
      <c r="W692" s="45"/>
      <c r="X692" s="45"/>
      <c r="Y692" s="45"/>
      <c r="Z692" s="45"/>
      <c r="AA692" s="45"/>
      <c r="AB692" s="45"/>
      <c r="AC692" s="45"/>
      <c r="AD692" s="45"/>
      <c r="AE692" s="45"/>
    </row>
    <row r="693" spans="1:31" s="66" customFormat="1" ht="30" customHeight="1" x14ac:dyDescent="0.2">
      <c r="A693" s="45"/>
      <c r="B693" s="1345" t="s">
        <v>921</v>
      </c>
      <c r="C693" s="1346"/>
      <c r="D693" s="1346"/>
      <c r="E693" s="1346"/>
      <c r="F693" s="1346"/>
      <c r="G693" s="1346"/>
      <c r="H693" s="1346"/>
      <c r="I693" s="1346"/>
      <c r="J693" s="1347"/>
      <c r="K693" s="226" t="s">
        <v>724</v>
      </c>
      <c r="L693" s="183">
        <v>28</v>
      </c>
      <c r="M693" s="67"/>
      <c r="O693" s="183">
        <v>28</v>
      </c>
      <c r="Q693" s="45"/>
      <c r="R693" s="45"/>
      <c r="S693" s="45"/>
      <c r="T693" s="45"/>
      <c r="U693" s="45"/>
      <c r="V693" s="45"/>
      <c r="W693" s="45"/>
      <c r="X693" s="45"/>
      <c r="Y693" s="45"/>
      <c r="Z693" s="45"/>
      <c r="AA693" s="45"/>
      <c r="AB693" s="45"/>
      <c r="AC693" s="45"/>
      <c r="AD693" s="45"/>
      <c r="AE693" s="45"/>
    </row>
    <row r="694" spans="1:31" s="66" customFormat="1" ht="20.100000000000001" customHeight="1" x14ac:dyDescent="0.2">
      <c r="A694" s="149"/>
      <c r="B694" s="648"/>
      <c r="C694" s="648"/>
      <c r="D694" s="648"/>
      <c r="E694" s="648"/>
      <c r="F694" s="648"/>
      <c r="G694" s="648"/>
      <c r="H694" s="648"/>
      <c r="I694" s="593"/>
      <c r="J694" s="65"/>
      <c r="M694" s="67"/>
    </row>
    <row r="695" spans="1:31" s="66" customFormat="1" ht="30" customHeight="1" x14ac:dyDescent="0.2">
      <c r="A695" s="149"/>
      <c r="B695" s="1355" t="s">
        <v>730</v>
      </c>
      <c r="C695" s="1673"/>
      <c r="D695" s="1673"/>
      <c r="E695" s="1673"/>
      <c r="F695" s="1673"/>
      <c r="G695" s="1673"/>
      <c r="H695" s="1674"/>
      <c r="I695" s="406" t="s">
        <v>17</v>
      </c>
      <c r="J695" s="35" t="s">
        <v>18</v>
      </c>
      <c r="K695" s="614" t="s">
        <v>731</v>
      </c>
      <c r="L695" s="734">
        <v>29</v>
      </c>
      <c r="M695" s="67"/>
      <c r="N695" s="182" t="s">
        <v>30</v>
      </c>
      <c r="O695" s="734">
        <v>29</v>
      </c>
    </row>
    <row r="696" spans="1:31" s="66" customFormat="1" ht="30" customHeight="1" x14ac:dyDescent="0.2">
      <c r="A696" s="149"/>
      <c r="B696" s="735" t="s">
        <v>732</v>
      </c>
      <c r="C696" s="691"/>
      <c r="D696" s="691"/>
      <c r="E696" s="691"/>
      <c r="F696" s="691"/>
      <c r="G696" s="691"/>
      <c r="H696" s="691"/>
      <c r="I696" s="736"/>
      <c r="J696" s="523"/>
      <c r="K696" s="614" t="s">
        <v>731</v>
      </c>
      <c r="L696" s="734">
        <v>29</v>
      </c>
      <c r="M696" s="67"/>
      <c r="O696" s="734">
        <v>29</v>
      </c>
    </row>
    <row r="697" spans="1:31" s="66" customFormat="1" ht="279.95" customHeight="1" x14ac:dyDescent="0.2">
      <c r="A697" s="149"/>
      <c r="B697" s="538" t="s">
        <v>328</v>
      </c>
      <c r="C697" s="1635" t="s">
        <v>891</v>
      </c>
      <c r="D697" s="1636"/>
      <c r="E697" s="1636"/>
      <c r="F697" s="1636"/>
      <c r="G697" s="1636"/>
      <c r="H697" s="1637"/>
      <c r="I697" s="409">
        <v>0</v>
      </c>
      <c r="J697" s="42">
        <v>1</v>
      </c>
      <c r="K697" s="614" t="s">
        <v>731</v>
      </c>
      <c r="L697" s="734">
        <v>29</v>
      </c>
      <c r="M697" s="67"/>
      <c r="O697" s="734">
        <v>29</v>
      </c>
    </row>
    <row r="698" spans="1:31" ht="20.100000000000001" customHeight="1" x14ac:dyDescent="0.2">
      <c r="A698" s="149"/>
      <c r="B698" s="721"/>
      <c r="C698" s="648"/>
      <c r="D698" s="648"/>
      <c r="E698" s="648"/>
      <c r="F698" s="648"/>
      <c r="G698" s="648"/>
      <c r="H698" s="648"/>
      <c r="I698" s="618"/>
      <c r="J698" s="128"/>
      <c r="K698" s="69"/>
      <c r="L698" s="722"/>
      <c r="M698" s="149"/>
      <c r="N698" s="45"/>
      <c r="O698" s="737"/>
      <c r="P698" s="45"/>
    </row>
    <row r="699" spans="1:31" s="66" customFormat="1" ht="30" customHeight="1" x14ac:dyDescent="0.2">
      <c r="A699" s="149"/>
      <c r="B699" s="1675" t="s">
        <v>740</v>
      </c>
      <c r="C699" s="1676"/>
      <c r="D699" s="1676"/>
      <c r="E699" s="1676"/>
      <c r="F699" s="1676"/>
      <c r="G699" s="1676"/>
      <c r="H699" s="1677"/>
      <c r="I699" s="406" t="s">
        <v>17</v>
      </c>
      <c r="J699" s="193" t="s">
        <v>18</v>
      </c>
      <c r="K699" s="669" t="s">
        <v>741</v>
      </c>
      <c r="L699" s="238">
        <v>32</v>
      </c>
      <c r="M699" s="67"/>
      <c r="N699" s="182" t="s">
        <v>30</v>
      </c>
      <c r="O699" s="238">
        <v>32</v>
      </c>
    </row>
    <row r="700" spans="1:31" s="66" customFormat="1" ht="54.95" customHeight="1" x14ac:dyDescent="0.2">
      <c r="A700" s="149"/>
      <c r="B700" s="1166" t="s">
        <v>742</v>
      </c>
      <c r="C700" s="1167"/>
      <c r="D700" s="1167"/>
      <c r="E700" s="1167"/>
      <c r="F700" s="1167"/>
      <c r="G700" s="1167"/>
      <c r="H700" s="1168"/>
      <c r="I700" s="164">
        <v>0</v>
      </c>
      <c r="J700" s="199">
        <v>1</v>
      </c>
      <c r="K700" s="669" t="s">
        <v>741</v>
      </c>
      <c r="L700" s="238">
        <v>32</v>
      </c>
      <c r="M700" s="67"/>
      <c r="O700" s="238">
        <v>32</v>
      </c>
    </row>
    <row r="701" spans="1:31" ht="20.100000000000001" customHeight="1" x14ac:dyDescent="0.2">
      <c r="A701" s="149"/>
      <c r="B701" s="642"/>
      <c r="C701" s="642"/>
      <c r="D701" s="642"/>
      <c r="E701" s="642"/>
      <c r="F701" s="642"/>
      <c r="G701" s="642"/>
      <c r="H701" s="642"/>
      <c r="I701" s="666"/>
      <c r="J701" s="180"/>
      <c r="K701" s="69"/>
      <c r="L701" s="722"/>
      <c r="M701" s="149"/>
      <c r="N701" s="45"/>
      <c r="O701" s="723"/>
      <c r="P701" s="45"/>
    </row>
    <row r="702" spans="1:31" ht="30" customHeight="1" x14ac:dyDescent="0.2">
      <c r="A702" s="45"/>
      <c r="B702" s="1623" t="s">
        <v>517</v>
      </c>
      <c r="C702" s="1624"/>
      <c r="D702" s="1624"/>
      <c r="E702" s="1624"/>
      <c r="F702" s="1624"/>
      <c r="G702" s="1624"/>
      <c r="H702" s="1624"/>
      <c r="I702" s="1624"/>
      <c r="J702" s="1625"/>
      <c r="N702" s="182" t="s">
        <v>30</v>
      </c>
    </row>
    <row r="703" spans="1:31" ht="30" customHeight="1" x14ac:dyDescent="0.2">
      <c r="A703" s="45"/>
      <c r="B703" s="738" t="s">
        <v>518</v>
      </c>
      <c r="C703" s="739"/>
      <c r="D703" s="739"/>
      <c r="E703" s="739"/>
      <c r="F703" s="739"/>
      <c r="G703" s="739"/>
      <c r="H703" s="739"/>
      <c r="I703" s="740"/>
      <c r="J703" s="276"/>
    </row>
    <row r="704" spans="1:31" ht="69.95" customHeight="1" x14ac:dyDescent="0.2">
      <c r="A704" s="45"/>
      <c r="B704" s="1659" t="s">
        <v>905</v>
      </c>
      <c r="C704" s="1660"/>
      <c r="D704" s="1660"/>
      <c r="E704" s="1660"/>
      <c r="F704" s="1660"/>
      <c r="G704" s="1660"/>
      <c r="H704" s="1660"/>
      <c r="I704" s="1660"/>
      <c r="J704" s="1661"/>
    </row>
    <row r="705" spans="1:31" ht="20.100000000000001" customHeight="1" x14ac:dyDescent="0.2">
      <c r="A705" s="45"/>
      <c r="B705" s="648"/>
      <c r="C705" s="621"/>
      <c r="D705" s="621"/>
      <c r="E705" s="621"/>
      <c r="F705" s="621"/>
      <c r="G705" s="621"/>
      <c r="H705" s="621"/>
      <c r="I705" s="593"/>
      <c r="J705" s="65"/>
      <c r="N705" s="149"/>
    </row>
    <row r="706" spans="1:31" ht="30" customHeight="1" x14ac:dyDescent="0.2">
      <c r="A706" s="45"/>
      <c r="B706" s="1623" t="s">
        <v>522</v>
      </c>
      <c r="C706" s="1624"/>
      <c r="D706" s="1624"/>
      <c r="E706" s="1624"/>
      <c r="F706" s="1624"/>
      <c r="G706" s="1624"/>
      <c r="H706" s="1624"/>
      <c r="I706" s="1624"/>
      <c r="J706" s="1625"/>
      <c r="N706" s="182" t="s">
        <v>30</v>
      </c>
    </row>
    <row r="707" spans="1:31" ht="20.100000000000001" customHeight="1" x14ac:dyDescent="0.2">
      <c r="A707" s="45"/>
    </row>
    <row r="708" spans="1:31" ht="30" customHeight="1" x14ac:dyDescent="0.2">
      <c r="A708" s="45"/>
      <c r="B708" s="1662" t="str">
        <f>$B$7</f>
        <v xml:space="preserve"> CESANTES, CÓNYUGES E HIJOS (HASTA 18 AÑOS)</v>
      </c>
      <c r="C708" s="1663"/>
      <c r="D708" s="1663"/>
      <c r="E708" s="1663"/>
      <c r="F708" s="1663"/>
      <c r="G708" s="1663"/>
      <c r="H708" s="1663"/>
      <c r="I708" s="1663"/>
      <c r="J708" s="1664"/>
      <c r="N708" s="182" t="s">
        <v>30</v>
      </c>
    </row>
    <row r="709" spans="1:31" ht="20.100000000000001" customHeight="1" x14ac:dyDescent="0.2">
      <c r="A709" s="45"/>
      <c r="B709" s="741"/>
    </row>
    <row r="710" spans="1:31" ht="24.95" customHeight="1" x14ac:dyDescent="0.2">
      <c r="A710" s="45"/>
      <c r="B710" s="1665" t="s">
        <v>523</v>
      </c>
      <c r="C710" s="1666"/>
      <c r="D710" s="1666"/>
      <c r="E710" s="1665" t="s">
        <v>524</v>
      </c>
      <c r="F710" s="1667"/>
    </row>
    <row r="711" spans="1:31" ht="24.95" customHeight="1" x14ac:dyDescent="0.2">
      <c r="A711" s="45"/>
      <c r="B711" s="1670" t="s">
        <v>525</v>
      </c>
      <c r="C711" s="1671"/>
      <c r="D711" s="1671"/>
      <c r="E711" s="1668"/>
      <c r="F711" s="1669"/>
      <c r="G711" s="1672"/>
      <c r="H711" s="1672"/>
      <c r="I711" s="1672"/>
      <c r="J711" s="1672"/>
    </row>
    <row r="712" spans="1:31" ht="20.100000000000001" customHeight="1" x14ac:dyDescent="0.2">
      <c r="A712" s="45"/>
      <c r="B712" s="2060" t="str">
        <f>'[2]Datos REG y HIJOS'!$I$6</f>
        <v>Titular solo</v>
      </c>
      <c r="C712" s="1919"/>
      <c r="D712" s="1919"/>
      <c r="E712" s="2066">
        <f>'[2]Datos REG y HIJOS'!$M$6</f>
        <v>145.16982859970557</v>
      </c>
      <c r="F712" s="2067"/>
      <c r="G712" s="742"/>
      <c r="H712" s="743"/>
      <c r="I712" s="1657"/>
      <c r="J712" s="1657"/>
      <c r="K712" s="744" t="s">
        <v>526</v>
      </c>
    </row>
    <row r="713" spans="1:31" ht="20.100000000000001" customHeight="1" x14ac:dyDescent="0.2">
      <c r="A713" s="45"/>
      <c r="B713" s="2060" t="str">
        <f>'[2]Datos REG y HIJOS'!$I$7</f>
        <v>Titular + 1 Dependiente</v>
      </c>
      <c r="C713" s="1919"/>
      <c r="D713" s="1919"/>
      <c r="E713" s="2061">
        <f>'[2]Datos REG y HIJOS'!$M$7</f>
        <v>290.33965719941114</v>
      </c>
      <c r="F713" s="2062"/>
      <c r="G713" s="742"/>
      <c r="H713" s="743"/>
      <c r="I713" s="1657"/>
      <c r="J713" s="1657"/>
      <c r="K713" s="744" t="s">
        <v>526</v>
      </c>
    </row>
    <row r="714" spans="1:31" ht="20.100000000000001" customHeight="1" x14ac:dyDescent="0.2">
      <c r="A714" s="45"/>
      <c r="B714" s="2060" t="str">
        <f>'[2]Datos REG y HIJOS'!$I$8</f>
        <v>Titular + 2 Dependientes</v>
      </c>
      <c r="C714" s="1919"/>
      <c r="D714" s="1919"/>
      <c r="E714" s="2061">
        <f>'[2]Datos REG y HIJOS'!$M$8</f>
        <v>435.50948579911665</v>
      </c>
      <c r="F714" s="2062"/>
      <c r="G714" s="742"/>
      <c r="H714" s="743"/>
      <c r="I714" s="1657"/>
      <c r="J714" s="1657"/>
      <c r="K714" s="744" t="s">
        <v>526</v>
      </c>
      <c r="L714" s="561"/>
      <c r="M714" s="181"/>
      <c r="O714" s="561"/>
      <c r="P714" s="45"/>
    </row>
    <row r="715" spans="1:31" s="66" customFormat="1" ht="20.100000000000001" customHeight="1" x14ac:dyDescent="0.2">
      <c r="A715" s="45"/>
      <c r="B715" s="2060" t="str">
        <f>'[2]Datos REG y HIJOS'!$I$9</f>
        <v>Titular + 3 Dependientes</v>
      </c>
      <c r="C715" s="1919"/>
      <c r="D715" s="1919"/>
      <c r="E715" s="2061">
        <f>'[2]Datos REG y HIJOS'!$M$9</f>
        <v>580.67931439882227</v>
      </c>
      <c r="F715" s="2062"/>
      <c r="G715" s="742"/>
      <c r="H715" s="743"/>
      <c r="I715" s="1657"/>
      <c r="J715" s="1657"/>
      <c r="K715" s="744" t="s">
        <v>526</v>
      </c>
      <c r="L715" s="547"/>
      <c r="M715" s="68"/>
      <c r="N715" s="67"/>
      <c r="O715" s="547"/>
      <c r="Q715" s="45"/>
      <c r="R715" s="45"/>
      <c r="S715" s="45"/>
      <c r="T715" s="45"/>
      <c r="U715" s="45"/>
      <c r="V715" s="45"/>
      <c r="W715" s="45"/>
      <c r="X715" s="45"/>
      <c r="Y715" s="45"/>
      <c r="Z715" s="45"/>
      <c r="AA715" s="45"/>
      <c r="AB715" s="45"/>
      <c r="AC715" s="45"/>
      <c r="AD715" s="45"/>
      <c r="AE715" s="45"/>
    </row>
    <row r="716" spans="1:31" s="66" customFormat="1" ht="20.100000000000001" customHeight="1" x14ac:dyDescent="0.2">
      <c r="A716" s="45"/>
      <c r="B716" s="2060" t="str">
        <f>'[2]Datos REG y HIJOS'!$I$10</f>
        <v>Titular + 4 Dependientes</v>
      </c>
      <c r="C716" s="1919"/>
      <c r="D716" s="1919"/>
      <c r="E716" s="2061">
        <f>'[2]Datos REG y HIJOS'!$M$10</f>
        <v>580.67931439882227</v>
      </c>
      <c r="F716" s="2062"/>
      <c r="G716" s="742"/>
      <c r="H716" s="743"/>
      <c r="I716" s="1657"/>
      <c r="J716" s="1657"/>
      <c r="K716" s="744" t="s">
        <v>526</v>
      </c>
      <c r="L716" s="547"/>
      <c r="M716" s="68"/>
      <c r="N716" s="67"/>
      <c r="O716" s="547"/>
      <c r="Q716" s="45"/>
      <c r="R716" s="45"/>
      <c r="S716" s="45"/>
      <c r="T716" s="45"/>
      <c r="U716" s="45"/>
      <c r="V716" s="45"/>
      <c r="W716" s="45"/>
      <c r="X716" s="45"/>
      <c r="Y716" s="45"/>
      <c r="Z716" s="45"/>
      <c r="AA716" s="45"/>
      <c r="AB716" s="45"/>
      <c r="AC716" s="45"/>
      <c r="AD716" s="45"/>
      <c r="AE716" s="45"/>
    </row>
    <row r="717" spans="1:31" s="66" customFormat="1" ht="20.100000000000001" customHeight="1" x14ac:dyDescent="0.2">
      <c r="A717" s="45"/>
      <c r="B717" s="2063" t="str">
        <f>'[2]Datos REG y HIJOS'!$I$11</f>
        <v>Titular + 5 Dependientes o más</v>
      </c>
      <c r="C717" s="2064"/>
      <c r="D717" s="2065"/>
      <c r="E717" s="1655">
        <f>'[2]Datos REG y HIJOS'!$M$11</f>
        <v>580.67931439882227</v>
      </c>
      <c r="F717" s="1656"/>
      <c r="G717" s="742"/>
      <c r="H717" s="743"/>
      <c r="I717" s="847"/>
      <c r="J717" s="420"/>
      <c r="K717" s="744" t="s">
        <v>526</v>
      </c>
      <c r="L717" s="547"/>
      <c r="M717" s="68"/>
      <c r="N717" s="67"/>
      <c r="O717" s="547"/>
      <c r="Q717" s="45"/>
      <c r="R717" s="45"/>
      <c r="S717" s="45"/>
      <c r="T717" s="45"/>
      <c r="U717" s="45"/>
      <c r="V717" s="45"/>
      <c r="W717" s="45"/>
      <c r="X717" s="45"/>
      <c r="Y717" s="45"/>
      <c r="Z717" s="45"/>
      <c r="AA717" s="45"/>
      <c r="AB717" s="45"/>
      <c r="AC717" s="45"/>
      <c r="AD717" s="45"/>
      <c r="AE717" s="45"/>
    </row>
    <row r="718" spans="1:31" s="66" customFormat="1" ht="20.100000000000001" customHeight="1" x14ac:dyDescent="0.2">
      <c r="A718" s="45"/>
      <c r="B718" s="621"/>
      <c r="C718" s="621"/>
      <c r="D718" s="621"/>
      <c r="E718" s="745"/>
      <c r="F718" s="745"/>
      <c r="G718" s="746"/>
      <c r="H718" s="746"/>
      <c r="I718" s="848"/>
      <c r="J718" s="420"/>
      <c r="K718" s="148"/>
      <c r="L718" s="547"/>
      <c r="M718" s="68"/>
      <c r="N718" s="67"/>
      <c r="O718" s="547"/>
      <c r="Q718" s="45"/>
      <c r="R718" s="45"/>
      <c r="S718" s="45"/>
      <c r="T718" s="45"/>
      <c r="U718" s="45"/>
      <c r="V718" s="45"/>
      <c r="W718" s="45"/>
      <c r="X718" s="45"/>
      <c r="Y718" s="45"/>
      <c r="Z718" s="45"/>
      <c r="AA718" s="45"/>
      <c r="AB718" s="45"/>
      <c r="AC718" s="45"/>
      <c r="AD718" s="45"/>
      <c r="AE718" s="45"/>
    </row>
    <row r="719" spans="1:31" s="66" customFormat="1" ht="30" customHeight="1" x14ac:dyDescent="0.2">
      <c r="A719" s="45"/>
      <c r="B719" s="1623" t="s">
        <v>527</v>
      </c>
      <c r="C719" s="1624"/>
      <c r="D719" s="1624"/>
      <c r="E719" s="1624"/>
      <c r="F719" s="1624"/>
      <c r="G719" s="1624"/>
      <c r="H719" s="1624"/>
      <c r="I719" s="1624"/>
      <c r="J719" s="1625"/>
      <c r="K719" s="148"/>
      <c r="L719" s="547"/>
      <c r="M719" s="68"/>
      <c r="N719" s="182" t="s">
        <v>30</v>
      </c>
      <c r="O719" s="547"/>
      <c r="Q719" s="45"/>
      <c r="R719" s="45"/>
      <c r="S719" s="45"/>
      <c r="T719" s="45"/>
      <c r="U719" s="45"/>
      <c r="V719" s="45"/>
      <c r="W719" s="45"/>
      <c r="X719" s="45"/>
      <c r="Y719" s="45"/>
      <c r="Z719" s="45"/>
      <c r="AA719" s="45"/>
      <c r="AB719" s="45"/>
      <c r="AC719" s="45"/>
      <c r="AD719" s="45"/>
      <c r="AE719" s="45"/>
    </row>
    <row r="720" spans="1:31" s="66" customFormat="1" ht="20.100000000000001" customHeight="1" x14ac:dyDescent="0.2">
      <c r="A720" s="45"/>
      <c r="B720" s="148"/>
      <c r="C720" s="148"/>
      <c r="D720" s="148"/>
      <c r="E720" s="148"/>
      <c r="F720" s="148"/>
      <c r="G720" s="148"/>
      <c r="H720" s="148"/>
      <c r="I720" s="823"/>
      <c r="J720" s="843"/>
      <c r="K720" s="148"/>
      <c r="L720" s="547"/>
      <c r="M720" s="68"/>
      <c r="N720" s="67"/>
      <c r="O720" s="547"/>
      <c r="Q720" s="45"/>
      <c r="R720" s="45"/>
      <c r="S720" s="45"/>
      <c r="T720" s="45"/>
      <c r="U720" s="45"/>
      <c r="V720" s="45"/>
      <c r="W720" s="45"/>
      <c r="X720" s="45"/>
      <c r="Y720" s="45"/>
      <c r="Z720" s="45"/>
      <c r="AA720" s="45"/>
      <c r="AB720" s="45"/>
      <c r="AC720" s="45"/>
      <c r="AD720" s="45"/>
      <c r="AE720" s="45"/>
    </row>
    <row r="721" spans="1:31" s="66" customFormat="1" ht="30" customHeight="1" x14ac:dyDescent="0.2">
      <c r="A721" s="45"/>
      <c r="B721" s="1623" t="s">
        <v>528</v>
      </c>
      <c r="C721" s="1624"/>
      <c r="D721" s="1624"/>
      <c r="E721" s="1624"/>
      <c r="F721" s="1624"/>
      <c r="G721" s="1624"/>
      <c r="H721" s="1624"/>
      <c r="I721" s="1624"/>
      <c r="J721" s="1625"/>
      <c r="K721" s="148"/>
      <c r="L721" s="547"/>
      <c r="M721" s="68"/>
      <c r="N721" s="67"/>
      <c r="O721" s="547"/>
      <c r="Q721" s="45"/>
      <c r="R721" s="45"/>
      <c r="S721" s="45"/>
      <c r="T721" s="45"/>
      <c r="U721" s="45"/>
      <c r="V721" s="45"/>
      <c r="W721" s="45"/>
      <c r="X721" s="45"/>
      <c r="Y721" s="45"/>
      <c r="Z721" s="45"/>
      <c r="AA721" s="45"/>
      <c r="AB721" s="45"/>
      <c r="AC721" s="45"/>
      <c r="AD721" s="45"/>
      <c r="AE721" s="45"/>
    </row>
    <row r="722" spans="1:31" s="66" customFormat="1" ht="20.100000000000001" customHeight="1" x14ac:dyDescent="0.2">
      <c r="A722" s="45"/>
      <c r="B722" s="1658"/>
      <c r="C722" s="1658"/>
      <c r="D722" s="1658"/>
      <c r="E722" s="1658"/>
      <c r="F722" s="1658"/>
      <c r="G722" s="1658"/>
      <c r="H722" s="1658"/>
      <c r="I722" s="1658"/>
      <c r="J722" s="1658"/>
      <c r="K722" s="148"/>
      <c r="L722" s="547"/>
      <c r="M722" s="68"/>
      <c r="N722" s="67"/>
      <c r="O722" s="547"/>
      <c r="Q722" s="45"/>
      <c r="R722" s="45"/>
      <c r="S722" s="45"/>
      <c r="T722" s="45"/>
      <c r="U722" s="45"/>
      <c r="V722" s="45"/>
      <c r="W722" s="45"/>
      <c r="X722" s="45"/>
      <c r="Y722" s="45"/>
      <c r="Z722" s="45"/>
      <c r="AA722" s="45"/>
      <c r="AB722" s="45"/>
      <c r="AC722" s="45"/>
      <c r="AD722" s="45"/>
      <c r="AE722" s="45"/>
    </row>
    <row r="723" spans="1:31" s="66" customFormat="1" ht="24.95" customHeight="1" x14ac:dyDescent="0.2">
      <c r="A723" s="45"/>
      <c r="B723" s="1651" t="s">
        <v>529</v>
      </c>
      <c r="C723" s="1651"/>
      <c r="D723" s="1651"/>
      <c r="E723" s="1651" t="s">
        <v>530</v>
      </c>
      <c r="F723" s="1651"/>
      <c r="G723" s="748" t="s">
        <v>531</v>
      </c>
      <c r="H723" s="1651" t="s">
        <v>532</v>
      </c>
      <c r="I723" s="1651"/>
      <c r="J723" s="1651"/>
      <c r="K723" s="148"/>
      <c r="L723" s="547"/>
      <c r="M723" s="68"/>
      <c r="N723" s="67"/>
      <c r="O723" s="547"/>
      <c r="Q723" s="45"/>
      <c r="R723" s="45"/>
      <c r="S723" s="45"/>
      <c r="T723" s="45"/>
      <c r="U723" s="45"/>
      <c r="V723" s="45"/>
      <c r="W723" s="45"/>
      <c r="X723" s="45"/>
      <c r="Y723" s="45"/>
      <c r="Z723" s="45"/>
      <c r="AA723" s="45"/>
      <c r="AB723" s="45"/>
      <c r="AC723" s="45"/>
      <c r="AD723" s="45"/>
      <c r="AE723" s="45"/>
    </row>
    <row r="724" spans="1:31" s="66" customFormat="1" ht="24.95" customHeight="1" x14ac:dyDescent="0.2">
      <c r="A724" s="45"/>
      <c r="B724" s="749" t="s">
        <v>533</v>
      </c>
      <c r="C724" s="750">
        <f>'[2]Datos REG y HIJOS'!$J$15</f>
        <v>0.75</v>
      </c>
      <c r="D724" s="751"/>
      <c r="E724" s="1652" t="s">
        <v>534</v>
      </c>
      <c r="F724" s="1652"/>
      <c r="G724" s="752" t="s">
        <v>534</v>
      </c>
      <c r="H724" s="1645" t="s">
        <v>534</v>
      </c>
      <c r="I724" s="1645"/>
      <c r="J724" s="1645"/>
      <c r="K724" s="148"/>
      <c r="L724" s="547"/>
      <c r="M724" s="68"/>
      <c r="N724" s="67"/>
      <c r="Q724" s="45"/>
      <c r="R724" s="45"/>
      <c r="S724" s="45"/>
      <c r="T724" s="45"/>
      <c r="U724" s="45"/>
      <c r="V724" s="45"/>
      <c r="W724" s="45"/>
      <c r="X724" s="45"/>
      <c r="Y724" s="45"/>
      <c r="Z724" s="45"/>
      <c r="AA724" s="45"/>
      <c r="AB724" s="45"/>
      <c r="AC724" s="45"/>
      <c r="AD724" s="45"/>
      <c r="AE724" s="45"/>
    </row>
    <row r="725" spans="1:31" s="66" customFormat="1" ht="24.95" customHeight="1" x14ac:dyDescent="0.2">
      <c r="A725" s="45"/>
      <c r="B725" s="753">
        <f>$C$724</f>
        <v>0.75</v>
      </c>
      <c r="C725" s="754" t="s">
        <v>535</v>
      </c>
      <c r="D725" s="751"/>
      <c r="E725" s="1645" t="s">
        <v>536</v>
      </c>
      <c r="F725" s="1645"/>
      <c r="G725" s="752" t="s">
        <v>534</v>
      </c>
      <c r="H725" s="755" t="s">
        <v>537</v>
      </c>
      <c r="I725" s="756">
        <f>$C$724</f>
        <v>0.75</v>
      </c>
      <c r="J725" s="849"/>
      <c r="K725" s="148"/>
      <c r="L725" s="547"/>
      <c r="M725" s="68"/>
      <c r="N725" s="67"/>
      <c r="Q725" s="45"/>
      <c r="R725" s="45"/>
      <c r="S725" s="45"/>
      <c r="T725" s="45"/>
      <c r="U725" s="45"/>
      <c r="V725" s="45"/>
      <c r="W725" s="45"/>
      <c r="X725" s="45"/>
      <c r="Y725" s="45"/>
      <c r="Z725" s="45"/>
      <c r="AA725" s="45"/>
      <c r="AB725" s="45"/>
      <c r="AC725" s="45"/>
      <c r="AD725" s="45"/>
      <c r="AE725" s="45"/>
    </row>
    <row r="726" spans="1:31" s="66" customFormat="1" ht="24.95" customHeight="1" x14ac:dyDescent="0.2">
      <c r="A726" s="45"/>
      <c r="B726" s="1644" t="s">
        <v>538</v>
      </c>
      <c r="C726" s="1644"/>
      <c r="D726" s="1644"/>
      <c r="E726" s="1645" t="s">
        <v>536</v>
      </c>
      <c r="F726" s="1645"/>
      <c r="G726" s="752" t="s">
        <v>539</v>
      </c>
      <c r="H726" s="755" t="s">
        <v>540</v>
      </c>
      <c r="I726" s="756">
        <f>$C$724</f>
        <v>0.75</v>
      </c>
      <c r="J726" s="849" t="s">
        <v>541</v>
      </c>
      <c r="K726" s="148"/>
      <c r="L726" s="547"/>
      <c r="M726" s="68"/>
      <c r="N726" s="67"/>
      <c r="Q726" s="45"/>
      <c r="R726" s="45"/>
      <c r="S726" s="45"/>
      <c r="T726" s="45"/>
      <c r="U726" s="45"/>
      <c r="V726" s="45"/>
      <c r="W726" s="45"/>
      <c r="X726" s="45"/>
      <c r="Y726" s="45"/>
      <c r="Z726" s="45"/>
      <c r="AA726" s="45"/>
      <c r="AB726" s="45"/>
      <c r="AC726" s="45"/>
      <c r="AD726" s="45"/>
      <c r="AE726" s="45"/>
    </row>
    <row r="727" spans="1:31" s="66" customFormat="1" ht="24.95" customHeight="1" x14ac:dyDescent="0.2">
      <c r="A727" s="45"/>
      <c r="B727" s="1644" t="s">
        <v>542</v>
      </c>
      <c r="C727" s="1644"/>
      <c r="D727" s="1644"/>
      <c r="E727" s="1645" t="s">
        <v>536</v>
      </c>
      <c r="F727" s="1645"/>
      <c r="G727" s="752" t="s">
        <v>543</v>
      </c>
      <c r="H727" s="755" t="s">
        <v>540</v>
      </c>
      <c r="I727" s="756">
        <f>$C$724</f>
        <v>0.75</v>
      </c>
      <c r="J727" s="849" t="s">
        <v>544</v>
      </c>
      <c r="K727" s="148"/>
      <c r="L727" s="547"/>
      <c r="M727" s="68"/>
      <c r="N727" s="67"/>
      <c r="Q727" s="45"/>
      <c r="R727" s="45"/>
      <c r="S727" s="45"/>
      <c r="T727" s="45"/>
      <c r="U727" s="45"/>
      <c r="V727" s="45"/>
      <c r="W727" s="45"/>
      <c r="X727" s="45"/>
      <c r="Y727" s="45"/>
      <c r="Z727" s="45"/>
      <c r="AA727" s="45"/>
      <c r="AB727" s="45"/>
      <c r="AC727" s="45"/>
      <c r="AD727" s="45"/>
      <c r="AE727" s="45"/>
    </row>
    <row r="728" spans="1:31" s="66" customFormat="1" ht="20.100000000000001" customHeight="1" x14ac:dyDescent="0.2">
      <c r="A728" s="45"/>
      <c r="B728" s="757"/>
      <c r="C728" s="757"/>
      <c r="D728" s="757"/>
      <c r="E728" s="758"/>
      <c r="F728" s="758"/>
      <c r="G728" s="758"/>
      <c r="H728" s="758"/>
      <c r="I728" s="759"/>
      <c r="J728" s="114"/>
      <c r="K728" s="148"/>
      <c r="L728" s="547"/>
      <c r="M728" s="68"/>
      <c r="N728" s="182" t="s">
        <v>30</v>
      </c>
      <c r="Q728" s="45"/>
      <c r="R728" s="45"/>
      <c r="S728" s="45"/>
      <c r="T728" s="45"/>
      <c r="U728" s="45"/>
      <c r="V728" s="45"/>
      <c r="W728" s="45"/>
      <c r="X728" s="45"/>
      <c r="Y728" s="45"/>
      <c r="Z728" s="45"/>
      <c r="AA728" s="45"/>
      <c r="AB728" s="45"/>
      <c r="AC728" s="45"/>
      <c r="AD728" s="45"/>
      <c r="AE728" s="45"/>
    </row>
    <row r="729" spans="1:31" s="66" customFormat="1" ht="135" customHeight="1" x14ac:dyDescent="0.2">
      <c r="A729" s="45"/>
      <c r="B729" s="1646" t="s">
        <v>545</v>
      </c>
      <c r="C729" s="1647"/>
      <c r="D729" s="1647"/>
      <c r="E729" s="1647"/>
      <c r="F729" s="1647"/>
      <c r="G729" s="1647"/>
      <c r="H729" s="1647"/>
      <c r="I729" s="1647"/>
      <c r="J729" s="1648"/>
      <c r="K729" s="148"/>
      <c r="L729" s="547"/>
      <c r="M729" s="68"/>
      <c r="N729" s="67"/>
      <c r="Q729" s="45"/>
      <c r="R729" s="45"/>
      <c r="S729" s="45"/>
      <c r="T729" s="45"/>
      <c r="U729" s="45"/>
      <c r="V729" s="45"/>
      <c r="W729" s="45"/>
      <c r="X729" s="45"/>
      <c r="Y729" s="45"/>
      <c r="Z729" s="45"/>
      <c r="AA729" s="45"/>
      <c r="AB729" s="45"/>
      <c r="AC729" s="45"/>
      <c r="AD729" s="45"/>
      <c r="AE729" s="45"/>
    </row>
    <row r="730" spans="1:31" s="66" customFormat="1" ht="35.1" customHeight="1" x14ac:dyDescent="0.2">
      <c r="A730" s="45"/>
      <c r="B730" s="760" t="s">
        <v>546</v>
      </c>
      <c r="C730" s="761"/>
      <c r="D730" s="761"/>
      <c r="E730" s="762"/>
      <c r="F730" s="762"/>
      <c r="G730" s="762"/>
      <c r="H730" s="762"/>
      <c r="I730" s="850"/>
      <c r="J730" s="851"/>
      <c r="K730" s="148"/>
      <c r="L730" s="547"/>
      <c r="M730" s="68"/>
      <c r="N730" s="182" t="s">
        <v>30</v>
      </c>
      <c r="Q730" s="45"/>
      <c r="R730" s="45"/>
      <c r="S730" s="45"/>
      <c r="T730" s="45"/>
      <c r="U730" s="45"/>
      <c r="V730" s="45"/>
      <c r="W730" s="45"/>
      <c r="X730" s="45"/>
      <c r="Y730" s="45"/>
      <c r="Z730" s="45"/>
      <c r="AA730" s="45"/>
      <c r="AB730" s="45"/>
      <c r="AC730" s="45"/>
      <c r="AD730" s="45"/>
      <c r="AE730" s="45"/>
    </row>
    <row r="731" spans="1:31" s="66" customFormat="1" ht="50.1" customHeight="1" x14ac:dyDescent="0.2">
      <c r="A731" s="45"/>
      <c r="B731" s="764"/>
      <c r="C731" s="536"/>
      <c r="D731" s="765"/>
      <c r="E731" s="766" t="s">
        <v>547</v>
      </c>
      <c r="F731" s="767" t="s">
        <v>548</v>
      </c>
      <c r="G731" s="768"/>
      <c r="H731" s="769"/>
      <c r="I731" s="848"/>
      <c r="J731" s="852"/>
      <c r="K731" s="148"/>
      <c r="L731" s="547"/>
      <c r="M731" s="68"/>
      <c r="N731" s="547"/>
      <c r="Q731" s="45"/>
      <c r="R731" s="45"/>
      <c r="S731" s="45"/>
      <c r="T731" s="45"/>
      <c r="U731" s="45"/>
      <c r="V731" s="45"/>
      <c r="W731" s="45"/>
      <c r="X731" s="45"/>
      <c r="Y731" s="45"/>
      <c r="Z731" s="45"/>
      <c r="AA731" s="45"/>
      <c r="AB731" s="45"/>
      <c r="AC731" s="45"/>
      <c r="AD731" s="45"/>
      <c r="AE731" s="45"/>
    </row>
    <row r="732" spans="1:31" s="66" customFormat="1" ht="110.1" customHeight="1" x14ac:dyDescent="0.2">
      <c r="A732" s="45"/>
      <c r="B732" s="770"/>
      <c r="C732" s="771"/>
      <c r="D732" s="1649" t="s">
        <v>549</v>
      </c>
      <c r="E732" s="1649"/>
      <c r="F732" s="1649"/>
      <c r="G732" s="1649"/>
      <c r="H732" s="1649"/>
      <c r="I732" s="1649"/>
      <c r="J732" s="1650"/>
      <c r="K732" s="148"/>
      <c r="L732" s="547"/>
      <c r="M732" s="772"/>
      <c r="N732" s="547"/>
      <c r="Q732" s="45"/>
      <c r="R732" s="45"/>
      <c r="S732" s="45"/>
      <c r="T732" s="45"/>
      <c r="U732" s="45"/>
      <c r="V732" s="45"/>
      <c r="W732" s="45"/>
      <c r="X732" s="45"/>
      <c r="Y732" s="45"/>
      <c r="Z732" s="45"/>
      <c r="AA732" s="45"/>
      <c r="AB732" s="45"/>
      <c r="AC732" s="45"/>
      <c r="AD732" s="45"/>
      <c r="AE732" s="45"/>
    </row>
    <row r="733" spans="1:31" s="66" customFormat="1" ht="20.100000000000001" customHeight="1" x14ac:dyDescent="0.2">
      <c r="A733" s="45"/>
      <c r="B733" s="148"/>
      <c r="C733" s="148"/>
      <c r="D733" s="148"/>
      <c r="E733" s="148"/>
      <c r="F733" s="148"/>
      <c r="G733" s="148"/>
      <c r="H733" s="148"/>
      <c r="I733" s="823"/>
      <c r="J733" s="843"/>
      <c r="K733" s="148"/>
      <c r="L733" s="547"/>
      <c r="M733" s="68"/>
      <c r="N733" s="547"/>
      <c r="Q733" s="45"/>
      <c r="R733" s="45"/>
      <c r="S733" s="45"/>
      <c r="T733" s="45"/>
      <c r="U733" s="45"/>
      <c r="V733" s="45"/>
      <c r="W733" s="45"/>
      <c r="X733" s="45"/>
      <c r="Y733" s="45"/>
      <c r="Z733" s="45"/>
      <c r="AA733" s="45"/>
      <c r="AB733" s="45"/>
      <c r="AC733" s="45"/>
      <c r="AD733" s="45"/>
      <c r="AE733" s="45"/>
    </row>
    <row r="734" spans="1:31" s="66" customFormat="1" ht="30" customHeight="1" x14ac:dyDescent="0.2">
      <c r="A734" s="45"/>
      <c r="B734" s="1623" t="s">
        <v>550</v>
      </c>
      <c r="C734" s="1624"/>
      <c r="D734" s="1624"/>
      <c r="E734" s="1624"/>
      <c r="F734" s="1624"/>
      <c r="G734" s="1624"/>
      <c r="H734" s="1624"/>
      <c r="I734" s="1624"/>
      <c r="J734" s="1625"/>
      <c r="K734" s="148"/>
      <c r="L734" s="547"/>
      <c r="M734" s="68"/>
      <c r="N734" s="182" t="s">
        <v>30</v>
      </c>
      <c r="Q734" s="45"/>
      <c r="R734" s="45"/>
      <c r="S734" s="45"/>
      <c r="T734" s="45"/>
      <c r="U734" s="45"/>
      <c r="V734" s="45"/>
      <c r="W734" s="45"/>
      <c r="X734" s="45"/>
      <c r="Y734" s="45"/>
      <c r="Z734" s="45"/>
      <c r="AA734" s="45"/>
      <c r="AB734" s="45"/>
      <c r="AC734" s="45"/>
      <c r="AD734" s="45"/>
      <c r="AE734" s="45"/>
    </row>
    <row r="735" spans="1:31" s="225" customFormat="1" ht="30" customHeight="1" x14ac:dyDescent="0.2">
      <c r="A735" s="773"/>
      <c r="B735" s="1638" t="s">
        <v>843</v>
      </c>
      <c r="C735" s="1639"/>
      <c r="D735" s="1639"/>
      <c r="E735" s="1639"/>
      <c r="F735" s="1639"/>
      <c r="G735" s="1639"/>
      <c r="H735" s="1639"/>
      <c r="I735" s="1639"/>
      <c r="J735" s="1640"/>
      <c r="K735" s="774"/>
      <c r="N735" s="775"/>
    </row>
    <row r="736" spans="1:31" s="225" customFormat="1" ht="54.95" customHeight="1" x14ac:dyDescent="0.2">
      <c r="A736" s="773"/>
      <c r="B736" s="872" t="s">
        <v>844</v>
      </c>
      <c r="C736" s="873"/>
      <c r="D736" s="873"/>
      <c r="E736" s="873"/>
      <c r="F736" s="873"/>
      <c r="G736" s="873"/>
      <c r="H736" s="873"/>
      <c r="I736" s="873"/>
      <c r="J736" s="874"/>
      <c r="K736" s="774"/>
      <c r="N736" s="775"/>
    </row>
    <row r="737" spans="1:31" s="225" customFormat="1" ht="54.95" customHeight="1" x14ac:dyDescent="0.2">
      <c r="A737" s="773"/>
      <c r="B737" s="1641" t="s">
        <v>845</v>
      </c>
      <c r="C737" s="1642"/>
      <c r="D737" s="1642"/>
      <c r="E737" s="1642"/>
      <c r="F737" s="1642"/>
      <c r="G737" s="1642"/>
      <c r="H737" s="1642"/>
      <c r="I737" s="1642"/>
      <c r="J737" s="1643"/>
      <c r="K737" s="774"/>
      <c r="N737" s="775"/>
    </row>
    <row r="738" spans="1:31" s="225" customFormat="1" ht="90" customHeight="1" x14ac:dyDescent="0.2">
      <c r="A738" s="773"/>
      <c r="B738" s="1638" t="s">
        <v>846</v>
      </c>
      <c r="C738" s="1639"/>
      <c r="D738" s="1639"/>
      <c r="E738" s="1639"/>
      <c r="F738" s="1639"/>
      <c r="G738" s="1639"/>
      <c r="H738" s="1639"/>
      <c r="I738" s="1639"/>
      <c r="J738" s="1640"/>
      <c r="K738" s="774"/>
      <c r="N738" s="775"/>
    </row>
    <row r="739" spans="1:31" s="66" customFormat="1" ht="20.100000000000001" customHeight="1" x14ac:dyDescent="0.2">
      <c r="A739" s="45"/>
      <c r="B739" s="776"/>
      <c r="C739" s="777"/>
      <c r="D739" s="777"/>
      <c r="E739" s="777"/>
      <c r="F739" s="777"/>
      <c r="G739" s="777"/>
      <c r="H739" s="777"/>
      <c r="I739" s="591"/>
      <c r="J739" s="128"/>
      <c r="K739" s="148"/>
      <c r="L739" s="547"/>
      <c r="M739" s="68"/>
      <c r="N739" s="547"/>
      <c r="Q739" s="45"/>
      <c r="R739" s="45"/>
      <c r="S739" s="45"/>
      <c r="T739" s="45"/>
      <c r="U739" s="45"/>
      <c r="V739" s="45"/>
      <c r="W739" s="45"/>
      <c r="X739" s="45"/>
      <c r="Y739" s="45"/>
      <c r="Z739" s="45"/>
      <c r="AA739" s="45"/>
      <c r="AB739" s="45"/>
      <c r="AC739" s="45"/>
      <c r="AD739" s="45"/>
      <c r="AE739" s="45"/>
    </row>
    <row r="740" spans="1:31" s="66" customFormat="1" ht="30" customHeight="1" x14ac:dyDescent="0.2">
      <c r="A740" s="45"/>
      <c r="B740" s="1623" t="s">
        <v>554</v>
      </c>
      <c r="C740" s="1624"/>
      <c r="D740" s="1624"/>
      <c r="E740" s="1624"/>
      <c r="F740" s="1624"/>
      <c r="G740" s="1624"/>
      <c r="H740" s="1624"/>
      <c r="I740" s="1624"/>
      <c r="J740" s="1625"/>
      <c r="K740" s="148"/>
      <c r="L740" s="547"/>
      <c r="M740" s="68"/>
      <c r="N740" s="182" t="s">
        <v>30</v>
      </c>
      <c r="Q740" s="45"/>
      <c r="R740" s="45"/>
      <c r="S740" s="45"/>
      <c r="T740" s="45"/>
      <c r="U740" s="45"/>
      <c r="V740" s="45"/>
      <c r="W740" s="45"/>
      <c r="X740" s="45"/>
      <c r="Y740" s="45"/>
      <c r="Z740" s="45"/>
      <c r="AA740" s="45"/>
      <c r="AB740" s="45"/>
      <c r="AC740" s="45"/>
      <c r="AD740" s="45"/>
      <c r="AE740" s="45"/>
    </row>
    <row r="741" spans="1:31" s="66" customFormat="1" ht="20.100000000000001" customHeight="1" x14ac:dyDescent="0.2">
      <c r="A741" s="45"/>
      <c r="B741" s="778"/>
      <c r="C741" s="778"/>
      <c r="D741" s="778"/>
      <c r="E741" s="778"/>
      <c r="F741" s="778"/>
      <c r="G741" s="778"/>
      <c r="H741" s="778"/>
      <c r="I741" s="853"/>
      <c r="J741" s="854"/>
      <c r="K741" s="148"/>
      <c r="L741" s="547"/>
      <c r="M741" s="68"/>
      <c r="N741" s="67"/>
      <c r="Q741" s="45"/>
      <c r="R741" s="45"/>
      <c r="S741" s="45"/>
      <c r="T741" s="45"/>
      <c r="U741" s="45"/>
      <c r="V741" s="45"/>
      <c r="W741" s="45"/>
      <c r="X741" s="45"/>
      <c r="Y741" s="45"/>
      <c r="Z741" s="45"/>
      <c r="AA741" s="45"/>
      <c r="AB741" s="45"/>
      <c r="AC741" s="45"/>
      <c r="AD741" s="45"/>
      <c r="AE741" s="45"/>
    </row>
    <row r="742" spans="1:31" s="66" customFormat="1" ht="30" customHeight="1" x14ac:dyDescent="0.2">
      <c r="A742" s="45"/>
      <c r="B742" s="1623" t="s">
        <v>892</v>
      </c>
      <c r="C742" s="1624"/>
      <c r="D742" s="1624"/>
      <c r="E742" s="1624"/>
      <c r="F742" s="1624"/>
      <c r="G742" s="1624"/>
      <c r="H742" s="1624"/>
      <c r="I742" s="1624"/>
      <c r="J742" s="1625"/>
      <c r="K742" s="148"/>
      <c r="L742" s="547"/>
      <c r="M742" s="68"/>
      <c r="N742" s="182" t="s">
        <v>30</v>
      </c>
      <c r="Q742" s="45"/>
      <c r="R742" s="45"/>
      <c r="S742" s="45"/>
      <c r="T742" s="45"/>
      <c r="U742" s="45"/>
      <c r="V742" s="45"/>
      <c r="W742" s="45"/>
      <c r="X742" s="45"/>
      <c r="Y742" s="45"/>
      <c r="Z742" s="45"/>
      <c r="AA742" s="45"/>
      <c r="AB742" s="45"/>
      <c r="AC742" s="45"/>
      <c r="AD742" s="45"/>
      <c r="AE742" s="45"/>
    </row>
    <row r="743" spans="1:31" s="66" customFormat="1" ht="12" customHeight="1" x14ac:dyDescent="0.2">
      <c r="A743" s="45"/>
      <c r="B743" s="778"/>
      <c r="C743" s="778"/>
      <c r="D743" s="778"/>
      <c r="E743" s="778"/>
      <c r="F743" s="778"/>
      <c r="G743" s="778"/>
      <c r="H743" s="778"/>
      <c r="I743" s="853"/>
      <c r="J743" s="854"/>
      <c r="K743" s="148"/>
      <c r="L743" s="547"/>
      <c r="M743" s="68"/>
      <c r="N743" s="67"/>
      <c r="Q743" s="45"/>
      <c r="R743" s="45"/>
      <c r="S743" s="45"/>
      <c r="T743" s="45"/>
      <c r="U743" s="45"/>
      <c r="V743" s="45"/>
      <c r="W743" s="45"/>
      <c r="X743" s="45"/>
      <c r="Y743" s="45"/>
      <c r="Z743" s="45"/>
      <c r="AA743" s="45"/>
      <c r="AB743" s="45"/>
      <c r="AC743" s="45"/>
      <c r="AD743" s="45"/>
      <c r="AE743" s="45"/>
    </row>
    <row r="744" spans="1:31" s="66" customFormat="1" ht="24.95" customHeight="1" x14ac:dyDescent="0.2">
      <c r="A744" s="45"/>
      <c r="B744" s="1626" t="s">
        <v>849</v>
      </c>
      <c r="C744" s="1627"/>
      <c r="D744" s="1627"/>
      <c r="E744" s="1627"/>
      <c r="F744" s="1627"/>
      <c r="G744" s="1627"/>
      <c r="H744" s="1627"/>
      <c r="I744" s="1627"/>
      <c r="J744" s="1628"/>
      <c r="K744" s="148"/>
      <c r="L744" s="547"/>
      <c r="M744" s="68"/>
      <c r="N744" s="67"/>
      <c r="Q744" s="45"/>
      <c r="R744" s="45"/>
      <c r="S744" s="45"/>
      <c r="T744" s="45"/>
      <c r="U744" s="45"/>
      <c r="V744" s="45"/>
      <c r="W744" s="45"/>
      <c r="X744" s="45"/>
      <c r="Y744" s="45"/>
      <c r="Z744" s="45"/>
      <c r="AA744" s="45"/>
      <c r="AB744" s="45"/>
      <c r="AC744" s="45"/>
      <c r="AD744" s="45"/>
      <c r="AE744" s="45"/>
    </row>
    <row r="745" spans="1:31" s="66" customFormat="1" ht="24.95" customHeight="1" x14ac:dyDescent="0.2">
      <c r="A745" s="45"/>
      <c r="B745" s="1629" t="s">
        <v>850</v>
      </c>
      <c r="C745" s="1630"/>
      <c r="D745" s="1630"/>
      <c r="E745" s="1630"/>
      <c r="F745" s="1630"/>
      <c r="G745" s="1630"/>
      <c r="H745" s="1630"/>
      <c r="I745" s="1630"/>
      <c r="J745" s="1631"/>
      <c r="K745" s="148"/>
      <c r="L745" s="547"/>
      <c r="M745" s="68"/>
      <c r="N745" s="67"/>
      <c r="Q745" s="45"/>
      <c r="R745" s="45"/>
      <c r="S745" s="45"/>
      <c r="T745" s="45"/>
      <c r="U745" s="45"/>
      <c r="V745" s="45"/>
      <c r="W745" s="45"/>
      <c r="X745" s="45"/>
      <c r="Y745" s="45"/>
      <c r="Z745" s="45"/>
      <c r="AA745" s="45"/>
      <c r="AB745" s="45"/>
      <c r="AC745" s="45"/>
      <c r="AD745" s="45"/>
      <c r="AE745" s="45"/>
    </row>
    <row r="746" spans="1:31" s="66" customFormat="1" ht="12" customHeight="1" x14ac:dyDescent="0.2">
      <c r="A746" s="45"/>
      <c r="B746" s="536"/>
      <c r="C746" s="536"/>
      <c r="D746" s="778"/>
      <c r="E746" s="778"/>
      <c r="F746" s="778"/>
      <c r="G746" s="778"/>
      <c r="H746" s="778"/>
      <c r="I746" s="853"/>
      <c r="J746" s="854"/>
      <c r="K746" s="148"/>
      <c r="L746" s="547"/>
      <c r="M746" s="68"/>
      <c r="N746" s="67"/>
      <c r="Q746" s="45"/>
      <c r="R746" s="45"/>
      <c r="S746" s="45"/>
      <c r="T746" s="45"/>
      <c r="U746" s="45"/>
      <c r="V746" s="45"/>
      <c r="W746" s="45"/>
      <c r="X746" s="45"/>
      <c r="Y746" s="45"/>
      <c r="Z746" s="45"/>
      <c r="AA746" s="45"/>
      <c r="AB746" s="45"/>
      <c r="AC746" s="45"/>
      <c r="AD746" s="45"/>
      <c r="AE746" s="45"/>
    </row>
    <row r="747" spans="1:31" s="66" customFormat="1" ht="30" customHeight="1" x14ac:dyDescent="0.2">
      <c r="A747" s="45"/>
      <c r="B747" s="1623" t="s">
        <v>558</v>
      </c>
      <c r="C747" s="1624"/>
      <c r="D747" s="1624"/>
      <c r="E747" s="1624"/>
      <c r="F747" s="1624"/>
      <c r="G747" s="1624"/>
      <c r="H747" s="1624"/>
      <c r="I747" s="1624"/>
      <c r="J747" s="1625"/>
      <c r="K747" s="148"/>
      <c r="L747" s="547"/>
      <c r="M747" s="68"/>
      <c r="N747" s="182" t="s">
        <v>30</v>
      </c>
      <c r="Q747" s="45"/>
      <c r="R747" s="45"/>
      <c r="S747" s="45"/>
      <c r="T747" s="45"/>
      <c r="U747" s="45"/>
      <c r="V747" s="45"/>
      <c r="W747" s="45"/>
      <c r="X747" s="45"/>
      <c r="Y747" s="45"/>
      <c r="Z747" s="45"/>
      <c r="AA747" s="45"/>
      <c r="AB747" s="45"/>
      <c r="AC747" s="45"/>
      <c r="AD747" s="45"/>
      <c r="AE747" s="45"/>
    </row>
    <row r="748" spans="1:31" s="66" customFormat="1" ht="12" customHeight="1" x14ac:dyDescent="0.2">
      <c r="A748" s="45"/>
      <c r="B748" s="778"/>
      <c r="C748" s="778"/>
      <c r="D748" s="778"/>
      <c r="E748" s="778"/>
      <c r="F748" s="778"/>
      <c r="G748" s="778"/>
      <c r="H748" s="778"/>
      <c r="I748" s="609"/>
      <c r="J748" s="854"/>
      <c r="K748" s="148"/>
      <c r="L748" s="547"/>
      <c r="M748" s="68"/>
      <c r="N748" s="67"/>
      <c r="Q748" s="45"/>
      <c r="R748" s="45"/>
      <c r="S748" s="45"/>
      <c r="T748" s="45"/>
      <c r="U748" s="45"/>
      <c r="V748" s="45"/>
      <c r="W748" s="45"/>
      <c r="X748" s="45"/>
      <c r="Y748" s="45"/>
      <c r="Z748" s="45"/>
      <c r="AA748" s="45"/>
      <c r="AB748" s="45"/>
      <c r="AC748" s="45"/>
      <c r="AD748" s="45"/>
      <c r="AE748" s="45"/>
    </row>
    <row r="749" spans="1:31" s="66" customFormat="1" ht="24.95" customHeight="1" x14ac:dyDescent="0.2">
      <c r="A749" s="45"/>
      <c r="B749" s="1632" t="s">
        <v>559</v>
      </c>
      <c r="C749" s="1633"/>
      <c r="D749" s="1633"/>
      <c r="E749" s="1633"/>
      <c r="F749" s="1633"/>
      <c r="G749" s="1633"/>
      <c r="H749" s="1633"/>
      <c r="I749" s="1633"/>
      <c r="J749" s="1634"/>
      <c r="K749" s="148"/>
      <c r="L749" s="547"/>
      <c r="M749" s="68"/>
      <c r="N749" s="67"/>
      <c r="Q749" s="45"/>
      <c r="R749" s="45"/>
      <c r="S749" s="45"/>
      <c r="T749" s="45"/>
      <c r="U749" s="45"/>
      <c r="V749" s="45"/>
      <c r="W749" s="45"/>
      <c r="X749" s="45"/>
      <c r="Y749" s="45"/>
      <c r="Z749" s="45"/>
      <c r="AA749" s="45"/>
      <c r="AB749" s="45"/>
      <c r="AC749" s="45"/>
      <c r="AD749" s="45"/>
      <c r="AE749" s="45"/>
    </row>
    <row r="750" spans="1:31" s="66" customFormat="1" ht="12" customHeight="1" x14ac:dyDescent="0.2">
      <c r="A750" s="45"/>
      <c r="B750" s="621"/>
      <c r="C750" s="621"/>
      <c r="D750" s="621"/>
      <c r="E750" s="621"/>
      <c r="F750" s="621"/>
      <c r="G750" s="621"/>
      <c r="H750" s="621"/>
      <c r="I750" s="848"/>
      <c r="J750" s="420"/>
      <c r="K750" s="148"/>
      <c r="L750" s="547"/>
      <c r="M750" s="68"/>
      <c r="N750" s="67"/>
      <c r="Q750" s="45"/>
      <c r="R750" s="45"/>
      <c r="S750" s="45"/>
      <c r="T750" s="45"/>
      <c r="U750" s="45"/>
      <c r="V750" s="45"/>
      <c r="W750" s="45"/>
      <c r="X750" s="45"/>
      <c r="Y750" s="45"/>
      <c r="Z750" s="45"/>
      <c r="AA750" s="45"/>
      <c r="AB750" s="45"/>
      <c r="AC750" s="45"/>
      <c r="AD750" s="45"/>
      <c r="AE750" s="45"/>
    </row>
    <row r="751" spans="1:31" s="66" customFormat="1" ht="84.95" customHeight="1" x14ac:dyDescent="0.2">
      <c r="A751" s="45"/>
      <c r="B751" s="1635" t="s">
        <v>560</v>
      </c>
      <c r="C751" s="1636"/>
      <c r="D751" s="1636"/>
      <c r="E751" s="1636"/>
      <c r="F751" s="1636"/>
      <c r="G751" s="1636"/>
      <c r="H751" s="1636"/>
      <c r="I751" s="1636"/>
      <c r="J751" s="1637"/>
      <c r="K751" s="148"/>
      <c r="L751" s="547"/>
      <c r="M751" s="68"/>
      <c r="N751" s="67"/>
      <c r="Q751" s="45"/>
      <c r="R751" s="45"/>
      <c r="S751" s="45"/>
      <c r="T751" s="45"/>
      <c r="U751" s="45"/>
      <c r="V751" s="45"/>
      <c r="W751" s="45"/>
      <c r="X751" s="45"/>
      <c r="Y751" s="45"/>
      <c r="Z751" s="45"/>
      <c r="AA751" s="45"/>
      <c r="AB751" s="45"/>
      <c r="AC751" s="45"/>
      <c r="AD751" s="45"/>
      <c r="AE751" s="45"/>
    </row>
  </sheetData>
  <mergeCells count="1497">
    <mergeCell ref="B9:J9"/>
    <mergeCell ref="B10:J10"/>
    <mergeCell ref="B12:J12"/>
    <mergeCell ref="B13:J13"/>
    <mergeCell ref="B15:J15"/>
    <mergeCell ref="I17:J17"/>
    <mergeCell ref="B5:D5"/>
    <mergeCell ref="E5:F5"/>
    <mergeCell ref="H5:I5"/>
    <mergeCell ref="B6:D6"/>
    <mergeCell ref="E6:F6"/>
    <mergeCell ref="B7:J7"/>
    <mergeCell ref="B1:J1"/>
    <mergeCell ref="B2:J2"/>
    <mergeCell ref="B3:D3"/>
    <mergeCell ref="E3:J3"/>
    <mergeCell ref="B4:D4"/>
    <mergeCell ref="E4:J4"/>
    <mergeCell ref="J25:J28"/>
    <mergeCell ref="C26:D26"/>
    <mergeCell ref="E26:F26"/>
    <mergeCell ref="G26:H26"/>
    <mergeCell ref="C27:D27"/>
    <mergeCell ref="E27:F27"/>
    <mergeCell ref="G27:H27"/>
    <mergeCell ref="C28:D28"/>
    <mergeCell ref="E28:F28"/>
    <mergeCell ref="G28:H28"/>
    <mergeCell ref="I18:J18"/>
    <mergeCell ref="B20:J20"/>
    <mergeCell ref="B22:H22"/>
    <mergeCell ref="B23:J23"/>
    <mergeCell ref="C24:H24"/>
    <mergeCell ref="B25:B28"/>
    <mergeCell ref="C25:D25"/>
    <mergeCell ref="E25:F25"/>
    <mergeCell ref="G25:H25"/>
    <mergeCell ref="I25:I28"/>
    <mergeCell ref="E31:F31"/>
    <mergeCell ref="G31:H31"/>
    <mergeCell ref="C32:D32"/>
    <mergeCell ref="E32:F32"/>
    <mergeCell ref="G32:H32"/>
    <mergeCell ref="C33:D33"/>
    <mergeCell ref="E33:F33"/>
    <mergeCell ref="G33:H33"/>
    <mergeCell ref="B29:B39"/>
    <mergeCell ref="C29:D29"/>
    <mergeCell ref="E29:F29"/>
    <mergeCell ref="G29:H29"/>
    <mergeCell ref="I29:I39"/>
    <mergeCell ref="J29:J39"/>
    <mergeCell ref="C30:D30"/>
    <mergeCell ref="E30:F30"/>
    <mergeCell ref="G30:H30"/>
    <mergeCell ref="C31:D31"/>
    <mergeCell ref="B40:B44"/>
    <mergeCell ref="C40:D40"/>
    <mergeCell ref="E40:F40"/>
    <mergeCell ref="G40:H40"/>
    <mergeCell ref="G43:H43"/>
    <mergeCell ref="C44:D44"/>
    <mergeCell ref="E44:F44"/>
    <mergeCell ref="C36:D36"/>
    <mergeCell ref="E36:F36"/>
    <mergeCell ref="G36:H36"/>
    <mergeCell ref="C37:D37"/>
    <mergeCell ref="E37:F37"/>
    <mergeCell ref="G37:H37"/>
    <mergeCell ref="C34:D34"/>
    <mergeCell ref="E34:F34"/>
    <mergeCell ref="G34:H34"/>
    <mergeCell ref="C35:D35"/>
    <mergeCell ref="E35:F35"/>
    <mergeCell ref="G35:H35"/>
    <mergeCell ref="I45:I52"/>
    <mergeCell ref="J45:J52"/>
    <mergeCell ref="C46:D46"/>
    <mergeCell ref="E46:F46"/>
    <mergeCell ref="G46:H46"/>
    <mergeCell ref="C47:D47"/>
    <mergeCell ref="I40:I44"/>
    <mergeCell ref="J40:J44"/>
    <mergeCell ref="C41:D41"/>
    <mergeCell ref="E41:F41"/>
    <mergeCell ref="G41:H41"/>
    <mergeCell ref="C42:D42"/>
    <mergeCell ref="E42:F42"/>
    <mergeCell ref="G42:H42"/>
    <mergeCell ref="C43:D43"/>
    <mergeCell ref="E43:F43"/>
    <mergeCell ref="C38:D38"/>
    <mergeCell ref="C39:H39"/>
    <mergeCell ref="C50:D50"/>
    <mergeCell ref="C51:H51"/>
    <mergeCell ref="C52:H52"/>
    <mergeCell ref="B53:B57"/>
    <mergeCell ref="C53:D53"/>
    <mergeCell ref="E53:F53"/>
    <mergeCell ref="G53:H53"/>
    <mergeCell ref="E47:F47"/>
    <mergeCell ref="G47:H47"/>
    <mergeCell ref="C48:D48"/>
    <mergeCell ref="E48:F48"/>
    <mergeCell ref="G48:H48"/>
    <mergeCell ref="C49:D49"/>
    <mergeCell ref="E49:F49"/>
    <mergeCell ref="G49:H49"/>
    <mergeCell ref="B45:B52"/>
    <mergeCell ref="C45:D45"/>
    <mergeCell ref="E45:F45"/>
    <mergeCell ref="G45:H45"/>
    <mergeCell ref="B58:B59"/>
    <mergeCell ref="C58:D58"/>
    <mergeCell ref="E58:F58"/>
    <mergeCell ref="G58:H58"/>
    <mergeCell ref="I58:I59"/>
    <mergeCell ref="J58:J59"/>
    <mergeCell ref="C59:D59"/>
    <mergeCell ref="E59:F59"/>
    <mergeCell ref="G59:H59"/>
    <mergeCell ref="I53:I57"/>
    <mergeCell ref="J53:J57"/>
    <mergeCell ref="C54:D54"/>
    <mergeCell ref="E54:F54"/>
    <mergeCell ref="G54:H54"/>
    <mergeCell ref="C55:D55"/>
    <mergeCell ref="E55:F55"/>
    <mergeCell ref="C57:H57"/>
    <mergeCell ref="J64:J65"/>
    <mergeCell ref="C65:D65"/>
    <mergeCell ref="E65:F65"/>
    <mergeCell ref="B66:B67"/>
    <mergeCell ref="C66:D66"/>
    <mergeCell ref="E66:F66"/>
    <mergeCell ref="G66:H66"/>
    <mergeCell ref="I66:I67"/>
    <mergeCell ref="J66:J67"/>
    <mergeCell ref="C67:D67"/>
    <mergeCell ref="C63:H63"/>
    <mergeCell ref="B64:B65"/>
    <mergeCell ref="C64:D64"/>
    <mergeCell ref="E64:F64"/>
    <mergeCell ref="G64:H64"/>
    <mergeCell ref="I64:I65"/>
    <mergeCell ref="B60:B63"/>
    <mergeCell ref="C60:D60"/>
    <mergeCell ref="E60:F60"/>
    <mergeCell ref="G60:H60"/>
    <mergeCell ref="I60:I63"/>
    <mergeCell ref="J60:J63"/>
    <mergeCell ref="C61:D61"/>
    <mergeCell ref="E61:F61"/>
    <mergeCell ref="G61:H61"/>
    <mergeCell ref="C62:H62"/>
    <mergeCell ref="C74:H74"/>
    <mergeCell ref="C75:H75"/>
    <mergeCell ref="C76:H76"/>
    <mergeCell ref="C77:D77"/>
    <mergeCell ref="B79:H79"/>
    <mergeCell ref="B80:B81"/>
    <mergeCell ref="C80:H80"/>
    <mergeCell ref="I68:I73"/>
    <mergeCell ref="J68:J73"/>
    <mergeCell ref="C69:D69"/>
    <mergeCell ref="E69:F69"/>
    <mergeCell ref="G69:H69"/>
    <mergeCell ref="C70:D70"/>
    <mergeCell ref="C71:H71"/>
    <mergeCell ref="C72:H72"/>
    <mergeCell ref="C73:H73"/>
    <mergeCell ref="E67:F67"/>
    <mergeCell ref="G67:H67"/>
    <mergeCell ref="B68:B73"/>
    <mergeCell ref="C68:D68"/>
    <mergeCell ref="E68:F68"/>
    <mergeCell ref="G68:H68"/>
    <mergeCell ref="A93:H93"/>
    <mergeCell ref="B94:J94"/>
    <mergeCell ref="B96:H96"/>
    <mergeCell ref="B97:B99"/>
    <mergeCell ref="C97:J97"/>
    <mergeCell ref="C98:H98"/>
    <mergeCell ref="C99:H99"/>
    <mergeCell ref="C86:H86"/>
    <mergeCell ref="B88:H88"/>
    <mergeCell ref="B89:J89"/>
    <mergeCell ref="B90:J90"/>
    <mergeCell ref="B91:H91"/>
    <mergeCell ref="A92:J92"/>
    <mergeCell ref="I80:I81"/>
    <mergeCell ref="J80:J81"/>
    <mergeCell ref="C81:H81"/>
    <mergeCell ref="B83:H83"/>
    <mergeCell ref="C84:H84"/>
    <mergeCell ref="C85:H85"/>
    <mergeCell ref="B107:B108"/>
    <mergeCell ref="C107:D107"/>
    <mergeCell ref="E107:F107"/>
    <mergeCell ref="I107:I108"/>
    <mergeCell ref="J107:J108"/>
    <mergeCell ref="C109:H109"/>
    <mergeCell ref="B105:B106"/>
    <mergeCell ref="C105:D105"/>
    <mergeCell ref="E105:F105"/>
    <mergeCell ref="G105:H105"/>
    <mergeCell ref="I105:I106"/>
    <mergeCell ref="J105:J106"/>
    <mergeCell ref="C106:H106"/>
    <mergeCell ref="B101:H101"/>
    <mergeCell ref="B102:J102"/>
    <mergeCell ref="B103:B104"/>
    <mergeCell ref="C103:D103"/>
    <mergeCell ref="E103:F103"/>
    <mergeCell ref="G103:H103"/>
    <mergeCell ref="I103:I104"/>
    <mergeCell ref="J103:J104"/>
    <mergeCell ref="E104:F104"/>
    <mergeCell ref="C119:H119"/>
    <mergeCell ref="C120:H120"/>
    <mergeCell ref="B122:H122"/>
    <mergeCell ref="B123:B124"/>
    <mergeCell ref="C123:D123"/>
    <mergeCell ref="E123:F123"/>
    <mergeCell ref="G123:H123"/>
    <mergeCell ref="B116:B118"/>
    <mergeCell ref="C116:D116"/>
    <mergeCell ref="E116:F116"/>
    <mergeCell ref="G116:H116"/>
    <mergeCell ref="I116:I118"/>
    <mergeCell ref="J116:J118"/>
    <mergeCell ref="C117:H117"/>
    <mergeCell ref="C118:H118"/>
    <mergeCell ref="C110:H110"/>
    <mergeCell ref="B112:H112"/>
    <mergeCell ref="B113:J113"/>
    <mergeCell ref="B114:B115"/>
    <mergeCell ref="C114:D114"/>
    <mergeCell ref="E114:F114"/>
    <mergeCell ref="G114:H114"/>
    <mergeCell ref="I114:I115"/>
    <mergeCell ref="J114:J115"/>
    <mergeCell ref="C115:D115"/>
    <mergeCell ref="I127:I128"/>
    <mergeCell ref="J127:J128"/>
    <mergeCell ref="C128:D128"/>
    <mergeCell ref="E128:F128"/>
    <mergeCell ref="G128:H128"/>
    <mergeCell ref="B130:H130"/>
    <mergeCell ref="C126:D126"/>
    <mergeCell ref="E126:F126"/>
    <mergeCell ref="G126:H126"/>
    <mergeCell ref="B127:B128"/>
    <mergeCell ref="C127:D127"/>
    <mergeCell ref="E127:F127"/>
    <mergeCell ref="G127:H127"/>
    <mergeCell ref="I123:I124"/>
    <mergeCell ref="J123:J124"/>
    <mergeCell ref="C124:D124"/>
    <mergeCell ref="E124:F124"/>
    <mergeCell ref="B125:B126"/>
    <mergeCell ref="C125:D125"/>
    <mergeCell ref="E125:F125"/>
    <mergeCell ref="G125:H125"/>
    <mergeCell ref="I125:I126"/>
    <mergeCell ref="J125:J126"/>
    <mergeCell ref="G134:H134"/>
    <mergeCell ref="C135:D135"/>
    <mergeCell ref="E135:F135"/>
    <mergeCell ref="B136:B140"/>
    <mergeCell ref="C136:D136"/>
    <mergeCell ref="E136:F136"/>
    <mergeCell ref="G136:H136"/>
    <mergeCell ref="G139:H139"/>
    <mergeCell ref="C140:H140"/>
    <mergeCell ref="B131:J131"/>
    <mergeCell ref="B132:J132"/>
    <mergeCell ref="B133:B135"/>
    <mergeCell ref="C133:D133"/>
    <mergeCell ref="E133:F133"/>
    <mergeCell ref="G133:H133"/>
    <mergeCell ref="I133:I135"/>
    <mergeCell ref="J133:J135"/>
    <mergeCell ref="C134:D134"/>
    <mergeCell ref="E134:F134"/>
    <mergeCell ref="B147:H147"/>
    <mergeCell ref="B148:J148"/>
    <mergeCell ref="C149:H149"/>
    <mergeCell ref="B150:B155"/>
    <mergeCell ref="C150:D150"/>
    <mergeCell ref="E150:F150"/>
    <mergeCell ref="G150:H150"/>
    <mergeCell ref="I150:I155"/>
    <mergeCell ref="J150:J155"/>
    <mergeCell ref="C151:D151"/>
    <mergeCell ref="C141:D141"/>
    <mergeCell ref="E141:F141"/>
    <mergeCell ref="C142:H142"/>
    <mergeCell ref="C143:H143"/>
    <mergeCell ref="B144:J144"/>
    <mergeCell ref="B145:J145"/>
    <mergeCell ref="I136:I140"/>
    <mergeCell ref="J136:J140"/>
    <mergeCell ref="C137:D137"/>
    <mergeCell ref="E137:F137"/>
    <mergeCell ref="G137:H137"/>
    <mergeCell ref="C138:D138"/>
    <mergeCell ref="E138:F138"/>
    <mergeCell ref="G138:H138"/>
    <mergeCell ref="C139:D139"/>
    <mergeCell ref="E139:F139"/>
    <mergeCell ref="J156:J161"/>
    <mergeCell ref="C157:D157"/>
    <mergeCell ref="E157:F157"/>
    <mergeCell ref="G157:H157"/>
    <mergeCell ref="C158:D158"/>
    <mergeCell ref="C154:D154"/>
    <mergeCell ref="E154:F154"/>
    <mergeCell ref="G154:H154"/>
    <mergeCell ref="C155:D155"/>
    <mergeCell ref="E155:F155"/>
    <mergeCell ref="G155:H155"/>
    <mergeCell ref="E151:F151"/>
    <mergeCell ref="G151:H151"/>
    <mergeCell ref="C152:D152"/>
    <mergeCell ref="E152:F152"/>
    <mergeCell ref="G152:H152"/>
    <mergeCell ref="C153:D153"/>
    <mergeCell ref="E153:F153"/>
    <mergeCell ref="G153:H153"/>
    <mergeCell ref="C161:H161"/>
    <mergeCell ref="B174:B178"/>
    <mergeCell ref="C174:D174"/>
    <mergeCell ref="E174:F174"/>
    <mergeCell ref="G174:H174"/>
    <mergeCell ref="B162:B168"/>
    <mergeCell ref="C162:D162"/>
    <mergeCell ref="E162:F162"/>
    <mergeCell ref="G162:H162"/>
    <mergeCell ref="I162:I168"/>
    <mergeCell ref="C166:D166"/>
    <mergeCell ref="E166:F166"/>
    <mergeCell ref="G166:H166"/>
    <mergeCell ref="C167:D167"/>
    <mergeCell ref="E158:F158"/>
    <mergeCell ref="G158:H158"/>
    <mergeCell ref="C159:D159"/>
    <mergeCell ref="E159:F159"/>
    <mergeCell ref="G159:H159"/>
    <mergeCell ref="C160:D160"/>
    <mergeCell ref="E160:F160"/>
    <mergeCell ref="G160:H160"/>
    <mergeCell ref="B156:B161"/>
    <mergeCell ref="C156:D156"/>
    <mergeCell ref="E156:F156"/>
    <mergeCell ref="G156:H156"/>
    <mergeCell ref="I156:I161"/>
    <mergeCell ref="E167:F167"/>
    <mergeCell ref="G167:H167"/>
    <mergeCell ref="C168:D168"/>
    <mergeCell ref="G168:H168"/>
    <mergeCell ref="G172:H172"/>
    <mergeCell ref="C173:D173"/>
    <mergeCell ref="J162:J168"/>
    <mergeCell ref="C163:D163"/>
    <mergeCell ref="E163:F163"/>
    <mergeCell ref="G163:H163"/>
    <mergeCell ref="C164:D164"/>
    <mergeCell ref="E164:F164"/>
    <mergeCell ref="G164:H164"/>
    <mergeCell ref="C165:D165"/>
    <mergeCell ref="E165:F165"/>
    <mergeCell ref="G165:H165"/>
    <mergeCell ref="I174:I178"/>
    <mergeCell ref="J174:J178"/>
    <mergeCell ref="C175:D175"/>
    <mergeCell ref="E175:F175"/>
    <mergeCell ref="G175:H175"/>
    <mergeCell ref="C176:D176"/>
    <mergeCell ref="E176:F176"/>
    <mergeCell ref="G176:H176"/>
    <mergeCell ref="C177:D177"/>
    <mergeCell ref="E177:F177"/>
    <mergeCell ref="E173:F173"/>
    <mergeCell ref="G173:H173"/>
    <mergeCell ref="C178:D178"/>
    <mergeCell ref="I169:I173"/>
    <mergeCell ref="J169:J173"/>
    <mergeCell ref="C170:D170"/>
    <mergeCell ref="E170:F170"/>
    <mergeCell ref="G170:H170"/>
    <mergeCell ref="C171:D171"/>
    <mergeCell ref="E171:F171"/>
    <mergeCell ref="G171:H171"/>
    <mergeCell ref="C172:D172"/>
    <mergeCell ref="E172:F172"/>
    <mergeCell ref="B181:B182"/>
    <mergeCell ref="C181:D181"/>
    <mergeCell ref="E181:F181"/>
    <mergeCell ref="G181:H181"/>
    <mergeCell ref="I181:I182"/>
    <mergeCell ref="J181:J182"/>
    <mergeCell ref="C182:D182"/>
    <mergeCell ref="G182:H182"/>
    <mergeCell ref="B179:B180"/>
    <mergeCell ref="C179:D179"/>
    <mergeCell ref="E179:F179"/>
    <mergeCell ref="G179:H179"/>
    <mergeCell ref="I179:I180"/>
    <mergeCell ref="J179:J180"/>
    <mergeCell ref="C180:D180"/>
    <mergeCell ref="E180:F180"/>
    <mergeCell ref="G180:H180"/>
    <mergeCell ref="B169:B173"/>
    <mergeCell ref="C169:D169"/>
    <mergeCell ref="E169:F169"/>
    <mergeCell ref="G169:H169"/>
    <mergeCell ref="B187:B188"/>
    <mergeCell ref="C187:D187"/>
    <mergeCell ref="I187:I188"/>
    <mergeCell ref="J187:J188"/>
    <mergeCell ref="C188:H188"/>
    <mergeCell ref="C189:H189"/>
    <mergeCell ref="B185:B186"/>
    <mergeCell ref="C185:D185"/>
    <mergeCell ref="E185:F185"/>
    <mergeCell ref="G185:H185"/>
    <mergeCell ref="I185:I186"/>
    <mergeCell ref="J185:J186"/>
    <mergeCell ref="C186:D186"/>
    <mergeCell ref="B183:B184"/>
    <mergeCell ref="C183:D183"/>
    <mergeCell ref="E183:F183"/>
    <mergeCell ref="G183:H183"/>
    <mergeCell ref="I183:I184"/>
    <mergeCell ref="J183:J184"/>
    <mergeCell ref="C184:D184"/>
    <mergeCell ref="E184:F184"/>
    <mergeCell ref="J196:J198"/>
    <mergeCell ref="E197:F197"/>
    <mergeCell ref="G197:H197"/>
    <mergeCell ref="B199:J199"/>
    <mergeCell ref="B201:H201"/>
    <mergeCell ref="C202:D202"/>
    <mergeCell ref="E202:F202"/>
    <mergeCell ref="G202:H202"/>
    <mergeCell ref="C190:H190"/>
    <mergeCell ref="C191:H191"/>
    <mergeCell ref="C192:D192"/>
    <mergeCell ref="B194:H194"/>
    <mergeCell ref="B195:J195"/>
    <mergeCell ref="B196:B198"/>
    <mergeCell ref="C196:D196"/>
    <mergeCell ref="E196:F196"/>
    <mergeCell ref="G196:H196"/>
    <mergeCell ref="I196:I198"/>
    <mergeCell ref="C208:D208"/>
    <mergeCell ref="E208:F208"/>
    <mergeCell ref="G208:H208"/>
    <mergeCell ref="B209:B214"/>
    <mergeCell ref="C209:D209"/>
    <mergeCell ref="E209:F209"/>
    <mergeCell ref="G209:H209"/>
    <mergeCell ref="G212:H212"/>
    <mergeCell ref="C213:D213"/>
    <mergeCell ref="E213:F213"/>
    <mergeCell ref="B204:H204"/>
    <mergeCell ref="B205:J205"/>
    <mergeCell ref="B206:B208"/>
    <mergeCell ref="C206:D206"/>
    <mergeCell ref="E206:F206"/>
    <mergeCell ref="G206:H206"/>
    <mergeCell ref="I206:I208"/>
    <mergeCell ref="J206:J208"/>
    <mergeCell ref="E207:F207"/>
    <mergeCell ref="G207:H207"/>
    <mergeCell ref="I215:I217"/>
    <mergeCell ref="J215:J217"/>
    <mergeCell ref="C216:D216"/>
    <mergeCell ref="E216:F216"/>
    <mergeCell ref="G216:H216"/>
    <mergeCell ref="C217:D217"/>
    <mergeCell ref="E217:F217"/>
    <mergeCell ref="G213:H213"/>
    <mergeCell ref="C214:H214"/>
    <mergeCell ref="B215:B217"/>
    <mergeCell ref="C215:D215"/>
    <mergeCell ref="E215:F215"/>
    <mergeCell ref="G215:H215"/>
    <mergeCell ref="I209:I214"/>
    <mergeCell ref="J209:J214"/>
    <mergeCell ref="C210:D210"/>
    <mergeCell ref="E210:F210"/>
    <mergeCell ref="G210:H210"/>
    <mergeCell ref="C211:D211"/>
    <mergeCell ref="E211:F211"/>
    <mergeCell ref="G211:H211"/>
    <mergeCell ref="C212:D212"/>
    <mergeCell ref="E212:F212"/>
    <mergeCell ref="B223:B225"/>
    <mergeCell ref="C223:D223"/>
    <mergeCell ref="E223:F223"/>
    <mergeCell ref="G223:H223"/>
    <mergeCell ref="I223:I225"/>
    <mergeCell ref="J223:J225"/>
    <mergeCell ref="C224:D224"/>
    <mergeCell ref="E224:F224"/>
    <mergeCell ref="G224:H224"/>
    <mergeCell ref="C225:D225"/>
    <mergeCell ref="E220:F220"/>
    <mergeCell ref="G220:H220"/>
    <mergeCell ref="C221:D221"/>
    <mergeCell ref="E221:F221"/>
    <mergeCell ref="G221:H221"/>
    <mergeCell ref="C222:D222"/>
    <mergeCell ref="B218:B222"/>
    <mergeCell ref="C218:D218"/>
    <mergeCell ref="E218:F218"/>
    <mergeCell ref="G218:H218"/>
    <mergeCell ref="I218:I222"/>
    <mergeCell ref="J218:J222"/>
    <mergeCell ref="C219:D219"/>
    <mergeCell ref="E219:F219"/>
    <mergeCell ref="G219:H219"/>
    <mergeCell ref="C220:D220"/>
    <mergeCell ref="C230:D230"/>
    <mergeCell ref="E230:F230"/>
    <mergeCell ref="G230:H230"/>
    <mergeCell ref="B231:B235"/>
    <mergeCell ref="C231:D231"/>
    <mergeCell ref="E231:F231"/>
    <mergeCell ref="G231:H231"/>
    <mergeCell ref="I227:I228"/>
    <mergeCell ref="J227:J228"/>
    <mergeCell ref="C228:D228"/>
    <mergeCell ref="E228:F228"/>
    <mergeCell ref="G228:H228"/>
    <mergeCell ref="C229:D229"/>
    <mergeCell ref="E229:F229"/>
    <mergeCell ref="G229:H229"/>
    <mergeCell ref="C226:D226"/>
    <mergeCell ref="E226:F226"/>
    <mergeCell ref="G226:H226"/>
    <mergeCell ref="B227:B228"/>
    <mergeCell ref="C227:D227"/>
    <mergeCell ref="E227:F227"/>
    <mergeCell ref="G227:H227"/>
    <mergeCell ref="B243:J243"/>
    <mergeCell ref="C244:H244"/>
    <mergeCell ref="B245:J245"/>
    <mergeCell ref="C246:H246"/>
    <mergeCell ref="B248:H248"/>
    <mergeCell ref="B249:H249"/>
    <mergeCell ref="C236:H236"/>
    <mergeCell ref="C237:H237"/>
    <mergeCell ref="C238:H238"/>
    <mergeCell ref="C239:D239"/>
    <mergeCell ref="B241:H241"/>
    <mergeCell ref="B242:J242"/>
    <mergeCell ref="I231:I235"/>
    <mergeCell ref="J231:J235"/>
    <mergeCell ref="C232:D232"/>
    <mergeCell ref="E232:F232"/>
    <mergeCell ref="C233:H233"/>
    <mergeCell ref="C234:H234"/>
    <mergeCell ref="C235:H235"/>
    <mergeCell ref="J258:J260"/>
    <mergeCell ref="E259:F259"/>
    <mergeCell ref="G259:H259"/>
    <mergeCell ref="C260:D260"/>
    <mergeCell ref="E260:F260"/>
    <mergeCell ref="G260:H260"/>
    <mergeCell ref="C257:H257"/>
    <mergeCell ref="B258:B260"/>
    <mergeCell ref="C258:D258"/>
    <mergeCell ref="E258:F258"/>
    <mergeCell ref="G258:H258"/>
    <mergeCell ref="I258:I260"/>
    <mergeCell ref="B251:H251"/>
    <mergeCell ref="B252:H253"/>
    <mergeCell ref="I252:I253"/>
    <mergeCell ref="J252:J253"/>
    <mergeCell ref="B255:H255"/>
    <mergeCell ref="B256:J256"/>
    <mergeCell ref="J267:J269"/>
    <mergeCell ref="C268:D268"/>
    <mergeCell ref="E268:F268"/>
    <mergeCell ref="G268:H268"/>
    <mergeCell ref="C269:D269"/>
    <mergeCell ref="E269:F269"/>
    <mergeCell ref="G269:H269"/>
    <mergeCell ref="C266:H266"/>
    <mergeCell ref="B267:B269"/>
    <mergeCell ref="C267:D267"/>
    <mergeCell ref="E267:F267"/>
    <mergeCell ref="G267:H267"/>
    <mergeCell ref="I267:I269"/>
    <mergeCell ref="E263:F263"/>
    <mergeCell ref="G263:H263"/>
    <mergeCell ref="C264:D264"/>
    <mergeCell ref="E264:F264"/>
    <mergeCell ref="G264:H264"/>
    <mergeCell ref="C265:D265"/>
    <mergeCell ref="E265:F265"/>
    <mergeCell ref="G265:H265"/>
    <mergeCell ref="B261:B266"/>
    <mergeCell ref="C261:D261"/>
    <mergeCell ref="E261:F261"/>
    <mergeCell ref="G261:H261"/>
    <mergeCell ref="I261:I266"/>
    <mergeCell ref="J261:J266"/>
    <mergeCell ref="C262:D262"/>
    <mergeCell ref="E262:F262"/>
    <mergeCell ref="G262:H262"/>
    <mergeCell ref="C263:D263"/>
    <mergeCell ref="E272:F272"/>
    <mergeCell ref="G272:H272"/>
    <mergeCell ref="C273:D273"/>
    <mergeCell ref="E273:F273"/>
    <mergeCell ref="G273:H273"/>
    <mergeCell ref="C274:D274"/>
    <mergeCell ref="E274:F274"/>
    <mergeCell ref="B270:B275"/>
    <mergeCell ref="C270:D270"/>
    <mergeCell ref="E270:F270"/>
    <mergeCell ref="G270:H270"/>
    <mergeCell ref="I270:I275"/>
    <mergeCell ref="J270:J275"/>
    <mergeCell ref="C271:D271"/>
    <mergeCell ref="E271:F271"/>
    <mergeCell ref="G271:H271"/>
    <mergeCell ref="C272:D272"/>
    <mergeCell ref="C281:D281"/>
    <mergeCell ref="E281:F281"/>
    <mergeCell ref="G281:H281"/>
    <mergeCell ref="B282:B283"/>
    <mergeCell ref="C282:D282"/>
    <mergeCell ref="E282:F282"/>
    <mergeCell ref="G282:H282"/>
    <mergeCell ref="J276:J280"/>
    <mergeCell ref="C277:D277"/>
    <mergeCell ref="E277:F277"/>
    <mergeCell ref="G277:H277"/>
    <mergeCell ref="C279:H279"/>
    <mergeCell ref="C280:H280"/>
    <mergeCell ref="C275:H275"/>
    <mergeCell ref="B276:B280"/>
    <mergeCell ref="C276:D276"/>
    <mergeCell ref="E276:F276"/>
    <mergeCell ref="G276:H276"/>
    <mergeCell ref="I276:I280"/>
    <mergeCell ref="B287:B289"/>
    <mergeCell ref="C287:D287"/>
    <mergeCell ref="E287:F287"/>
    <mergeCell ref="G287:H287"/>
    <mergeCell ref="I287:I289"/>
    <mergeCell ref="J287:J289"/>
    <mergeCell ref="C288:D288"/>
    <mergeCell ref="C289:H289"/>
    <mergeCell ref="B285:B286"/>
    <mergeCell ref="C285:D285"/>
    <mergeCell ref="E285:F285"/>
    <mergeCell ref="G285:H285"/>
    <mergeCell ref="I285:I286"/>
    <mergeCell ref="J285:J286"/>
    <mergeCell ref="C286:D286"/>
    <mergeCell ref="I282:I283"/>
    <mergeCell ref="J282:J283"/>
    <mergeCell ref="C283:D283"/>
    <mergeCell ref="E283:F283"/>
    <mergeCell ref="G283:H283"/>
    <mergeCell ref="C284:D284"/>
    <mergeCell ref="E284:F284"/>
    <mergeCell ref="G284:H284"/>
    <mergeCell ref="J298:J303"/>
    <mergeCell ref="C299:D299"/>
    <mergeCell ref="E299:F299"/>
    <mergeCell ref="G299:H299"/>
    <mergeCell ref="C300:D300"/>
    <mergeCell ref="J295:J297"/>
    <mergeCell ref="E296:F296"/>
    <mergeCell ref="G296:H296"/>
    <mergeCell ref="C297:D297"/>
    <mergeCell ref="E297:F297"/>
    <mergeCell ref="G297:H297"/>
    <mergeCell ref="C290:H290"/>
    <mergeCell ref="C291:H291"/>
    <mergeCell ref="C292:H292"/>
    <mergeCell ref="C293:D293"/>
    <mergeCell ref="B294:J294"/>
    <mergeCell ref="B295:B297"/>
    <mergeCell ref="C295:D295"/>
    <mergeCell ref="E295:F295"/>
    <mergeCell ref="G295:H295"/>
    <mergeCell ref="I295:I297"/>
    <mergeCell ref="C303:H303"/>
    <mergeCell ref="B304:B306"/>
    <mergeCell ref="C304:D304"/>
    <mergeCell ref="E304:F304"/>
    <mergeCell ref="G304:H304"/>
    <mergeCell ref="I304:I306"/>
    <mergeCell ref="E300:F300"/>
    <mergeCell ref="G300:H300"/>
    <mergeCell ref="C301:D301"/>
    <mergeCell ref="E301:F301"/>
    <mergeCell ref="G301:H301"/>
    <mergeCell ref="C302:D302"/>
    <mergeCell ref="E302:F302"/>
    <mergeCell ref="G302:H302"/>
    <mergeCell ref="B298:B303"/>
    <mergeCell ref="C298:D298"/>
    <mergeCell ref="E298:F298"/>
    <mergeCell ref="G298:H298"/>
    <mergeCell ref="I298:I303"/>
    <mergeCell ref="E309:F309"/>
    <mergeCell ref="G309:H309"/>
    <mergeCell ref="C310:D310"/>
    <mergeCell ref="E310:F310"/>
    <mergeCell ref="G310:H310"/>
    <mergeCell ref="C311:D311"/>
    <mergeCell ref="B307:B311"/>
    <mergeCell ref="C307:D307"/>
    <mergeCell ref="E307:F307"/>
    <mergeCell ref="G307:H307"/>
    <mergeCell ref="I307:I311"/>
    <mergeCell ref="J307:J311"/>
    <mergeCell ref="C308:D308"/>
    <mergeCell ref="E308:F308"/>
    <mergeCell ref="G308:H308"/>
    <mergeCell ref="C309:D309"/>
    <mergeCell ref="J304:J306"/>
    <mergeCell ref="E305:F305"/>
    <mergeCell ref="G305:H305"/>
    <mergeCell ref="C306:D306"/>
    <mergeCell ref="E306:F306"/>
    <mergeCell ref="G306:H306"/>
    <mergeCell ref="I315:I316"/>
    <mergeCell ref="J315:J316"/>
    <mergeCell ref="C316:D316"/>
    <mergeCell ref="E316:F316"/>
    <mergeCell ref="G316:H316"/>
    <mergeCell ref="C317:D317"/>
    <mergeCell ref="E317:F317"/>
    <mergeCell ref="G317:H317"/>
    <mergeCell ref="C314:D314"/>
    <mergeCell ref="E314:F314"/>
    <mergeCell ref="B315:B316"/>
    <mergeCell ref="C315:D315"/>
    <mergeCell ref="E315:F315"/>
    <mergeCell ref="G315:H315"/>
    <mergeCell ref="B312:B313"/>
    <mergeCell ref="C312:D312"/>
    <mergeCell ref="E312:F312"/>
    <mergeCell ref="G312:H312"/>
    <mergeCell ref="I312:I313"/>
    <mergeCell ref="J312:J313"/>
    <mergeCell ref="C313:D313"/>
    <mergeCell ref="E313:F313"/>
    <mergeCell ref="G313:H313"/>
    <mergeCell ref="C325:H325"/>
    <mergeCell ref="C326:H326"/>
    <mergeCell ref="C327:H327"/>
    <mergeCell ref="C328:D328"/>
    <mergeCell ref="B330:H330"/>
    <mergeCell ref="B331:J331"/>
    <mergeCell ref="B322:B324"/>
    <mergeCell ref="C322:D322"/>
    <mergeCell ref="E322:F322"/>
    <mergeCell ref="G322:H322"/>
    <mergeCell ref="I322:I324"/>
    <mergeCell ref="J322:J324"/>
    <mergeCell ref="C323:D323"/>
    <mergeCell ref="C324:H324"/>
    <mergeCell ref="B318:B321"/>
    <mergeCell ref="C318:D318"/>
    <mergeCell ref="E318:F318"/>
    <mergeCell ref="G318:H318"/>
    <mergeCell ref="I318:I321"/>
    <mergeCell ref="J318:J321"/>
    <mergeCell ref="C319:D319"/>
    <mergeCell ref="C321:H321"/>
    <mergeCell ref="G335:H335"/>
    <mergeCell ref="C336:D336"/>
    <mergeCell ref="B337:B346"/>
    <mergeCell ref="C337:D337"/>
    <mergeCell ref="E337:F337"/>
    <mergeCell ref="G337:H337"/>
    <mergeCell ref="G340:H340"/>
    <mergeCell ref="C341:D341"/>
    <mergeCell ref="E341:F341"/>
    <mergeCell ref="G341:H341"/>
    <mergeCell ref="C346:H346"/>
    <mergeCell ref="B332:J332"/>
    <mergeCell ref="C333:H333"/>
    <mergeCell ref="B334:B336"/>
    <mergeCell ref="C334:D334"/>
    <mergeCell ref="E334:F334"/>
    <mergeCell ref="G334:H334"/>
    <mergeCell ref="I334:I336"/>
    <mergeCell ref="J334:J336"/>
    <mergeCell ref="C335:D335"/>
    <mergeCell ref="E335:F335"/>
    <mergeCell ref="C344:D344"/>
    <mergeCell ref="E344:F344"/>
    <mergeCell ref="G344:H344"/>
    <mergeCell ref="C345:D345"/>
    <mergeCell ref="E345:F345"/>
    <mergeCell ref="G345:H345"/>
    <mergeCell ref="C342:D342"/>
    <mergeCell ref="E342:F342"/>
    <mergeCell ref="G342:H342"/>
    <mergeCell ref="C343:D343"/>
    <mergeCell ref="E343:F343"/>
    <mergeCell ref="G343:H343"/>
    <mergeCell ref="I337:I346"/>
    <mergeCell ref="J337:J346"/>
    <mergeCell ref="C338:D338"/>
    <mergeCell ref="E338:F338"/>
    <mergeCell ref="G338:H338"/>
    <mergeCell ref="C339:D339"/>
    <mergeCell ref="E339:F339"/>
    <mergeCell ref="G339:H339"/>
    <mergeCell ref="C340:D340"/>
    <mergeCell ref="E340:F340"/>
    <mergeCell ref="C353:H353"/>
    <mergeCell ref="B354:B355"/>
    <mergeCell ref="C354:D354"/>
    <mergeCell ref="E354:F354"/>
    <mergeCell ref="G354:H354"/>
    <mergeCell ref="I354:I355"/>
    <mergeCell ref="B350:B353"/>
    <mergeCell ref="C350:D350"/>
    <mergeCell ref="E350:F350"/>
    <mergeCell ref="G350:H350"/>
    <mergeCell ref="I350:I353"/>
    <mergeCell ref="J350:J353"/>
    <mergeCell ref="C351:D351"/>
    <mergeCell ref="E351:F351"/>
    <mergeCell ref="G351:H351"/>
    <mergeCell ref="C352:D352"/>
    <mergeCell ref="J347:J349"/>
    <mergeCell ref="C348:D348"/>
    <mergeCell ref="E348:F348"/>
    <mergeCell ref="G348:H348"/>
    <mergeCell ref="C349:D349"/>
    <mergeCell ref="E349:F349"/>
    <mergeCell ref="G349:H349"/>
    <mergeCell ref="B347:B349"/>
    <mergeCell ref="C347:D347"/>
    <mergeCell ref="E347:F347"/>
    <mergeCell ref="G347:H347"/>
    <mergeCell ref="I347:I349"/>
    <mergeCell ref="I358:I360"/>
    <mergeCell ref="J358:J360"/>
    <mergeCell ref="C359:D359"/>
    <mergeCell ref="C360:H360"/>
    <mergeCell ref="C361:D361"/>
    <mergeCell ref="E361:F361"/>
    <mergeCell ref="G361:H361"/>
    <mergeCell ref="C357:D357"/>
    <mergeCell ref="E357:F357"/>
    <mergeCell ref="G357:H357"/>
    <mergeCell ref="B358:B360"/>
    <mergeCell ref="C358:D358"/>
    <mergeCell ref="E358:F358"/>
    <mergeCell ref="G358:H358"/>
    <mergeCell ref="J354:J355"/>
    <mergeCell ref="C355:D355"/>
    <mergeCell ref="E355:F355"/>
    <mergeCell ref="G355:H355"/>
    <mergeCell ref="C356:D356"/>
    <mergeCell ref="E356:F356"/>
    <mergeCell ref="G356:H356"/>
    <mergeCell ref="B369:J369"/>
    <mergeCell ref="B370:J370"/>
    <mergeCell ref="B371:B372"/>
    <mergeCell ref="C371:D371"/>
    <mergeCell ref="E371:F371"/>
    <mergeCell ref="C372:J372"/>
    <mergeCell ref="C364:D364"/>
    <mergeCell ref="E364:F364"/>
    <mergeCell ref="G364:H364"/>
    <mergeCell ref="B365:J365"/>
    <mergeCell ref="B366:J366"/>
    <mergeCell ref="B367:B368"/>
    <mergeCell ref="C367:H367"/>
    <mergeCell ref="C368:H368"/>
    <mergeCell ref="B362:B363"/>
    <mergeCell ref="C362:D362"/>
    <mergeCell ref="E362:F362"/>
    <mergeCell ref="G362:H362"/>
    <mergeCell ref="I362:I363"/>
    <mergeCell ref="J362:J363"/>
    <mergeCell ref="C363:D363"/>
    <mergeCell ref="E363:F363"/>
    <mergeCell ref="G363:H363"/>
    <mergeCell ref="G385:H385"/>
    <mergeCell ref="C386:D386"/>
    <mergeCell ref="B381:J381"/>
    <mergeCell ref="B382:B383"/>
    <mergeCell ref="C382:D382"/>
    <mergeCell ref="E382:F382"/>
    <mergeCell ref="G382:H382"/>
    <mergeCell ref="I382:I383"/>
    <mergeCell ref="J382:J383"/>
    <mergeCell ref="C383:D383"/>
    <mergeCell ref="E383:F383"/>
    <mergeCell ref="G383:H383"/>
    <mergeCell ref="B374:H374"/>
    <mergeCell ref="B375:J375"/>
    <mergeCell ref="C376:H376"/>
    <mergeCell ref="C377:H377"/>
    <mergeCell ref="C378:H378"/>
    <mergeCell ref="B380:H380"/>
    <mergeCell ref="J390:J393"/>
    <mergeCell ref="C391:D391"/>
    <mergeCell ref="E391:F391"/>
    <mergeCell ref="G391:H391"/>
    <mergeCell ref="C392:D392"/>
    <mergeCell ref="E392:F392"/>
    <mergeCell ref="G392:H392"/>
    <mergeCell ref="C393:D393"/>
    <mergeCell ref="E393:F393"/>
    <mergeCell ref="G393:H393"/>
    <mergeCell ref="C389:H389"/>
    <mergeCell ref="B390:B393"/>
    <mergeCell ref="C390:D390"/>
    <mergeCell ref="E390:F390"/>
    <mergeCell ref="G390:H390"/>
    <mergeCell ref="I390:I393"/>
    <mergeCell ref="E386:F386"/>
    <mergeCell ref="G386:H386"/>
    <mergeCell ref="C387:D387"/>
    <mergeCell ref="E387:F387"/>
    <mergeCell ref="G387:H387"/>
    <mergeCell ref="C388:D388"/>
    <mergeCell ref="E388:F388"/>
    <mergeCell ref="G388:H388"/>
    <mergeCell ref="B384:B389"/>
    <mergeCell ref="C384:D384"/>
    <mergeCell ref="E384:F384"/>
    <mergeCell ref="G384:H384"/>
    <mergeCell ref="I384:I389"/>
    <mergeCell ref="J384:J389"/>
    <mergeCell ref="C385:D385"/>
    <mergeCell ref="E385:F385"/>
    <mergeCell ref="I397:I399"/>
    <mergeCell ref="J397:J399"/>
    <mergeCell ref="C398:D398"/>
    <mergeCell ref="E398:F398"/>
    <mergeCell ref="G398:H398"/>
    <mergeCell ref="C399:D399"/>
    <mergeCell ref="E396:F396"/>
    <mergeCell ref="G396:H396"/>
    <mergeCell ref="B397:B399"/>
    <mergeCell ref="C397:D397"/>
    <mergeCell ref="E397:F397"/>
    <mergeCell ref="G397:H397"/>
    <mergeCell ref="B394:B396"/>
    <mergeCell ref="C394:D394"/>
    <mergeCell ref="E394:F394"/>
    <mergeCell ref="G394:H394"/>
    <mergeCell ref="I394:I396"/>
    <mergeCell ref="J394:J396"/>
    <mergeCell ref="C395:D395"/>
    <mergeCell ref="E395:F395"/>
    <mergeCell ref="G395:H395"/>
    <mergeCell ref="C396:D396"/>
    <mergeCell ref="I404:I405"/>
    <mergeCell ref="J404:J405"/>
    <mergeCell ref="C405:D405"/>
    <mergeCell ref="E405:F405"/>
    <mergeCell ref="C406:D406"/>
    <mergeCell ref="E406:F406"/>
    <mergeCell ref="C403:D403"/>
    <mergeCell ref="E403:F403"/>
    <mergeCell ref="G403:H403"/>
    <mergeCell ref="B404:B405"/>
    <mergeCell ref="C404:D404"/>
    <mergeCell ref="E404:F404"/>
    <mergeCell ref="G404:H404"/>
    <mergeCell ref="B400:B402"/>
    <mergeCell ref="C400:D400"/>
    <mergeCell ref="E400:F400"/>
    <mergeCell ref="G400:H400"/>
    <mergeCell ref="I400:I402"/>
    <mergeCell ref="J400:J402"/>
    <mergeCell ref="C401:D401"/>
    <mergeCell ref="E401:F401"/>
    <mergeCell ref="C402:D402"/>
    <mergeCell ref="E402:F402"/>
    <mergeCell ref="C419:H419"/>
    <mergeCell ref="B420:B422"/>
    <mergeCell ref="C420:H420"/>
    <mergeCell ref="I420:I422"/>
    <mergeCell ref="J420:J422"/>
    <mergeCell ref="C421:D421"/>
    <mergeCell ref="E421:F421"/>
    <mergeCell ref="G421:H421"/>
    <mergeCell ref="C422:H422"/>
    <mergeCell ref="B411:J411"/>
    <mergeCell ref="B413:H413"/>
    <mergeCell ref="C414:H414"/>
    <mergeCell ref="C415:H415"/>
    <mergeCell ref="B417:H417"/>
    <mergeCell ref="B418:J418"/>
    <mergeCell ref="C407:H407"/>
    <mergeCell ref="C408:D408"/>
    <mergeCell ref="E408:F408"/>
    <mergeCell ref="G408:H408"/>
    <mergeCell ref="B409:B410"/>
    <mergeCell ref="C409:H409"/>
    <mergeCell ref="C410:D410"/>
    <mergeCell ref="E410:F410"/>
    <mergeCell ref="G410:H410"/>
    <mergeCell ref="C426:H426"/>
    <mergeCell ref="B427:B430"/>
    <mergeCell ref="C427:D427"/>
    <mergeCell ref="E427:F427"/>
    <mergeCell ref="I427:I430"/>
    <mergeCell ref="J427:J430"/>
    <mergeCell ref="C428:D428"/>
    <mergeCell ref="E428:F428"/>
    <mergeCell ref="G428:H428"/>
    <mergeCell ref="C429:D429"/>
    <mergeCell ref="B423:B426"/>
    <mergeCell ref="C423:H423"/>
    <mergeCell ref="I423:I426"/>
    <mergeCell ref="J423:J426"/>
    <mergeCell ref="C424:D424"/>
    <mergeCell ref="E424:F424"/>
    <mergeCell ref="G424:H424"/>
    <mergeCell ref="C425:D425"/>
    <mergeCell ref="E425:F425"/>
    <mergeCell ref="G425:H425"/>
    <mergeCell ref="I432:I433"/>
    <mergeCell ref="J432:J433"/>
    <mergeCell ref="C433:D433"/>
    <mergeCell ref="E433:F433"/>
    <mergeCell ref="G433:H433"/>
    <mergeCell ref="B434:B435"/>
    <mergeCell ref="C434:D434"/>
    <mergeCell ref="E434:F434"/>
    <mergeCell ref="G434:H434"/>
    <mergeCell ref="I434:I435"/>
    <mergeCell ref="E429:F429"/>
    <mergeCell ref="C430:H430"/>
    <mergeCell ref="C431:H431"/>
    <mergeCell ref="B432:B433"/>
    <mergeCell ref="C432:D432"/>
    <mergeCell ref="E432:F432"/>
    <mergeCell ref="G432:H432"/>
    <mergeCell ref="C440:H440"/>
    <mergeCell ref="C441:H441"/>
    <mergeCell ref="C442:H442"/>
    <mergeCell ref="C443:H443"/>
    <mergeCell ref="B444:B445"/>
    <mergeCell ref="C444:J444"/>
    <mergeCell ref="C445:H445"/>
    <mergeCell ref="J434:J435"/>
    <mergeCell ref="C435:H435"/>
    <mergeCell ref="B436:B437"/>
    <mergeCell ref="C436:J436"/>
    <mergeCell ref="C437:H437"/>
    <mergeCell ref="B438:B443"/>
    <mergeCell ref="C438:H438"/>
    <mergeCell ref="I438:I442"/>
    <mergeCell ref="J438:J442"/>
    <mergeCell ref="C439:H439"/>
    <mergeCell ref="C461:H461"/>
    <mergeCell ref="C462:H462"/>
    <mergeCell ref="B463:B465"/>
    <mergeCell ref="C463:D463"/>
    <mergeCell ref="E463:F463"/>
    <mergeCell ref="G463:H463"/>
    <mergeCell ref="B454:J454"/>
    <mergeCell ref="B456:H456"/>
    <mergeCell ref="B457:J457"/>
    <mergeCell ref="B458:J458"/>
    <mergeCell ref="C459:D459"/>
    <mergeCell ref="C460:D460"/>
    <mergeCell ref="E460:F460"/>
    <mergeCell ref="C446:H446"/>
    <mergeCell ref="B447:J447"/>
    <mergeCell ref="B449:H449"/>
    <mergeCell ref="B450:J450"/>
    <mergeCell ref="B451:B453"/>
    <mergeCell ref="C451:H451"/>
    <mergeCell ref="I451:I453"/>
    <mergeCell ref="J451:J453"/>
    <mergeCell ref="C452:H452"/>
    <mergeCell ref="C453:H453"/>
    <mergeCell ref="C472:D472"/>
    <mergeCell ref="E472:F472"/>
    <mergeCell ref="C473:H473"/>
    <mergeCell ref="C474:H474"/>
    <mergeCell ref="C475:H475"/>
    <mergeCell ref="C476:H476"/>
    <mergeCell ref="C466:H466"/>
    <mergeCell ref="C467:H467"/>
    <mergeCell ref="C468:H468"/>
    <mergeCell ref="B469:J469"/>
    <mergeCell ref="B470:B471"/>
    <mergeCell ref="C470:H470"/>
    <mergeCell ref="C471:H471"/>
    <mergeCell ref="I463:I465"/>
    <mergeCell ref="J463:J465"/>
    <mergeCell ref="C464:D464"/>
    <mergeCell ref="E464:F464"/>
    <mergeCell ref="G464:H464"/>
    <mergeCell ref="E465:F465"/>
    <mergeCell ref="G465:H465"/>
    <mergeCell ref="I485:I487"/>
    <mergeCell ref="J485:J487"/>
    <mergeCell ref="C486:D486"/>
    <mergeCell ref="E486:F486"/>
    <mergeCell ref="G486:H486"/>
    <mergeCell ref="C487:D487"/>
    <mergeCell ref="E487:F487"/>
    <mergeCell ref="G487:H487"/>
    <mergeCell ref="C482:H482"/>
    <mergeCell ref="C483:H483"/>
    <mergeCell ref="C484:H484"/>
    <mergeCell ref="B485:B487"/>
    <mergeCell ref="C485:D485"/>
    <mergeCell ref="E485:F485"/>
    <mergeCell ref="G485:H485"/>
    <mergeCell ref="C477:H477"/>
    <mergeCell ref="C478:H478"/>
    <mergeCell ref="B479:H479"/>
    <mergeCell ref="B480:J480"/>
    <mergeCell ref="C481:E481"/>
    <mergeCell ref="F481:H481"/>
    <mergeCell ref="I496:I498"/>
    <mergeCell ref="J496:J498"/>
    <mergeCell ref="C497:D497"/>
    <mergeCell ref="E497:F497"/>
    <mergeCell ref="G497:H497"/>
    <mergeCell ref="E498:F498"/>
    <mergeCell ref="G498:H498"/>
    <mergeCell ref="C495:D495"/>
    <mergeCell ref="E495:F495"/>
    <mergeCell ref="B496:B498"/>
    <mergeCell ref="C496:D496"/>
    <mergeCell ref="E496:F496"/>
    <mergeCell ref="G496:H496"/>
    <mergeCell ref="C488:H488"/>
    <mergeCell ref="C489:H489"/>
    <mergeCell ref="C490:H490"/>
    <mergeCell ref="B492:H492"/>
    <mergeCell ref="B493:J493"/>
    <mergeCell ref="B494:J494"/>
    <mergeCell ref="C502:D502"/>
    <mergeCell ref="E502:F502"/>
    <mergeCell ref="G502:H502"/>
    <mergeCell ref="E503:F503"/>
    <mergeCell ref="G503:H503"/>
    <mergeCell ref="C504:D504"/>
    <mergeCell ref="E504:F504"/>
    <mergeCell ref="G504:H504"/>
    <mergeCell ref="B499:J499"/>
    <mergeCell ref="C500:D500"/>
    <mergeCell ref="E500:F500"/>
    <mergeCell ref="G500:H500"/>
    <mergeCell ref="B501:B504"/>
    <mergeCell ref="C501:D501"/>
    <mergeCell ref="E501:F501"/>
    <mergeCell ref="G501:H501"/>
    <mergeCell ref="I501:I504"/>
    <mergeCell ref="J501:J504"/>
    <mergeCell ref="B512:J512"/>
    <mergeCell ref="B514:H514"/>
    <mergeCell ref="B515:J515"/>
    <mergeCell ref="C516:H516"/>
    <mergeCell ref="B517:J517"/>
    <mergeCell ref="C519:H519"/>
    <mergeCell ref="J509:J511"/>
    <mergeCell ref="C510:D510"/>
    <mergeCell ref="E510:F510"/>
    <mergeCell ref="G510:H510"/>
    <mergeCell ref="C511:D511"/>
    <mergeCell ref="E511:F511"/>
    <mergeCell ref="G511:H511"/>
    <mergeCell ref="B505:J505"/>
    <mergeCell ref="B507:J507"/>
    <mergeCell ref="C508:D508"/>
    <mergeCell ref="E508:F508"/>
    <mergeCell ref="G508:H508"/>
    <mergeCell ref="B509:B511"/>
    <mergeCell ref="C509:D509"/>
    <mergeCell ref="E509:F509"/>
    <mergeCell ref="G509:H509"/>
    <mergeCell ref="I509:I511"/>
    <mergeCell ref="B532:J532"/>
    <mergeCell ref="C533:H533"/>
    <mergeCell ref="C534:H534"/>
    <mergeCell ref="B535:J535"/>
    <mergeCell ref="B536:B542"/>
    <mergeCell ref="C536:H536"/>
    <mergeCell ref="C537:H537"/>
    <mergeCell ref="C538:H538"/>
    <mergeCell ref="C539:H539"/>
    <mergeCell ref="C540:H540"/>
    <mergeCell ref="C526:H526"/>
    <mergeCell ref="C527:H527"/>
    <mergeCell ref="B528:J528"/>
    <mergeCell ref="C529:H529"/>
    <mergeCell ref="C530:H530"/>
    <mergeCell ref="C531:H531"/>
    <mergeCell ref="C520:H520"/>
    <mergeCell ref="B521:J521"/>
    <mergeCell ref="C522:H522"/>
    <mergeCell ref="C523:H523"/>
    <mergeCell ref="B524:J524"/>
    <mergeCell ref="C525:H525"/>
    <mergeCell ref="B552:B553"/>
    <mergeCell ref="C552:H552"/>
    <mergeCell ref="C553:H553"/>
    <mergeCell ref="B554:J554"/>
    <mergeCell ref="B556:H556"/>
    <mergeCell ref="B557:J557"/>
    <mergeCell ref="B546:J546"/>
    <mergeCell ref="B547:B551"/>
    <mergeCell ref="C547:H547"/>
    <mergeCell ref="C548:H548"/>
    <mergeCell ref="C549:H549"/>
    <mergeCell ref="C550:H550"/>
    <mergeCell ref="C551:H551"/>
    <mergeCell ref="C541:H541"/>
    <mergeCell ref="C542:H542"/>
    <mergeCell ref="B543:B545"/>
    <mergeCell ref="C543:H543"/>
    <mergeCell ref="C544:H544"/>
    <mergeCell ref="C545:H545"/>
    <mergeCell ref="C567:D567"/>
    <mergeCell ref="G567:H567"/>
    <mergeCell ref="C568:D568"/>
    <mergeCell ref="E568:F568"/>
    <mergeCell ref="C569:H569"/>
    <mergeCell ref="B571:H571"/>
    <mergeCell ref="G564:H564"/>
    <mergeCell ref="C565:D565"/>
    <mergeCell ref="E565:F565"/>
    <mergeCell ref="G565:H565"/>
    <mergeCell ref="V565:V566"/>
    <mergeCell ref="C566:D566"/>
    <mergeCell ref="E566:F566"/>
    <mergeCell ref="G566:H566"/>
    <mergeCell ref="C558:H558"/>
    <mergeCell ref="C559:H559"/>
    <mergeCell ref="B561:H561"/>
    <mergeCell ref="B562:J562"/>
    <mergeCell ref="B563:B568"/>
    <mergeCell ref="G563:H563"/>
    <mergeCell ref="I563:I568"/>
    <mergeCell ref="J563:J568"/>
    <mergeCell ref="C564:D564"/>
    <mergeCell ref="E564:F564"/>
    <mergeCell ref="G575:H575"/>
    <mergeCell ref="C576:D576"/>
    <mergeCell ref="E576:F576"/>
    <mergeCell ref="B577:B579"/>
    <mergeCell ref="C577:D577"/>
    <mergeCell ref="E577:F577"/>
    <mergeCell ref="G577:H577"/>
    <mergeCell ref="B572:J572"/>
    <mergeCell ref="B573:J573"/>
    <mergeCell ref="B574:B576"/>
    <mergeCell ref="C574:D574"/>
    <mergeCell ref="E574:F574"/>
    <mergeCell ref="G574:H574"/>
    <mergeCell ref="I574:I576"/>
    <mergeCell ref="J574:J576"/>
    <mergeCell ref="C575:D575"/>
    <mergeCell ref="E575:F575"/>
    <mergeCell ref="J583:J584"/>
    <mergeCell ref="C584:D584"/>
    <mergeCell ref="C585:H585"/>
    <mergeCell ref="C586:H586"/>
    <mergeCell ref="C587:H587"/>
    <mergeCell ref="C588:H588"/>
    <mergeCell ref="B580:J580"/>
    <mergeCell ref="B581:J581"/>
    <mergeCell ref="C582:D582"/>
    <mergeCell ref="E582:F582"/>
    <mergeCell ref="G582:H582"/>
    <mergeCell ref="B583:B584"/>
    <mergeCell ref="C583:D583"/>
    <mergeCell ref="E583:F583"/>
    <mergeCell ref="G583:H583"/>
    <mergeCell ref="I583:I584"/>
    <mergeCell ref="I577:I579"/>
    <mergeCell ref="J577:J579"/>
    <mergeCell ref="C578:D578"/>
    <mergeCell ref="E578:F578"/>
    <mergeCell ref="G578:H578"/>
    <mergeCell ref="C579:D579"/>
    <mergeCell ref="E579:F579"/>
    <mergeCell ref="G579:H579"/>
    <mergeCell ref="B596:B597"/>
    <mergeCell ref="C596:D596"/>
    <mergeCell ref="E596:F596"/>
    <mergeCell ref="G596:H596"/>
    <mergeCell ref="I596:I597"/>
    <mergeCell ref="J596:J597"/>
    <mergeCell ref="C597:D597"/>
    <mergeCell ref="C592:D592"/>
    <mergeCell ref="C593:H593"/>
    <mergeCell ref="B594:J594"/>
    <mergeCell ref="C595:D595"/>
    <mergeCell ref="E595:F595"/>
    <mergeCell ref="G595:H595"/>
    <mergeCell ref="B589:J589"/>
    <mergeCell ref="C590:D590"/>
    <mergeCell ref="E590:F590"/>
    <mergeCell ref="G590:H590"/>
    <mergeCell ref="B591:B592"/>
    <mergeCell ref="C591:D591"/>
    <mergeCell ref="E591:F591"/>
    <mergeCell ref="G591:H591"/>
    <mergeCell ref="I591:I592"/>
    <mergeCell ref="J591:J592"/>
    <mergeCell ref="E606:F606"/>
    <mergeCell ref="G606:H606"/>
    <mergeCell ref="B608:H608"/>
    <mergeCell ref="B609:J609"/>
    <mergeCell ref="C610:H610"/>
    <mergeCell ref="B612:H612"/>
    <mergeCell ref="B604:B606"/>
    <mergeCell ref="C604:D604"/>
    <mergeCell ref="E604:F604"/>
    <mergeCell ref="G604:H604"/>
    <mergeCell ref="I604:I606"/>
    <mergeCell ref="J604:J606"/>
    <mergeCell ref="C605:D605"/>
    <mergeCell ref="E605:F605"/>
    <mergeCell ref="G605:H605"/>
    <mergeCell ref="C606:D606"/>
    <mergeCell ref="C598:H598"/>
    <mergeCell ref="B600:H600"/>
    <mergeCell ref="B601:J601"/>
    <mergeCell ref="B602:J602"/>
    <mergeCell ref="C603:D603"/>
    <mergeCell ref="E603:F603"/>
    <mergeCell ref="G603:H603"/>
    <mergeCell ref="B626:J626"/>
    <mergeCell ref="B628:H628"/>
    <mergeCell ref="B629:J629"/>
    <mergeCell ref="B630:B632"/>
    <mergeCell ref="C630:J630"/>
    <mergeCell ref="C631:H631"/>
    <mergeCell ref="C632:H632"/>
    <mergeCell ref="C617:H617"/>
    <mergeCell ref="B619:J619"/>
    <mergeCell ref="B620:J620"/>
    <mergeCell ref="B622:J622"/>
    <mergeCell ref="B623:J623"/>
    <mergeCell ref="B625:J625"/>
    <mergeCell ref="B613:B614"/>
    <mergeCell ref="C613:H613"/>
    <mergeCell ref="I613:I614"/>
    <mergeCell ref="J613:J614"/>
    <mergeCell ref="C614:H614"/>
    <mergeCell ref="B616:H616"/>
    <mergeCell ref="B646:H646"/>
    <mergeCell ref="B647:J647"/>
    <mergeCell ref="C648:H648"/>
    <mergeCell ref="B650:H650"/>
    <mergeCell ref="B651:J651"/>
    <mergeCell ref="C652:H652"/>
    <mergeCell ref="B641:H641"/>
    <mergeCell ref="I641:J641"/>
    <mergeCell ref="B643:H643"/>
    <mergeCell ref="I643:J643"/>
    <mergeCell ref="B644:H644"/>
    <mergeCell ref="I644:J644"/>
    <mergeCell ref="B634:H634"/>
    <mergeCell ref="C635:H635"/>
    <mergeCell ref="B637:J637"/>
    <mergeCell ref="B638:J638"/>
    <mergeCell ref="B640:H640"/>
    <mergeCell ref="I640:J640"/>
    <mergeCell ref="C665:H665"/>
    <mergeCell ref="B667:H667"/>
    <mergeCell ref="B668:J668"/>
    <mergeCell ref="C669:H669"/>
    <mergeCell ref="B671:H671"/>
    <mergeCell ref="I671:J671"/>
    <mergeCell ref="E658:F658"/>
    <mergeCell ref="G658:H658"/>
    <mergeCell ref="B660:H660"/>
    <mergeCell ref="B661:H661"/>
    <mergeCell ref="B663:H663"/>
    <mergeCell ref="B664:J664"/>
    <mergeCell ref="B654:H654"/>
    <mergeCell ref="B655:J655"/>
    <mergeCell ref="B656:B658"/>
    <mergeCell ref="C656:H656"/>
    <mergeCell ref="I656:I658"/>
    <mergeCell ref="J656:J658"/>
    <mergeCell ref="C657:D657"/>
    <mergeCell ref="E657:F657"/>
    <mergeCell ref="G657:H657"/>
    <mergeCell ref="C658:D658"/>
    <mergeCell ref="I676:J676"/>
    <mergeCell ref="C677:H677"/>
    <mergeCell ref="I677:J677"/>
    <mergeCell ref="C678:H678"/>
    <mergeCell ref="I678:J678"/>
    <mergeCell ref="C679:H679"/>
    <mergeCell ref="I679:J679"/>
    <mergeCell ref="C672:H672"/>
    <mergeCell ref="I672:J672"/>
    <mergeCell ref="C673:H673"/>
    <mergeCell ref="I673:J673"/>
    <mergeCell ref="B674:B685"/>
    <mergeCell ref="C674:H674"/>
    <mergeCell ref="I674:J674"/>
    <mergeCell ref="C675:H675"/>
    <mergeCell ref="I675:J675"/>
    <mergeCell ref="C676:H676"/>
    <mergeCell ref="B686:J686"/>
    <mergeCell ref="B688:H688"/>
    <mergeCell ref="B689:J689"/>
    <mergeCell ref="C690:H690"/>
    <mergeCell ref="B691:J691"/>
    <mergeCell ref="C692:H692"/>
    <mergeCell ref="C683:H683"/>
    <mergeCell ref="I683:J683"/>
    <mergeCell ref="C684:H684"/>
    <mergeCell ref="I684:J684"/>
    <mergeCell ref="C685:H685"/>
    <mergeCell ref="I685:J685"/>
    <mergeCell ref="C680:H680"/>
    <mergeCell ref="I680:J680"/>
    <mergeCell ref="C681:H681"/>
    <mergeCell ref="I681:J681"/>
    <mergeCell ref="C682:H682"/>
    <mergeCell ref="I682:J682"/>
    <mergeCell ref="B712:D712"/>
    <mergeCell ref="E712:F712"/>
    <mergeCell ref="I712:J712"/>
    <mergeCell ref="B713:D713"/>
    <mergeCell ref="E713:F713"/>
    <mergeCell ref="I713:J713"/>
    <mergeCell ref="B704:J704"/>
    <mergeCell ref="B706:J706"/>
    <mergeCell ref="B708:J708"/>
    <mergeCell ref="B710:D710"/>
    <mergeCell ref="E710:F711"/>
    <mergeCell ref="B711:D711"/>
    <mergeCell ref="G711:H711"/>
    <mergeCell ref="I711:J711"/>
    <mergeCell ref="B693:J693"/>
    <mergeCell ref="B695:H695"/>
    <mergeCell ref="C697:H697"/>
    <mergeCell ref="B699:H699"/>
    <mergeCell ref="B700:H700"/>
    <mergeCell ref="B702:J702"/>
    <mergeCell ref="B721:J721"/>
    <mergeCell ref="B722:J722"/>
    <mergeCell ref="B723:D723"/>
    <mergeCell ref="E723:F723"/>
    <mergeCell ref="H723:J723"/>
    <mergeCell ref="E724:F724"/>
    <mergeCell ref="H724:J724"/>
    <mergeCell ref="B716:D716"/>
    <mergeCell ref="E716:F716"/>
    <mergeCell ref="I716:J716"/>
    <mergeCell ref="B717:D717"/>
    <mergeCell ref="E717:F717"/>
    <mergeCell ref="B719:J719"/>
    <mergeCell ref="B714:D714"/>
    <mergeCell ref="E714:F714"/>
    <mergeCell ref="I714:J714"/>
    <mergeCell ref="B715:D715"/>
    <mergeCell ref="E715:F715"/>
    <mergeCell ref="I715:J715"/>
    <mergeCell ref="B751:J751"/>
    <mergeCell ref="B740:J740"/>
    <mergeCell ref="B742:J742"/>
    <mergeCell ref="B744:J744"/>
    <mergeCell ref="B745:J745"/>
    <mergeCell ref="B747:J747"/>
    <mergeCell ref="B749:J749"/>
    <mergeCell ref="D732:J732"/>
    <mergeCell ref="B734:J734"/>
    <mergeCell ref="B735:J735"/>
    <mergeCell ref="B736:J736"/>
    <mergeCell ref="B737:J737"/>
    <mergeCell ref="B738:J738"/>
    <mergeCell ref="E725:F725"/>
    <mergeCell ref="B726:D726"/>
    <mergeCell ref="E726:F726"/>
    <mergeCell ref="B727:D727"/>
    <mergeCell ref="E727:F727"/>
    <mergeCell ref="B729:J729"/>
  </mergeCells>
  <conditionalFormatting sqref="E3:J4 E5:F5 I17:J18 J5">
    <cfRule type="containsBlanks" dxfId="1" priority="2" stopIfTrue="1">
      <formula>LEN(TRIM(E3))=0</formula>
    </cfRule>
  </conditionalFormatting>
  <conditionalFormatting sqref="E712:E717">
    <cfRule type="containsBlanks" dxfId="0" priority="1" stopIfTrue="1">
      <formula>LEN(TRIM(E712))=0</formula>
    </cfRule>
  </conditionalFormatting>
  <dataValidations count="8">
    <dataValidation allowBlank="1" showInputMessage="1" showErrorMessage="1" prompt="Verificar BMA" sqref="I17:J18"/>
    <dataValidation allowBlank="1" showInputMessage="1" showErrorMessage="1" prompt="Modificar titulos de acuerdo a condiciones" sqref="B2:J2"/>
    <dataValidation allowBlank="1" showInputMessage="1" showErrorMessage="1" prompt="Ingresar El tipo de  Plan: Hijastros, Padres, etc." sqref="B7:J7"/>
    <dataValidation allowBlank="1" showInputMessage="1" showErrorMessage="1" prompt="Ingresar Datos De FTPS" sqref="E3:E5 F5:J5"/>
    <dataValidation allowBlank="1" showInputMessage="1" showErrorMessage="1" prompt="Verificar Aportes" sqref="E712:E717"/>
    <dataValidation errorStyle="warning" allowBlank="1" showInputMessage="1" showErrorMessage="1" errorTitle="Verificar Grupal o Etario" error="Verificar Grupal o Etario" prompt="Verificar Grupal o Etario" sqref="B712:B717 C712:D716"/>
    <dataValidation allowBlank="1" showInputMessage="1" showErrorMessage="1" prompt="Verificar tipo de Plan" sqref="B708:J708"/>
    <dataValidation allowBlank="1" showInputMessage="1" showErrorMessage="1" prompt="Verificar Siniestralidad objetivo" sqref="B724:J727"/>
  </dataValidations>
  <printOptions horizontalCentered="1"/>
  <pageMargins left="0.39370078740157483" right="0.39370078740157483" top="1.7716535433070868" bottom="0.98425196850393704" header="0" footer="0"/>
  <pageSetup paperSize="9" scale="74" fitToHeight="110" orientation="portrait" horizontalDpi="300" verticalDpi="300" r:id="rId1"/>
  <headerFooter alignWithMargins="0">
    <oddFooter>Página &amp;P de &amp;N</oddFooter>
  </headerFooter>
  <rowBreaks count="35" manualBreakCount="35">
    <brk id="28" min="1" max="15" man="1"/>
    <brk id="52" min="1" max="15" man="1"/>
    <brk id="73" min="1" max="15" man="1"/>
    <brk id="82" min="1" max="15" man="1"/>
    <brk id="95" min="1" max="15" man="1"/>
    <brk id="120" min="1" max="15" man="1"/>
    <brk id="141" min="1" max="15" man="1"/>
    <brk id="161" min="1" max="15" man="1"/>
    <brk id="180" min="1" max="15" man="1"/>
    <brk id="203" min="1" max="15" man="1"/>
    <brk id="226" min="1" max="15" man="1"/>
    <brk id="247" min="1" max="15" man="1"/>
    <brk id="266" min="1" max="15" man="1"/>
    <brk id="286" min="1" max="15" man="1"/>
    <brk id="306" min="1" max="15" man="1"/>
    <brk id="329" min="1" max="15" man="1"/>
    <brk id="353" min="1" max="15" man="1"/>
    <brk id="373" min="1" max="15" man="1"/>
    <brk id="378" min="1" max="15" man="1"/>
    <brk id="399" min="1" max="15" man="1"/>
    <brk id="422" min="1" max="15" man="1"/>
    <brk id="443" min="1" max="15" man="1"/>
    <brk id="467" min="1" max="15" man="1"/>
    <brk id="491" min="1" max="15" man="1"/>
    <brk id="516" min="1" max="15" man="1"/>
    <brk id="545" min="1" max="15" man="1"/>
    <brk id="570" min="1" max="15" man="1"/>
    <brk id="598" min="1" max="15" man="1"/>
    <brk id="611" min="1" max="15" man="1"/>
    <brk id="642" min="1" max="15" man="1"/>
    <brk id="662" min="1" max="15" man="1"/>
    <brk id="685" min="1" max="15" man="1"/>
    <brk id="697" min="1" max="15" man="1"/>
    <brk id="727" min="1" max="15" man="1"/>
    <brk id="745" min="1" max="15" man="1"/>
  </rowBreaks>
  <colBreaks count="1" manualBreakCount="1">
    <brk id="10" max="741"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9</vt:i4>
      </vt:variant>
    </vt:vector>
  </HeadingPairs>
  <TitlesOfParts>
    <vt:vector size="20" baseType="lpstr">
      <vt:lpstr>Reg Base</vt:lpstr>
      <vt:lpstr>Reg Adi1</vt:lpstr>
      <vt:lpstr>Reg Adi2</vt:lpstr>
      <vt:lpstr>Hijos 18 a 25 Base</vt:lpstr>
      <vt:lpstr>Hijos 18 a 25 Adi1</vt:lpstr>
      <vt:lpstr>Hijos 18 a 25 Adi2</vt:lpstr>
      <vt:lpstr>Hoja2</vt:lpstr>
      <vt:lpstr>Hoja1</vt:lpstr>
      <vt:lpstr>CesH-Cesantes</vt:lpstr>
      <vt:lpstr>ColH</vt:lpstr>
      <vt:lpstr>ColT</vt:lpstr>
      <vt:lpstr>'CesH-Cesantes'!Área_de_impresión</vt:lpstr>
      <vt:lpstr>ColH!Área_de_impresión</vt:lpstr>
      <vt:lpstr>ColT!Área_de_impresión</vt:lpstr>
      <vt:lpstr>'Hijos 18 a 25 Adi1'!Área_de_impresión</vt:lpstr>
      <vt:lpstr>'Hijos 18 a 25 Adi2'!Área_de_impresión</vt:lpstr>
      <vt:lpstr>'Hijos 18 a 25 Base'!Área_de_impresión</vt:lpstr>
      <vt:lpstr>'Reg Adi1'!Área_de_impresión</vt:lpstr>
      <vt:lpstr>'Reg Adi2'!Área_de_impresión</vt:lpstr>
      <vt:lpstr>'Reg Base'!Área_de_impresión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Luren Peña</dc:creator>
  <cp:lastModifiedBy>Maribel Tarazona Ángeles</cp:lastModifiedBy>
  <cp:lastPrinted>2020-04-23T23:08:33Z</cp:lastPrinted>
  <dcterms:created xsi:type="dcterms:W3CDTF">2020-04-23T23:08:19Z</dcterms:created>
  <dcterms:modified xsi:type="dcterms:W3CDTF">2020-04-29T14:21:06Z</dcterms:modified>
</cp:coreProperties>
</file>